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G:\Meu Drive\SCOP\01_ORÇAMENTOS\67_Ministério da Saúde\67.01_CPN-MAT-POLI\5.Documentos Enviados\POLI\5_09.05.2024\DOCUMENTOS PARA DISPONIBILIZAÇÃO NO PORTAL\"/>
    </mc:Choice>
  </mc:AlternateContent>
  <xr:revisionPtr revIDLastSave="0" documentId="13_ncr:1_{94529CFD-13F1-42A9-9FDD-C2AB687DCA51}" xr6:coauthVersionLast="47" xr6:coauthVersionMax="47" xr10:uidLastSave="{00000000-0000-0000-0000-000000000000}"/>
  <bookViews>
    <workbookView xWindow="-108" yWindow="-108" windowWidth="23256" windowHeight="12576" tabRatio="860" xr2:uid="{00000000-000D-0000-FFFF-FFFF00000000}"/>
  </bookViews>
  <sheets>
    <sheet name="DADOS GERAIS" sheetId="1" r:id="rId1"/>
    <sheet name="RESUMO" sheetId="2" r:id="rId2"/>
    <sheet name="ORC. SINTÉTICO" sheetId="3" r:id="rId3"/>
    <sheet name="CPUS" sheetId="5" r:id="rId4"/>
    <sheet name="BDI DESONERADO" sheetId="6" r:id="rId5"/>
    <sheet name="ENCARGOS SOCIAIS" sheetId="7" r:id="rId6"/>
    <sheet name="JUSTIFICATIVAS CPUS" sheetId="8" r:id="rId7"/>
  </sheets>
  <definedNames>
    <definedName name="_AA100000">#REF!</definedName>
    <definedName name="_Fill">#REF!</definedName>
    <definedName name="_xlnm._FilterDatabase" localSheetId="3" hidden="1">CPUS!$A$16:$AB$481</definedName>
    <definedName name="_xlnm._FilterDatabase" localSheetId="6" hidden="1">'JUSTIFICATIVAS CPUS'!$B$15:$K$270</definedName>
    <definedName name="_xlnm._FilterDatabase" localSheetId="2" hidden="1">'ORC. SINTÉTICO'!$A$17:$AG$694</definedName>
    <definedName name="_LOC10">#REF!</definedName>
    <definedName name="_LOC11">#REF!</definedName>
    <definedName name="_LOC12">#REF!</definedName>
    <definedName name="_LOC13">#REF!</definedName>
    <definedName name="_LOC14">#REF!</definedName>
    <definedName name="_LOC15">#REF!</definedName>
    <definedName name="_LOC16">#REF!</definedName>
    <definedName name="_LOC17">#REF!</definedName>
    <definedName name="_LOC18">#REF!</definedName>
    <definedName name="_LOC19">#REF!</definedName>
    <definedName name="_LOC2">#REF!</definedName>
    <definedName name="_LOC20">#REF!</definedName>
    <definedName name="_LOC21">#REF!</definedName>
    <definedName name="_LOC22">#REF!</definedName>
    <definedName name="_LOC23">#REF!</definedName>
    <definedName name="_LOC24">#REF!</definedName>
    <definedName name="_LOC25">#REF!</definedName>
    <definedName name="_LOC26">#REF!</definedName>
    <definedName name="_LOC27">#REF!</definedName>
    <definedName name="_LOC28">#REF!</definedName>
    <definedName name="_LOC29">#REF!</definedName>
    <definedName name="_LOC3">#REF!</definedName>
    <definedName name="_LOC30">#REF!</definedName>
    <definedName name="_LOC31">#REF!</definedName>
    <definedName name="_LOC32">#REF!</definedName>
    <definedName name="_LOC33">#REF!</definedName>
    <definedName name="_LOC34">#REF!</definedName>
    <definedName name="_LOC35">#REF!</definedName>
    <definedName name="_LOC36">#REF!</definedName>
    <definedName name="_LOC37">#REF!</definedName>
    <definedName name="_LOC38">#REF!</definedName>
    <definedName name="_LOC39">#REF!</definedName>
    <definedName name="_LOC4">#REF!</definedName>
    <definedName name="_LOC40">#REF!</definedName>
    <definedName name="_LOC41">#REF!</definedName>
    <definedName name="_LOC42">#REF!</definedName>
    <definedName name="_LOC5">#REF!</definedName>
    <definedName name="_LOC6">#REF!</definedName>
    <definedName name="_LOC7">#REF!</definedName>
    <definedName name="_LOC8">#REF!</definedName>
    <definedName name="_LOC9">#REF!</definedName>
    <definedName name="_R">#REF!</definedName>
    <definedName name="AAA">#REF!</definedName>
    <definedName name="AC">#REF!</definedName>
    <definedName name="AL">#REF!</definedName>
    <definedName name="_xlnm.Print_Area" localSheetId="0">'DADOS GERAIS'!$A$1:$F$34</definedName>
    <definedName name="Área_impressão_IM">#REF!</definedName>
    <definedName name="B.01.05.10.10">#REF!</definedName>
    <definedName name="CD">#REF!</definedName>
    <definedName name="CP">#REF!</definedName>
    <definedName name="CS">#REF!</definedName>
    <definedName name="CT">#REF!</definedName>
    <definedName name="EV">#REF!</definedName>
    <definedName name="IC">#REF!</definedName>
    <definedName name="IMPR">#REF!</definedName>
    <definedName name="IMPR1">#REF!</definedName>
    <definedName name="IS">#REF!</definedName>
    <definedName name="LB">#REF!</definedName>
    <definedName name="MACROS">#REF!</definedName>
    <definedName name="Preço_Unit_Chácaras">#REF!</definedName>
    <definedName name="Print_Area_MI">#REF!</definedName>
    <definedName name="PV">#REF!</definedName>
    <definedName name="Quant_Chácaras">#REF!</definedName>
    <definedName name="Receita_Chácaras">#REF!</definedName>
    <definedName name="solver_opt">#REF!</definedName>
    <definedName name="solver_tmp">#REF!</definedName>
    <definedName name="t_meso_2">#REF!</definedName>
    <definedName name="t_super_est_2">#REF!</definedName>
    <definedName name="TESTE">#REF!</definedName>
    <definedName name="_xlnm.Print_Titles" localSheetId="3">CPUS!$2:$15</definedName>
    <definedName name="_xlnm.Print_Titles" localSheetId="6">'JUSTIFICATIVAS CPUS'!$2:$15</definedName>
    <definedName name="_xlnm.Print_Titles" localSheetId="2">'ORC. SINTÉTICO'!$2:$17</definedName>
    <definedName name="tot_infra_1">#REF!</definedName>
    <definedName name="TOTAL_GERAL">#REF!</definedName>
    <definedName name="TOTALCRONOGRA">#REF!</definedName>
    <definedName name="wrn.COLETAS._.DE._.EQUIPAMENTOS.">#REF!</definedName>
    <definedName name="wrn.COLETAS._.DE._.MATERIAIS.">#REF!</definedName>
    <definedName name="wrn.COMP._.EQUIP.">#REF!</definedName>
    <definedName name="wrn.COMP._.MATERIAIS.">#REF!</definedName>
    <definedName name="wrn.PNEUS.">#REF!</definedName>
    <definedName name="Z_0306F0C2_70DB_4729_BB6A_5299B1A5AEA0_.wvu.PrintArea" localSheetId="4">'BDI DESONERADO'!$A$1:$G$56</definedName>
    <definedName name="Z_0306F0C2_70DB_4729_BB6A_5299B1A5AEA0_.wvu.PrintArea" localSheetId="5">'ENCARGOS SOCIAIS'!$A$1:$G$74</definedName>
    <definedName name="Z_12376024_9872_4870_B42C_DF0FD31EC62E_.wvu.PrintArea" localSheetId="4">'BDI DESONERADO'!$A$1:$G$56</definedName>
    <definedName name="Z_12376024_9872_4870_B42C_DF0FD31EC62E_.wvu.PrintArea" localSheetId="5">'ENCARGOS SOCIAIS'!$A$1:$G$74</definedName>
    <definedName name="Z_12538664_79C6_4AAD_BD81_5363A5F496D7_.wvu.PrintArea" localSheetId="3">CPUS!$B$2:$K$281</definedName>
    <definedName name="Z_12538664_79C6_4AAD_BD81_5363A5F496D7_.wvu.PrintArea" localSheetId="0">'DADOS GERAIS'!$B$2:$E$34</definedName>
    <definedName name="Z_12538664_79C6_4AAD_BD81_5363A5F496D7_.wvu.PrintArea" localSheetId="2">'ORC. SINTÉTICO'!$B$2:$L$282</definedName>
    <definedName name="Z_12538664_79C6_4AAD_BD81_5363A5F496D7_.wvu.PrintArea" localSheetId="1">RESUMO!$B$2:$F$54</definedName>
    <definedName name="Z_12538664_79C6_4AAD_BD81_5363A5F496D7_.wvu.Rows" localSheetId="3">CPUS!$285:$290</definedName>
    <definedName name="Z_12538664_79C6_4AAD_BD81_5363A5F496D7_.wvu.Rows" localSheetId="2">'ORC. SINTÉTICO'!$286:$291</definedName>
    <definedName name="Z_18D9C5C8_6EC0_4507_ACF1_BEE4D54D4AE8_.wvu.PrintArea" localSheetId="3">CPUS!$B$2:$K$281</definedName>
    <definedName name="Z_18D9C5C8_6EC0_4507_ACF1_BEE4D54D4AE8_.wvu.PrintArea" localSheetId="0">'DADOS GERAIS'!$B$2:$E$34</definedName>
    <definedName name="Z_18D9C5C8_6EC0_4507_ACF1_BEE4D54D4AE8_.wvu.PrintArea" localSheetId="2">'ORC. SINTÉTICO'!$B$2:$L$282</definedName>
    <definedName name="Z_18D9C5C8_6EC0_4507_ACF1_BEE4D54D4AE8_.wvu.PrintArea" localSheetId="1">RESUMO!$B$2:$F$54</definedName>
    <definedName name="Z_18D9C5C8_6EC0_4507_ACF1_BEE4D54D4AE8_.wvu.Rows" localSheetId="3">CPUS!$285:$290</definedName>
    <definedName name="Z_18D9C5C8_6EC0_4507_ACF1_BEE4D54D4AE8_.wvu.Rows" localSheetId="2">'ORC. SINTÉTICO'!$286:$291</definedName>
    <definedName name="Z_2675BA43_8563_4FE8_9385_CEC837618B0A_.wvu.PrintArea" localSheetId="6">'JUSTIFICATIVAS CPUS'!$B$15:$I$15</definedName>
    <definedName name="Z_28B41BAB_DC76_480E_A1E5_0680F2E379B7_.wvu.PrintArea" localSheetId="6">'JUSTIFICATIVAS CPUS'!$B$15:$I$15</definedName>
    <definedName name="Z_2C035CC8_3055_44F7_AAA9_AD9C9EF12435_.wvu.PrintArea" localSheetId="6">'JUSTIFICATIVAS CPUS'!$B$15:$I$15</definedName>
    <definedName name="Z_31669B58_6052_4B28_A2A6_B4D646275034_.wvu.PrintArea" localSheetId="4">'BDI DESONERADO'!$A$1:$G$56</definedName>
    <definedName name="Z_31669B58_6052_4B28_A2A6_B4D646275034_.wvu.PrintArea" localSheetId="5">'ENCARGOS SOCIAIS'!$A$1:$G$74</definedName>
    <definedName name="Z_53D497E1_E826_4F8A_992E_431F101CA300_.wvu.PrintArea" localSheetId="6">'JUSTIFICATIVAS CPUS'!$B$15:$I$15</definedName>
    <definedName name="Z_5C936B0E_B1B0_4680_9496_257339E19331_.wvu.PrintArea" localSheetId="4">'BDI DESONERADO'!$A$1:$G$56</definedName>
    <definedName name="Z_5C936B0E_B1B0_4680_9496_257339E19331_.wvu.PrintArea" localSheetId="5">'ENCARGOS SOCIAIS'!$A$1:$G$74</definedName>
    <definedName name="Z_5EB5A1F5_D41C_4922_9EB6_0F91F671DD29_.wvu.PrintArea" localSheetId="4">'BDI DESONERADO'!$A$1:$G$56</definedName>
    <definedName name="Z_5EB5A1F5_D41C_4922_9EB6_0F91F671DD29_.wvu.PrintArea" localSheetId="5">'ENCARGOS SOCIAIS'!$A$1:$G$74</definedName>
    <definedName name="Z_6C4A5780_A529_48FA_99BA_79BD868CD359_.wvu.PrintArea" localSheetId="6">'JUSTIFICATIVAS CPUS'!$B$15:$I$15</definedName>
    <definedName name="Z_6CEAEE79_3031_4A07_9C1B_BEA3A33B6E8E_.wvu.PrintArea" localSheetId="4">'BDI DESONERADO'!$A$1:$G$56</definedName>
    <definedName name="Z_6CEAEE79_3031_4A07_9C1B_BEA3A33B6E8E_.wvu.PrintArea" localSheetId="5">'ENCARGOS SOCIAIS'!$A$1:$G$74</definedName>
    <definedName name="Z_7FF15CC8_DB84_4698_8C98_3A52BD743E2D_.wvu.PrintArea" localSheetId="6">'JUSTIFICATIVAS CPUS'!$B$15:$I$15</definedName>
    <definedName name="Z_8AD65702_4E2C_47D8_8007_38AB6DC80A2F_.wvu.PrintArea" localSheetId="6">'JUSTIFICATIVAS CPUS'!$B$15:$I$15</definedName>
    <definedName name="Z_8D21F177_5E6A_4C44_9891_68BF06A93C62_.wvu.PrintArea" localSheetId="6">'JUSTIFICATIVAS CPUS'!$B$15:$I$15</definedName>
    <definedName name="Z_A07C36CD_65E3_4A21_B956_D1766C5EB84D_.wvu.PrintArea" localSheetId="6">'JUSTIFICATIVAS CPUS'!$B$15:$I$15</definedName>
    <definedName name="Z_A951D8EB_0DF5_4872_832B_26DF5B5ABADD_.wvu.PrintArea" localSheetId="6">'JUSTIFICATIVAS CPUS'!$B$15:$I$15</definedName>
    <definedName name="Z_CA485D5E_5C09_4636_B7A6_10EC2B405CCB_.wvu.PrintArea" localSheetId="3">CPUS!$B$1:$K$284</definedName>
    <definedName name="Z_CA485D5E_5C09_4636_B7A6_10EC2B405CCB_.wvu.PrintArea" localSheetId="0">'DADOS GERAIS'!$A$1:$F$35</definedName>
    <definedName name="Z_CA485D5E_5C09_4636_B7A6_10EC2B405CCB_.wvu.PrintArea" localSheetId="2">'ORC. SINTÉTICO'!$B$1:$L$285</definedName>
    <definedName name="Z_CA485D5E_5C09_4636_B7A6_10EC2B405CCB_.wvu.PrintArea" localSheetId="1">RESUMO!$A$1:$G$54</definedName>
    <definedName name="Z_CA485D5E_5C09_4636_B7A6_10EC2B405CCB_.wvu.Rows" localSheetId="3">CPUS!$285:$290</definedName>
    <definedName name="Z_CA485D5E_5C09_4636_B7A6_10EC2B405CCB_.wvu.Rows" localSheetId="2">'ORC. SINTÉTICO'!$286:$291</definedName>
    <definedName name="Z_E00A2F2B_5FAE_482A_B5C1_08D9DD4D80BE_.wvu.PrintArea" localSheetId="6">'JUSTIFICATIVAS CPUS'!$B$15:$I$15</definedName>
  </definedNames>
  <calcPr calcId="191029"/>
  <extLst>
    <ext uri="GoogleSheetsCustomDataVersion2">
      <go:sheetsCustomData xmlns:go="http://customooxmlschemas.google.com/" r:id="rId12" roundtripDataChecksum="+XU9cLXgdtnHDtkfyzZO1GyOcQLFtykYUZ6w9k+QJmM="/>
    </ext>
  </extLst>
</workbook>
</file>

<file path=xl/calcChain.xml><?xml version="1.0" encoding="utf-8"?>
<calcChain xmlns="http://schemas.openxmlformats.org/spreadsheetml/2006/main">
  <c r="J12" i="8" l="1"/>
  <c r="B12" i="8"/>
  <c r="J11" i="8"/>
  <c r="B11" i="8"/>
  <c r="J9" i="8"/>
  <c r="J8" i="8"/>
  <c r="B8" i="8"/>
  <c r="B12" i="6"/>
  <c r="B12" i="2"/>
  <c r="F12" i="7"/>
  <c r="B12" i="7"/>
  <c r="F11" i="7"/>
  <c r="B11" i="7"/>
  <c r="F9" i="7"/>
  <c r="F8" i="7"/>
  <c r="B8" i="7"/>
  <c r="F12" i="6"/>
  <c r="F11" i="6"/>
  <c r="B11" i="6"/>
  <c r="F9" i="6"/>
  <c r="F8" i="6"/>
  <c r="B8" i="6"/>
  <c r="B72" i="7"/>
  <c r="B71" i="7"/>
  <c r="F50" i="7"/>
  <c r="E50" i="7"/>
  <c r="F42" i="7"/>
  <c r="E42" i="7"/>
  <c r="F29" i="7"/>
  <c r="E29" i="7"/>
  <c r="B53" i="6"/>
  <c r="B52" i="6"/>
  <c r="F30" i="6"/>
  <c r="F36" i="6" s="1"/>
  <c r="C20" i="1" s="1"/>
  <c r="D12" i="2" s="1"/>
  <c r="E30" i="6"/>
  <c r="E36" i="6" s="1"/>
  <c r="C19" i="1" s="1"/>
  <c r="D9" i="2" s="1"/>
  <c r="K12" i="5"/>
  <c r="B12" i="5"/>
  <c r="K11" i="5"/>
  <c r="I11" i="5"/>
  <c r="G11" i="5"/>
  <c r="K9" i="5"/>
  <c r="K8" i="5"/>
  <c r="I8" i="5"/>
  <c r="G8" i="5"/>
  <c r="B8" i="5"/>
  <c r="O12" i="3"/>
  <c r="B12" i="3"/>
  <c r="O11" i="3"/>
  <c r="M11" i="3"/>
  <c r="K11" i="3"/>
  <c r="O9" i="3"/>
  <c r="O8" i="3"/>
  <c r="M8" i="3"/>
  <c r="K8" i="3"/>
  <c r="B8" i="3"/>
  <c r="B53" i="2"/>
  <c r="B52" i="2"/>
  <c r="F12" i="2"/>
  <c r="F11" i="2"/>
  <c r="B11" i="2"/>
  <c r="B11" i="5" s="1"/>
  <c r="F9" i="2"/>
  <c r="F8" i="2"/>
  <c r="B8" i="2"/>
  <c r="B33" i="1"/>
  <c r="B32" i="1"/>
  <c r="B9" i="1"/>
  <c r="B9" i="5" s="1"/>
  <c r="D12" i="7" l="1"/>
  <c r="H12" i="8"/>
  <c r="H9" i="8"/>
  <c r="D9" i="7"/>
  <c r="E53" i="7"/>
  <c r="E55" i="7" s="1"/>
  <c r="E56" i="7" s="1"/>
  <c r="I12" i="8" s="1"/>
  <c r="B9" i="7"/>
  <c r="B9" i="6"/>
  <c r="B9" i="8"/>
  <c r="F53" i="7"/>
  <c r="D12" i="6"/>
  <c r="D9" i="6"/>
  <c r="G9" i="5"/>
  <c r="K9" i="3"/>
  <c r="G12" i="5"/>
  <c r="K12" i="3"/>
  <c r="B9" i="2"/>
  <c r="B11" i="3"/>
  <c r="E54" i="7"/>
  <c r="F54" i="7"/>
  <c r="B9" i="3"/>
  <c r="F55" i="7" l="1"/>
  <c r="F56" i="7" s="1"/>
  <c r="E12" i="2"/>
  <c r="E12" i="7"/>
  <c r="E12" i="6"/>
  <c r="M12" i="3"/>
  <c r="I12" i="5"/>
  <c r="C37" i="2" a="1"/>
  <c r="C37" i="2" s="1"/>
  <c r="E35" i="2" a="1"/>
  <c r="E35" i="2" s="1"/>
  <c r="C29" i="2" a="1"/>
  <c r="C29" i="2" s="1"/>
  <c r="E27" i="2" a="1"/>
  <c r="E27" i="2" s="1"/>
  <c r="C21" i="2" a="1"/>
  <c r="C21" i="2" s="1"/>
  <c r="E19" i="2" a="1"/>
  <c r="E19" i="2" s="1"/>
  <c r="E26" i="2" a="1"/>
  <c r="E26" i="2" s="1"/>
  <c r="E38" i="2" a="1"/>
  <c r="E38" i="2" s="1"/>
  <c r="C32" i="2" a="1"/>
  <c r="C32" i="2" s="1"/>
  <c r="E30" i="2" a="1"/>
  <c r="E30" i="2" s="1"/>
  <c r="C24" i="2" a="1"/>
  <c r="C24" i="2" s="1"/>
  <c r="E22" i="2" a="1"/>
  <c r="E22" i="2" s="1"/>
  <c r="C35" i="2" a="1"/>
  <c r="C35" i="2" s="1"/>
  <c r="E33" i="2" a="1"/>
  <c r="E33" i="2" s="1"/>
  <c r="C27" i="2" a="1"/>
  <c r="C27" i="2" s="1"/>
  <c r="E25" i="2" a="1"/>
  <c r="E25" i="2" s="1"/>
  <c r="C19" i="2" a="1"/>
  <c r="C19" i="2" s="1"/>
  <c r="E17" i="2" a="1"/>
  <c r="E17" i="2" s="1"/>
  <c r="C20" i="2" a="1"/>
  <c r="C20" i="2" s="1"/>
  <c r="C38" i="2" a="1"/>
  <c r="C38" i="2" s="1"/>
  <c r="E36" i="2" a="1"/>
  <c r="E36" i="2" s="1"/>
  <c r="C30" i="2" a="1"/>
  <c r="C30" i="2" s="1"/>
  <c r="E28" i="2" a="1"/>
  <c r="E28" i="2" s="1"/>
  <c r="C22" i="2" a="1"/>
  <c r="C22" i="2" s="1"/>
  <c r="E20" i="2" a="1"/>
  <c r="E20" i="2" s="1"/>
  <c r="E39" i="2" a="1"/>
  <c r="E39" i="2" s="1"/>
  <c r="C33" i="2" a="1"/>
  <c r="C33" i="2" s="1"/>
  <c r="E31" i="2" a="1"/>
  <c r="E31" i="2" s="1"/>
  <c r="C25" i="2" a="1"/>
  <c r="C25" i="2" s="1"/>
  <c r="E23" i="2" a="1"/>
  <c r="E23" i="2" s="1"/>
  <c r="C17" i="2" a="1"/>
  <c r="C17" i="2" s="1"/>
  <c r="E18" i="2" a="1"/>
  <c r="E18" i="2" s="1"/>
  <c r="C36" i="2" a="1"/>
  <c r="C36" i="2" s="1"/>
  <c r="E34" i="2" a="1"/>
  <c r="E34" i="2" s="1"/>
  <c r="C28" i="2" a="1"/>
  <c r="C28" i="2" s="1"/>
  <c r="C39" i="2" a="1"/>
  <c r="C39" i="2" s="1"/>
  <c r="E37" i="2" a="1"/>
  <c r="E37" i="2" s="1"/>
  <c r="C31" i="2" a="1"/>
  <c r="C31" i="2" s="1"/>
  <c r="E29" i="2" a="1"/>
  <c r="E29" i="2" s="1"/>
  <c r="C23" i="2" a="1"/>
  <c r="C23" i="2" s="1"/>
  <c r="E21" i="2" a="1"/>
  <c r="E21" i="2" s="1"/>
  <c r="C34" i="2" a="1"/>
  <c r="C34" i="2" s="1"/>
  <c r="E32" i="2" a="1"/>
  <c r="E32" i="2" s="1"/>
  <c r="C26" i="2" a="1"/>
  <c r="C26" i="2" s="1"/>
  <c r="E24" i="2" a="1"/>
  <c r="E24" i="2" s="1"/>
  <c r="C18" i="2" a="1"/>
  <c r="C18" i="2" s="1"/>
  <c r="E9" i="2" l="1"/>
  <c r="M9" i="3" s="1"/>
  <c r="I9" i="8"/>
  <c r="E9" i="7"/>
  <c r="E9" i="6"/>
  <c r="I9" i="5"/>
  <c r="E41" i="2"/>
  <c r="F25" i="2" s="1"/>
  <c r="F29" i="2" l="1"/>
  <c r="F33" i="2"/>
  <c r="F34" i="2"/>
  <c r="F28" i="2"/>
  <c r="F19" i="2"/>
  <c r="F30" i="2"/>
  <c r="F22" i="2"/>
  <c r="F21" i="2"/>
  <c r="F24" i="2"/>
  <c r="F38" i="2"/>
  <c r="F17" i="2"/>
  <c r="F23" i="2"/>
  <c r="F37" i="2"/>
  <c r="F27" i="2"/>
  <c r="F26" i="2"/>
  <c r="F32" i="2"/>
  <c r="F20" i="2"/>
  <c r="F36" i="2"/>
  <c r="F35" i="2"/>
  <c r="F18" i="2"/>
  <c r="F39" i="2"/>
  <c r="F31" i="2"/>
  <c r="F41" i="2" l="1"/>
</calcChain>
</file>

<file path=xl/sharedStrings.xml><?xml version="1.0" encoding="utf-8"?>
<sst xmlns="http://schemas.openxmlformats.org/spreadsheetml/2006/main" count="6299" uniqueCount="2586">
  <si>
    <t xml:space="preserve">DADOS GERAIS </t>
  </si>
  <si>
    <t>Secretaria de Atenção Especializada à Saúde</t>
  </si>
  <si>
    <t>Bancos:</t>
  </si>
  <si>
    <t>Obra:</t>
  </si>
  <si>
    <t>Local:</t>
  </si>
  <si>
    <t>Ministério da Saúde - Departamento de Atenção Hospitalar Domiciliar e de Urgência</t>
  </si>
  <si>
    <t>Região:</t>
  </si>
  <si>
    <t>SP</t>
  </si>
  <si>
    <t>Data Base:</t>
  </si>
  <si>
    <t>BDI Geral (%):</t>
  </si>
  <si>
    <t>BDI Equipamentos (%):</t>
  </si>
  <si>
    <t>Área construída (m²):</t>
  </si>
  <si>
    <t>Data:</t>
  </si>
  <si>
    <t>Revisão:</t>
  </si>
  <si>
    <t>Responsável Técnico pelo Orçamento:</t>
  </si>
  <si>
    <t>Thaís Ferreira Pellaquim</t>
  </si>
  <si>
    <t>Cargo Responsável Técnico:</t>
  </si>
  <si>
    <t>Engenheira Civil  - CREA MG 247749/D</t>
  </si>
  <si>
    <t>________________________________________________________________________________</t>
  </si>
  <si>
    <t>PLANILHA RESUMO</t>
  </si>
  <si>
    <t>BDI Geral:</t>
  </si>
  <si>
    <t>Encargo Social Mensalista:</t>
  </si>
  <si>
    <t>BDI Equipamentos:</t>
  </si>
  <si>
    <t>Encargo Social Horista:</t>
  </si>
  <si>
    <t>ITEM</t>
  </si>
  <si>
    <t>DESCRIÇÃO</t>
  </si>
  <si>
    <t>PREÇO</t>
  </si>
  <si>
    <t>%</t>
  </si>
  <si>
    <t>TOTAL</t>
  </si>
  <si>
    <t>Notas:</t>
  </si>
  <si>
    <t>PLANILHA DE ORÇAMENTO SINTÉTICO</t>
  </si>
  <si>
    <t>Item</t>
  </si>
  <si>
    <t>Código</t>
  </si>
  <si>
    <t>Banco</t>
  </si>
  <si>
    <t>Descrição</t>
  </si>
  <si>
    <t>Und</t>
  </si>
  <si>
    <t>Quant.</t>
  </si>
  <si>
    <t>Valor Unit</t>
  </si>
  <si>
    <t>Valor Unit com BDI</t>
  </si>
  <si>
    <t>Total</t>
  </si>
  <si>
    <t>Peso (%)</t>
  </si>
  <si>
    <t>M. O.</t>
  </si>
  <si>
    <t>MAT.</t>
  </si>
  <si>
    <t xml:space="preserve"> 1.1 </t>
  </si>
  <si>
    <t>SINAPI</t>
  </si>
  <si>
    <t>m²</t>
  </si>
  <si>
    <t xml:space="preserve"> 1.3 </t>
  </si>
  <si>
    <t xml:space="preserve"> 93582 </t>
  </si>
  <si>
    <t>EXECUÇÃO DE CENTRAL DE ARMADURA EM CANTEIRO DE OBRA, NÃO INCLUSO MOBILIÁRIO E EQUIPAMENTOS. AF_04/2016</t>
  </si>
  <si>
    <t xml:space="preserve"> 93583 </t>
  </si>
  <si>
    <t>EXECUÇÃO DE CENTRAL DE FÔRMAS, PRODUÇÃO DE ARGAMASSA OU CONCRETO EM CANTEIRO DE OBRA, NÃO INCLUSO MOBILIÁRIO E EQUIPAMENTOS. AF_04/2016</t>
  </si>
  <si>
    <t xml:space="preserve"> 93210 </t>
  </si>
  <si>
    <t>EXECUÇÃO DE REFEITÓRIO EM CANTEIRO DE OBRA EM CHAPA DE MADEIRA COMPENSADA, NÃO INCLUSO MOBILIÁRIO E EQUIPAMENTOS. AF_02/2016</t>
  </si>
  <si>
    <t xml:space="preserve"> 95648 </t>
  </si>
  <si>
    <t>KIT CAVALETE PARA MEDIÇÃO DE ÁGUA - ENTRADA INDIVIDUALIZADA, EM CPVC DN 28 (1"), PARA 1 MEDIDOR - FORNECIMENTO E INSTALAÇÃO (EXCLUSIVE HIDRÔMETRO). AF_11/2016</t>
  </si>
  <si>
    <t>UN</t>
  </si>
  <si>
    <t xml:space="preserve"> 95673 </t>
  </si>
  <si>
    <t>HIDRÔMETRO DN 20 (½), 1,5 M³/H  FORNECIMENTO E INSTALAÇÃO. AF_11/2016</t>
  </si>
  <si>
    <t xml:space="preserve"> 101509 </t>
  </si>
  <si>
    <t>ENTRADA DE ENERGIA ELÉTRICA, AÉREA, TRIFÁSICA, COM CAIXA DE EMBUTIR, CABO DE 10 MM2 E DISJUNTOR DIN 50A (NÃO INCLUSO O POSTE DE CONCRETO). AF_07/2020_PS</t>
  </si>
  <si>
    <t xml:space="preserve"> 103689 </t>
  </si>
  <si>
    <t>FORNECIMENTO E INSTALAÇÃO DE PLACA DE OBRA COM CHAPA GALVANIZADA E ESTRUTURA DE MADEIRA. AF_03/2022_PS</t>
  </si>
  <si>
    <t xml:space="preserve"> 98459 </t>
  </si>
  <si>
    <t>TAPUME COM TELHA METÁLICA. AF_05/2018</t>
  </si>
  <si>
    <t xml:space="preserve"> 012689 </t>
  </si>
  <si>
    <t>SBC</t>
  </si>
  <si>
    <t>MOBILIZACAO E DESMOBILIZACAO DE CANTEIRO</t>
  </si>
  <si>
    <t>FUNDAÇÃO</t>
  </si>
  <si>
    <t xml:space="preserve"> 2.1 </t>
  </si>
  <si>
    <t xml:space="preserve"> 99059 </t>
  </si>
  <si>
    <t>LOCACAO CONVENCIONAL DE OBRA, UTILIZANDO GABARITO DE TÁBUAS CORRIDAS PONTALETADAS A CADA 2,00M -  2 UTILIZAÇÕES. AF_10/2018</t>
  </si>
  <si>
    <t>M</t>
  </si>
  <si>
    <t xml:space="preserve"> 2.2 </t>
  </si>
  <si>
    <t xml:space="preserve"> 93358 </t>
  </si>
  <si>
    <t>ESCAVAÇÃO MANUAL DE VALA COM PROFUNDIDADE MENOR OU IGUAL A 1,30 M. AF_02/2021</t>
  </si>
  <si>
    <t>m³</t>
  </si>
  <si>
    <t xml:space="preserve"> 2.3 </t>
  </si>
  <si>
    <t xml:space="preserve"> 2.4 </t>
  </si>
  <si>
    <t xml:space="preserve"> 2.5 </t>
  </si>
  <si>
    <t xml:space="preserve"> 2.6 </t>
  </si>
  <si>
    <t xml:space="preserve"> 96543 </t>
  </si>
  <si>
    <t>ARMAÇÃO DE BLOCO, VIGA BALDRAME E SAPATA UTILIZANDO AÇO CA-60 DE 5 MM - MONTAGEM. AF_06/2017</t>
  </si>
  <si>
    <t>KG</t>
  </si>
  <si>
    <t xml:space="preserve"> 2.7 </t>
  </si>
  <si>
    <t xml:space="preserve"> 2.8 </t>
  </si>
  <si>
    <t xml:space="preserve"> 96545 </t>
  </si>
  <si>
    <t>ARMAÇÃO DE BLOCO, VIGA BALDRAME OU SAPATA UTILIZANDO AÇO CA-50 DE 8 MM - MONTAGEM. AF_06/2017</t>
  </si>
  <si>
    <t xml:space="preserve"> 2.9 </t>
  </si>
  <si>
    <t xml:space="preserve"> 96546 </t>
  </si>
  <si>
    <t>ARMAÇÃO DE BLOCO, VIGA BALDRAME OU SAPATA UTILIZANDO AÇO CA-50 DE 10 MM - MONTAGEM. AF_06/2017</t>
  </si>
  <si>
    <t xml:space="preserve"> 2.10 </t>
  </si>
  <si>
    <t xml:space="preserve"> 2.11 </t>
  </si>
  <si>
    <t xml:space="preserve"> 96548 </t>
  </si>
  <si>
    <t>ARMAÇÃO DE BLOCO, VIGA BALDRAME OU SAPATA UTILIZANDO AÇO CA-50 DE 16 MM - MONTAGEM. AF_06/2017</t>
  </si>
  <si>
    <t xml:space="preserve"> 2.12 </t>
  </si>
  <si>
    <t xml:space="preserve"> 2.13 </t>
  </si>
  <si>
    <t xml:space="preserve"> 100574 </t>
  </si>
  <si>
    <t>ESPALHAMENTO DE MATERIAL COM TRATOR DE ESTEIRAS. AF_11/2019</t>
  </si>
  <si>
    <t xml:space="preserve"> 93382 </t>
  </si>
  <si>
    <t>REATERRO MANUAL DE VALAS, COM COMPACTADOR DE SOLOS DE PERCUSSÃO. AF_08/2023</t>
  </si>
  <si>
    <t xml:space="preserve"> 98557 </t>
  </si>
  <si>
    <t>IMPERMEABILIZAÇÃO DE SUPERFÍCIE COM EMULSÃO ASFÁLTICA, 2 DEMÃOS. AF_09/2023</t>
  </si>
  <si>
    <t xml:space="preserve"> 000128 </t>
  </si>
  <si>
    <t>CONTROLE TECNOLOGICO DE CONCRETOS</t>
  </si>
  <si>
    <t>ESTRUTURA</t>
  </si>
  <si>
    <t xml:space="preserve"> 3.1 </t>
  </si>
  <si>
    <t>PILARES</t>
  </si>
  <si>
    <t xml:space="preserve"> 3.1.1 </t>
  </si>
  <si>
    <t xml:space="preserve"> 3.1.2 </t>
  </si>
  <si>
    <t xml:space="preserve"> 92762 </t>
  </si>
  <si>
    <t>ARMAÇÃO DE PILAR OU VIGA DE ESTRUTURA CONVENCIONAL DE CONCRETO ARMADO UTILIZANDO AÇO CA-50 DE 10,0 MM - MONTAGEM. AF_06/2022</t>
  </si>
  <si>
    <t xml:space="preserve"> 3.1.3 </t>
  </si>
  <si>
    <t xml:space="preserve"> 92763 </t>
  </si>
  <si>
    <t>ARMAÇÃO DE PILAR OU VIGA DE ESTRUTURA CONVENCIONAL DE CONCRETO ARMADO UTILIZANDO AÇO CA-50 DE 12,5 MM - MONTAGEM. AF_06/2022</t>
  </si>
  <si>
    <t xml:space="preserve"> 3.1.4 </t>
  </si>
  <si>
    <t xml:space="preserve"> 92764 </t>
  </si>
  <si>
    <t>ARMAÇÃO DE PILAR OU VIGA DE ESTRUTURA CONVENCIONAL DE CONCRETO ARMADO UTILIZANDO AÇO CA-50 DE 16,0 MM - MONTAGEM. AF_06/2022</t>
  </si>
  <si>
    <t xml:space="preserve"> 3.1.5 </t>
  </si>
  <si>
    <t xml:space="preserve"> 92759 </t>
  </si>
  <si>
    <t>ARMAÇÃO DE PILAR OU VIGA DE ESTRUTURA CONVENCIONAL DE CONCRETO ARMADO UTILIZANDO AÇO CA-60 DE 5,0 MM - MONTAGEM. AF_06/2022</t>
  </si>
  <si>
    <t xml:space="preserve"> 3.1.6 </t>
  </si>
  <si>
    <t>Próprio</t>
  </si>
  <si>
    <t xml:space="preserve"> 3.1.7 </t>
  </si>
  <si>
    <t xml:space="preserve"> 3.2 </t>
  </si>
  <si>
    <t>VIGAS</t>
  </si>
  <si>
    <t xml:space="preserve"> 3.2.1 </t>
  </si>
  <si>
    <t xml:space="preserve"> 3.2.2 </t>
  </si>
  <si>
    <t xml:space="preserve"> 92760 </t>
  </si>
  <si>
    <t>ARMAÇÃO DE PILAR OU VIGA DE ESTRUTURA CONVENCIONAL DE CONCRETO ARMADO UTILIZANDO AÇO CA-50 DE 6,3 MM - MONTAGEM. AF_06/2022</t>
  </si>
  <si>
    <t xml:space="preserve"> 3.2.3 </t>
  </si>
  <si>
    <t xml:space="preserve"> 92761 </t>
  </si>
  <si>
    <t>ARMAÇÃO DE PILAR OU VIGA DE ESTRUTURA CONVENCIONAL DE CONCRETO ARMADO UTILIZANDO AÇO CA-50 DE 8,0 MM - MONTAGEM. AF_06/2022</t>
  </si>
  <si>
    <t xml:space="preserve"> 3.2.4 </t>
  </si>
  <si>
    <t xml:space="preserve"> 3.2.5 </t>
  </si>
  <si>
    <t xml:space="preserve"> 3.2.6 </t>
  </si>
  <si>
    <t xml:space="preserve"> 3.2.7 </t>
  </si>
  <si>
    <t xml:space="preserve"> 3.2.8 </t>
  </si>
  <si>
    <t xml:space="preserve"> 3.2.9 </t>
  </si>
  <si>
    <t xml:space="preserve"> 3.3 </t>
  </si>
  <si>
    <t xml:space="preserve"> 3.3.1 </t>
  </si>
  <si>
    <t xml:space="preserve"> 3.3.2 </t>
  </si>
  <si>
    <t xml:space="preserve"> 3.3.3 </t>
  </si>
  <si>
    <t xml:space="preserve"> 92768 </t>
  </si>
  <si>
    <t>ARMAÇÃO DE LAJE DE ESTRUTURA CONVENCIONAL DE CONCRETO ARMADO UTILIZANDO AÇO CA-60 DE 5,0 MM - MONTAGEM. AF_06/2022</t>
  </si>
  <si>
    <t xml:space="preserve"> 3.3.4 </t>
  </si>
  <si>
    <t xml:space="preserve"> 92769 </t>
  </si>
  <si>
    <t>ARMAÇÃO DE LAJE DE ESTRUTURA CONVENCIONAL DE CONCRETO ARMADO UTILIZANDO AÇO CA-50 DE 6,3 MM - MONTAGEM. AF_06/2022</t>
  </si>
  <si>
    <t xml:space="preserve"> 3.3.5 </t>
  </si>
  <si>
    <t xml:space="preserve"> 92770 </t>
  </si>
  <si>
    <t>ARMAÇÃO DE LAJE DE ESTRUTURA CONVENCIONAL DE CONCRETO ARMADO UTILIZANDO AÇO CA-50 DE 8,0 MM - MONTAGEM. AF_06/2022</t>
  </si>
  <si>
    <t xml:space="preserve"> 3.3.6 </t>
  </si>
  <si>
    <t xml:space="preserve"> 92771 </t>
  </si>
  <si>
    <t>ARMAÇÃO DE LAJE DE ESTRUTURA CONVENCIONAL DE CONCRETO ARMADO UTILIZANDO AÇO CA-50 DE 10,0 MM - MONTAGEM. AF_06/2022</t>
  </si>
  <si>
    <t xml:space="preserve"> 3.3.7 </t>
  </si>
  <si>
    <t xml:space="preserve"> 3.3.8 </t>
  </si>
  <si>
    <t xml:space="preserve"> 3.4 </t>
  </si>
  <si>
    <t>BASE RESERVATÓRIO</t>
  </si>
  <si>
    <t xml:space="preserve"> 3.4.1 </t>
  </si>
  <si>
    <t xml:space="preserve"> 97103 </t>
  </si>
  <si>
    <t>EXECUÇÃO DE RADIER, ESPESSURA DE 20 CM, FCK = 30 MPA, COM USO DE FORMAS EM MADEIRA SERRADA. AF_09/2021</t>
  </si>
  <si>
    <t xml:space="preserve"> 4.1 </t>
  </si>
  <si>
    <t xml:space="preserve"> 103318 </t>
  </si>
  <si>
    <t>ALVENARIA DE VEDAÇÃO DE BLOCOS VAZADOS DE CONCRETO DE 14X19X39 CM (ESPESSURA 14 CM)  E ARGAMASSA DE ASSENTAMENTO COM PREPARO EM BETONEIRA. AF_12/2021</t>
  </si>
  <si>
    <t xml:space="preserve"> 4.2 </t>
  </si>
  <si>
    <t xml:space="preserve"> 4.3 </t>
  </si>
  <si>
    <t xml:space="preserve"> 93191 </t>
  </si>
  <si>
    <t>VERGA MOLDADA IN LOCO COM UTILIZAÇÃO DE BLOCOS CANALETA PARA JANELAS COM MAIS DE 1,5 M DE VÃO. AF_03/2016</t>
  </si>
  <si>
    <t xml:space="preserve"> 93199 </t>
  </si>
  <si>
    <t>CONTRAVERGA MOLDADA IN LOCO COM UTILIZAÇÃO DE BLOCOS CANALETA PARA VÃOS DE MAIS DE 1,5 M DE COMPRIMENTO. AF_03/2016</t>
  </si>
  <si>
    <t xml:space="preserve"> 101161 </t>
  </si>
  <si>
    <t>ALVENARIA DE VEDAÇÃO COM ELEMENTO VAZADO DE CONCRETO (COBOGÓ) DE 7X50X50CM E ARGAMASSA DE ASSENTAMENTO COM PREPARO EM BETONEIRA. AF_05/2020</t>
  </si>
  <si>
    <t>REVESTIMENTO ARGAMASSADO</t>
  </si>
  <si>
    <t xml:space="preserve"> 5.1 </t>
  </si>
  <si>
    <t xml:space="preserve"> 87905 </t>
  </si>
  <si>
    <t>CHAPISCO APLICADO EM ALVENARIA (COM PRESENÇA DE VÃOS) E ESTRUTURAS DE CONCRETO DE FACHADA, COM COLHER DE PEDREIRO.  ARGAMASSA TRAÇO 1:3 COM PREPARO EM BETONEIRA 400L. AF_10/2022</t>
  </si>
  <si>
    <t xml:space="preserve"> 5.2 </t>
  </si>
  <si>
    <t xml:space="preserve"> 87530 </t>
  </si>
  <si>
    <t>MASSA ÚNICA, PARA RECEBIMENTO DE PINTURA, EM ARGAMASSA TRAÇO 1:2:8, PREPARO MANUAL, APLICADA MANUALMENTE EM FACES INTERNAS DE PAREDES, ESPESSURA DE 20MM, COM EXECUÇÃO DE TALISCAS. AF_06/2014</t>
  </si>
  <si>
    <t xml:space="preserve"> 5.3 </t>
  </si>
  <si>
    <t xml:space="preserve"> 5.4 </t>
  </si>
  <si>
    <t xml:space="preserve"> 5.5 </t>
  </si>
  <si>
    <t xml:space="preserve"> 2180 </t>
  </si>
  <si>
    <t>ORSE</t>
  </si>
  <si>
    <t>Regularização de base para revest. de pisos com arg. traço t4, esp. média = 2,5cm</t>
  </si>
  <si>
    <t>COBERTURA</t>
  </si>
  <si>
    <t xml:space="preserve"> 6.1 </t>
  </si>
  <si>
    <t xml:space="preserve"> 94207 </t>
  </si>
  <si>
    <t>TELHAMENTO COM TELHA ONDULADA DE FIBROCIMENTO E = 6 MM, COM RECOBRIMENTO LATERAL DE 1/4 DE ONDA PARA TELHADO COM INCLINAÇÃO MAIOR QUE 10°, COM ATÉ 2 ÁGUAS, INCLUSO IÇAMENTO. AF_07/2019</t>
  </si>
  <si>
    <t xml:space="preserve"> 6.2 </t>
  </si>
  <si>
    <t xml:space="preserve"> 100383 </t>
  </si>
  <si>
    <t>FABRICAÇÃO E INSTALAÇÃO DE PONTALETES DE MADEIRA NÃO APARELHADA PARA TELHADOS COM ATÉ 2 ÁGUAS E COM TELHA ONDULADA DE FIBROCIMENTO, ALUMÍNIO OU PLÁSTICA EM EDIFÍCIO RESIDENCIAL DE MÚLTIPLOS PAVIMENTOS, INCLUSO TRANSPORTE VERTICAL. AF_07/2019</t>
  </si>
  <si>
    <t xml:space="preserve"> 6.3 </t>
  </si>
  <si>
    <t xml:space="preserve"> 92543 </t>
  </si>
  <si>
    <t>TRAMA DE MADEIRA COMPOSTA POR TERÇAS PARA TELHADOS DE ATÉ 2 ÁGUAS PARA TELHA ONDULADA DE FIBROCIMENTO, METÁLICA, PLÁSTICA OU TERMOACÚSTICA, INCLUSO TRANSPORTE VERTICAL. AF_07/2019</t>
  </si>
  <si>
    <t xml:space="preserve"> 94231 </t>
  </si>
  <si>
    <t>RUFO EM CHAPA DE AÇO GALVANIZADO NÚMERO 24, CORTE DE 25 CM, INCLUSO TRANSPORTE VERTICAL. AF_07/2019</t>
  </si>
  <si>
    <t xml:space="preserve"> 94229 </t>
  </si>
  <si>
    <t>CALHA EM CHAPA DE AÇO GALVANIZADO NÚMERO 24, DESENVOLVIMENTO DE 100 CM, INCLUSO TRANSPORTE VERTICAL. AF_07/2019</t>
  </si>
  <si>
    <t xml:space="preserve"> 98565 </t>
  </si>
  <si>
    <t>PROTEÇÃO MECÂNICA DE SUPERFICIE HORIZONTAL COM ARGAMASSA DE CIMENTO E AREIA, TRAÇO 1:3, E=3CM. AF_09/2023</t>
  </si>
  <si>
    <t xml:space="preserve"> 98546 </t>
  </si>
  <si>
    <t>IMPERMEABILIZAÇÃO DE SUPERFÍCIE COM MANTA ASFÁLTICA, UMA CAMADA, INCLUSIVE APLICAÇÃO DE PRIMER ASFÁLTICO, E=4MM. AF_09/2023</t>
  </si>
  <si>
    <t xml:space="preserve"> 7.1 </t>
  </si>
  <si>
    <t xml:space="preserve"> 90373 </t>
  </si>
  <si>
    <t>JOELHO 90 GRAUS COM BUCHA DE LATÃO, PVC, SOLDÁVEL, DN 25MM, X 1/2  INSTALADO EM RAMAL OU SUB-RAMAL DE ÁGUA - FORNECIMENTO E INSTALAÇÃO. AF_06/2022</t>
  </si>
  <si>
    <t xml:space="preserve"> 86913 </t>
  </si>
  <si>
    <t>TORNEIRA CROMADA 1/2 OU 3/4 PARA TANQUE, PADRÃO POPULAR - FORNECIMENTO E INSTALAÇÃO. AF_01/2020</t>
  </si>
  <si>
    <t xml:space="preserve"> 89396 </t>
  </si>
  <si>
    <t>TÊ COM BUCHA DE LATÃO NA BOLSA CENTRAL, PVC, SOLDÁVEL, DN 25MM X 1/2 , INSTALADO EM RAMAL OU SUB-RAMAL DE ÁGUA - FORNECIMENTO E INSTALAÇÃO. AF_06/2022</t>
  </si>
  <si>
    <t xml:space="preserve"> 89366 </t>
  </si>
  <si>
    <t>JOELHO 90 GRAUS COM BUCHA DE LATÃO, PVC, SOLDÁVEL, DN 25MM, X 3/4  INSTALADO EM RAMAL OU SUB-RAMAL DE ÁGUA - FORNECIMENTO E INSTALAÇÃO. AF_06/2022</t>
  </si>
  <si>
    <t xml:space="preserve"> 89627 </t>
  </si>
  <si>
    <t>TÊ DE REDUÇÃO, PVC, SOLDÁVEL, DN 50MM X 25MM, INSTALADO EM PRUMADA DE ÁGUA - FORNECIMENTO E INSTALAÇÃO. AF_06/2022</t>
  </si>
  <si>
    <t>un</t>
  </si>
  <si>
    <t xml:space="preserve"> 94492 </t>
  </si>
  <si>
    <t>REGISTRO DE ESFERA, PVC, SOLDÁVEL, COM VOLANTE, DN  50 MM - FORNECIMENTO E INSTALAÇÃO. AF_08/2021</t>
  </si>
  <si>
    <t xml:space="preserve"> 89985 </t>
  </si>
  <si>
    <t>REGISTRO DE PRESSÃO BRUTO, LATÃO, ROSCÁVEL, 3/4", COM ACABAMENTO E CANOPLA CROMADOS - FORNECIMENTO E INSTALAÇÃO. AF_08/2021</t>
  </si>
  <si>
    <t xml:space="preserve"> 89987 </t>
  </si>
  <si>
    <t>REGISTRO DE GAVETA BRUTO, LATÃO, ROSCÁVEL, 3/4", COM ACABAMENTO E CANOPLA CROMADOS - FORNECIMENTO E INSTALAÇÃO. AF_08/2021</t>
  </si>
  <si>
    <t xml:space="preserve"> 94794 </t>
  </si>
  <si>
    <t>REGISTRO DE GAVETA BRUTO, LATÃO, ROSCÁVEL, 1 1/2", COM ACABAMENTO E CANOPLA CROMADOS - FORNECIMENTO E INSTALAÇÃO. AF_08/2021</t>
  </si>
  <si>
    <t xml:space="preserve"> 89408 </t>
  </si>
  <si>
    <t>JOELHO 90 GRAUS, PVC, SOLDÁVEL, DN 25MM, INSTALADO EM RAMAL DE DISTRIBUIÇÃO DE ÁGUA - FORNECIMENTO E INSTALAÇÃO. AF_06/2022</t>
  </si>
  <si>
    <t xml:space="preserve"> 104014 </t>
  </si>
  <si>
    <t>BUCHA DE REDUÇÃO, LONGA, PVC, SOLDÁVEL, DN 40 X 25 MM, INSTALADO EM RAMAL DE DISTRIBUIÇÃO DE ÁGUA - FORNECIMENTO E INSTALAÇÃO. AF_06/2022</t>
  </si>
  <si>
    <t>SEINFRA</t>
  </si>
  <si>
    <t xml:space="preserve"> 7.2 </t>
  </si>
  <si>
    <t>SANITÁRIA</t>
  </si>
  <si>
    <t xml:space="preserve"> 97897 </t>
  </si>
  <si>
    <t>CAIXA ENTERRADA HIDRÁULICA RETANGULAR, EM CONCRETO PRÉ-MOLDADO, DIMENSÕES INTERNAS: 0,6X0,6X0,5 M. AF_12/2020</t>
  </si>
  <si>
    <t xml:space="preserve"> 97903 </t>
  </si>
  <si>
    <t>CAIXA ENTERRADA HIDRÁULICA RETANGULAR EM ALVENARIA COM TIJOLOS CERÂMICOS MACIÇOS, DIMENSÕES INTERNAS: 0,8X0,8X0,6 M PARA REDE DE ESGOTO. AF_12/2020</t>
  </si>
  <si>
    <t xml:space="preserve"> 104328 </t>
  </si>
  <si>
    <t>CAIXA SIFONADA, COM GRELHA QUADRADA, PVC, DN 150 X 150 X 50 MM, JUNTA SOLDÁVEL, FORNECIDA E INSTALADA EM RAMAL DE DESCARGA OU EM RAMAL DE ESGOTO SANITÁRIO. AF_08/2022</t>
  </si>
  <si>
    <t xml:space="preserve"> 89728 </t>
  </si>
  <si>
    <t>CURVA CURTA 90 GRAUS, PVC, SERIE NORMAL, ESGOTO PREDIAL, DN 40 MM, JUNTA SOLDÁVEL, FORNECIDO E INSTALADO EM RAMAL DE DESCARGA OU RAMAL DE ESGOTO SANITÁRIO. AF_08/2022</t>
  </si>
  <si>
    <t xml:space="preserve"> 89726 </t>
  </si>
  <si>
    <t>JOELHO 45 GRAUS, PVC, SERIE NORMAL, ESGOTO PREDIAL, DN 40 MM, JUNTA SOLDÁVEL, FORNECIDO E INSTALADO EM RAMAL DE DESCARGA OU RAMAL DE ESGOTO SANITÁRIO. AF_08/2022</t>
  </si>
  <si>
    <t xml:space="preserve"> 89724 </t>
  </si>
  <si>
    <t>JOELHO 90 GRAUS, PVC, SERIE NORMAL, ESGOTO PREDIAL, DN 40 MM, JUNTA SOLDÁVEL, FORNECIDO E INSTALADO EM RAMAL DE DESCARGA OU RAMAL DE ESGOTO SANITÁRIO. AF_08/2022</t>
  </si>
  <si>
    <t xml:space="preserve"> 89785 </t>
  </si>
  <si>
    <t>JUNÇÃO SIMPLES, PVC, SERIE NORMAL, ESGOTO PREDIAL, DN 50 X 50 MM, JUNTA ELÁSTICA, FORNECIDO E INSTALADO EM RAMAL DE DESCARGA OU RAMAL DE ESGOTO SANITÁRIO. AF_08/2022</t>
  </si>
  <si>
    <t xml:space="preserve"> 89782 </t>
  </si>
  <si>
    <t>TE, PVC, SERIE NORMAL, ESGOTO PREDIAL, DN 40 X 40 MM, JUNTA SOLDÁVEL, FORNECIDO E INSTALADO EM RAMAL DE DESCARGA OU RAMAL DE ESGOTO SANITÁRIO. AF_08/2022</t>
  </si>
  <si>
    <t xml:space="preserve"> 89549 </t>
  </si>
  <si>
    <t>REDUÇÃO EXCÊNTRICA, PVC, SERIE R, ÁGUA PLUVIAL, DN 75 X 50 MM, JUNTA ELÁSTICA, FORNECIDO E INSTALADO EM RAMAL DE ENCAMINHAMENTO. AF_06/2022</t>
  </si>
  <si>
    <t xml:space="preserve"> 89731 </t>
  </si>
  <si>
    <t>JOELHO 90 GRAUS, PVC, SERIE NORMAL, ESGOTO PREDIAL, DN 50 MM, JUNTA ELÁSTICA, FORNECIDO E INSTALADO EM RAMAL DE DESCARGA OU RAMAL DE ESGOTO SANITÁRIO. AF_08/2022</t>
  </si>
  <si>
    <t xml:space="preserve"> 104348 </t>
  </si>
  <si>
    <t>TERMINAL DE VENTILAÇÃO, PVC, SÉRIE NORMAL, ESGOTO PREDIAL, DN 50 MM, JUNTA SOLDÁVEL, FORNECIDO E INSTALADO EM PRUMADA DE ESGOTO SANITÁRIO OU VENTILAÇÃO. AF_08/2022</t>
  </si>
  <si>
    <t xml:space="preserve"> 104351 </t>
  </si>
  <si>
    <t>TERMINAL DE VENTILAÇÃO, PVC, SÉRIE NORMAL, ESGOTO PREDIAL, DN 75 MM, JUNTA SOLDÁVEL, FORNECIDO E INSTALADO EM PRUMADA DE ESGOTO SANITÁRIO OU VENTILAÇÃO. AF_08/2022</t>
  </si>
  <si>
    <t xml:space="preserve"> 89825 </t>
  </si>
  <si>
    <t>TE, PVC, SERIE NORMAL, ESGOTO PREDIAL, DN 50 X 50 MM, JUNTA ELÁSTICA, FORNECIDO E INSTALADO EM PRUMADA DE ESGOTO SANITÁRIO OU VENTILAÇÃO. AF_08/2022</t>
  </si>
  <si>
    <t xml:space="preserve"> 7.3 </t>
  </si>
  <si>
    <t xml:space="preserve"> 89833 </t>
  </si>
  <si>
    <t>TE, PVC, SERIE NORMAL, ESGOTO PREDIAL, DN 100 X 100 MM, JUNTA ELÁSTICA, FORNECIDO E INSTALADO EM PRUMADA DE ESGOTO SANITÁRIO OU VENTILAÇÃO. AF_08/2022</t>
  </si>
  <si>
    <t xml:space="preserve"> 89869 </t>
  </si>
  <si>
    <t>TE, PVC, SOLDÁVEL, DN 25MM, INSTALADO EM DRENO DE AR-CONDICIONADO - FORNECIMENTO E INSTALAÇÃO. AF_08/2022</t>
  </si>
  <si>
    <t xml:space="preserve"> 89867 </t>
  </si>
  <si>
    <t>JOELHO 45 GRAUS, PVC, SOLDÁVEL, DN 25MM, INSTALADO EM DRENO DE AR-CONDICIONADO - FORNECIMENTO E INSTALAÇÃO. AF_08/2022</t>
  </si>
  <si>
    <t xml:space="preserve"> 97.02.198 </t>
  </si>
  <si>
    <t>CPOS/CDHU</t>
  </si>
  <si>
    <t xml:space="preserve"> 97.02.193 </t>
  </si>
  <si>
    <t>Un</t>
  </si>
  <si>
    <t xml:space="preserve"> 101910 </t>
  </si>
  <si>
    <t>EXTINTOR DE INCÊNDIO PORTÁTIL COM CARGA DE PQS DE 8 KG, CLASSE BC - FORNECIMENTO E INSTALAÇÃO. AF_10/2020_PE</t>
  </si>
  <si>
    <t xml:space="preserve"> 12889 </t>
  </si>
  <si>
    <t>Placa de sinalizacao, fotoluminescente, em pvc , com logotipo "Cuidado risco de choque elétrico"- Placa E5</t>
  </si>
  <si>
    <t xml:space="preserve"> 8.1 </t>
  </si>
  <si>
    <t xml:space="preserve"> 8.2 </t>
  </si>
  <si>
    <t xml:space="preserve"> 91937 </t>
  </si>
  <si>
    <t>CAIXA OCTOGONAL 3" X 3", PVC, INSTALADA EM LAJE - FORNECIMENTO E INSTALAÇÃO. AF_03/2023</t>
  </si>
  <si>
    <t xml:space="preserve"> 92988 </t>
  </si>
  <si>
    <t>CABO DE COBRE FLEXÍVEL ISOLADO, 50 MM², ANTI-CHAMA 0,6/1,0 KV, PARA REDE ENTERRADA DE DISTRIBUIÇÃO DE ENERGIA ELÉTRICA - FORNECIMENTO E INSTALAÇÃO. AF_12/2021</t>
  </si>
  <si>
    <t xml:space="preserve"> 91931 </t>
  </si>
  <si>
    <t>CABO DE COBRE FLEXÍVEL ISOLADO, 6 MM², ANTI-CHAMA 0,6/1,0 KV, PARA CIRCUITOS TERMINAIS - FORNECIMENTO E INSTALAÇÃO. AF_03/2023</t>
  </si>
  <si>
    <t xml:space="preserve"> 91924 </t>
  </si>
  <si>
    <t>CABO DE COBRE FLEXÍVEL ISOLADO, 1,5 MM², ANTI-CHAMA 450/750 V, PARA CIRCUITOS TERMINAIS - FORNECIMENTO E INSTALAÇÃO. AF_03/2023</t>
  </si>
  <si>
    <t xml:space="preserve"> 91926 </t>
  </si>
  <si>
    <t>CABO DE COBRE FLEXÍVEL ISOLADO, 2,5 MM², ANTI-CHAMA 450/750 V, PARA CIRCUITOS TERMINAIS - FORNECIMENTO E INSTALAÇÃO. AF_03/2023</t>
  </si>
  <si>
    <t xml:space="preserve"> 91928 </t>
  </si>
  <si>
    <t>CABO DE COBRE FLEXÍVEL ISOLADO, 4 MM², ANTI-CHAMA 450/750 V, PARA CIRCUITOS TERMINAIS - FORNECIMENTO E INSTALAÇÃO. AF_03/2023</t>
  </si>
  <si>
    <t xml:space="preserve"> 91930 </t>
  </si>
  <si>
    <t>CABO DE COBRE FLEXÍVEL ISOLADO, 6 MM², ANTI-CHAMA 450/750 V, PARA CIRCUITOS TERMINAIS - FORNECIMENTO E INSTALAÇÃO. AF_03/2023</t>
  </si>
  <si>
    <t xml:space="preserve"> 91955 </t>
  </si>
  <si>
    <t>INTERRUPTOR PARALELO (1 MÓDULO), 10A/250V, INCLUINDO SUPORTE E PLACA - FORNECIMENTO E INSTALAÇÃO. AF_03/2023</t>
  </si>
  <si>
    <t xml:space="preserve"> 93662 </t>
  </si>
  <si>
    <t>DISJUNTOR BIPOLAR TIPO DIN, CORRENTE NOMINAL DE 20A - FORNECIMENTO E INSTALAÇÃO. AF_10/2020</t>
  </si>
  <si>
    <t xml:space="preserve"> 93663 </t>
  </si>
  <si>
    <t>DISJUNTOR BIPOLAR TIPO DIN, CORRENTE NOMINAL DE 25A - FORNECIMENTO E INSTALAÇÃO. AF_10/2020</t>
  </si>
  <si>
    <t xml:space="preserve"> 93665 </t>
  </si>
  <si>
    <t>DISJUNTOR BIPOLAR TIPO DIN, CORRENTE NOMINAL DE 40A - FORNECIMENTO E INSTALAÇÃO. AF_10/2020</t>
  </si>
  <si>
    <t xml:space="preserve"> 93654 </t>
  </si>
  <si>
    <t>DISJUNTOR MONOPOLAR TIPO DIN, CORRENTE NOMINAL DE 16A - FORNECIMENTO E INSTALAÇÃO. AF_10/2020</t>
  </si>
  <si>
    <t xml:space="preserve"> 93655 </t>
  </si>
  <si>
    <t>DISJUNTOR MONOPOLAR TIPO DIN, CORRENTE NOMINAL DE 20A - FORNECIMENTO E INSTALAÇÃO. AF_10/2020</t>
  </si>
  <si>
    <t xml:space="preserve"> 13149 </t>
  </si>
  <si>
    <t>Dispositivo DR tetrapolar 100 A, tipo AC, 30MA</t>
  </si>
  <si>
    <t xml:space="preserve"> 12233 </t>
  </si>
  <si>
    <t>Quadro de distribuição de embutir, em chapa de aço, para até 70 disjuntores, com barramento, padrão DIN, exclusive disjuntores</t>
  </si>
  <si>
    <t xml:space="preserve"> 078206 </t>
  </si>
  <si>
    <t>CABO DE COBRE NU MEIO DURO 7 FIOS 35mm2</t>
  </si>
  <si>
    <t xml:space="preserve"> 078212 </t>
  </si>
  <si>
    <t>CABO DE COBRE NU MEIO DURO 7 FIOS 50mm2</t>
  </si>
  <si>
    <t xml:space="preserve"> 96986 </t>
  </si>
  <si>
    <t>HASTE DE ATERRAMENTO, DIÂMETRO 3/4", COM 3 METROS - FORNECIMENTO E INSTALAÇÃO. AF_08/2023</t>
  </si>
  <si>
    <t xml:space="preserve"> 96989 </t>
  </si>
  <si>
    <t>CAPTOR TIPO FRANKLIN PARA SPDA - FORNECIMENTO E INSTALAÇÃO. AF_08/2023</t>
  </si>
  <si>
    <t xml:space="preserve"> 9.1 </t>
  </si>
  <si>
    <t xml:space="preserve"> 96114 </t>
  </si>
  <si>
    <t>FORRO EM DRYWALL, PARA AMBIENTES COMERCIAIS, INCLUSIVE ESTRUTURA BIRECIONAL DE FIXAÇÃO. AF_08/2023_PS</t>
  </si>
  <si>
    <t xml:space="preserve"> 9.2 </t>
  </si>
  <si>
    <t xml:space="preserve"> 9.3 </t>
  </si>
  <si>
    <t xml:space="preserve"> 10.1 </t>
  </si>
  <si>
    <t xml:space="preserve"> 104611 </t>
  </si>
  <si>
    <t>REVESTIMENTO CERÂMICO PARA PAREDES INTERNAS COM PLACAS TIPO ESMALTADA EXTRA DE DIMENSÕES 60X60 CM APLICADAS NA ALTURA INTEIRA DAS PAREDES. AF_02/2023_PE</t>
  </si>
  <si>
    <t xml:space="preserve"> 10168 </t>
  </si>
  <si>
    <t>Piso alta resistencia, colorido, e=10mm, aplicado com juntas, polido até o esmeril 400 e encerado</t>
  </si>
  <si>
    <t xml:space="preserve"> 12623 </t>
  </si>
  <si>
    <t>Piso alta resistência ou industrial de 12 mm, comum, cor cinza, com juntas plásticas, sem polimento, ecclusive argamassa de regularização, aplicado</t>
  </si>
  <si>
    <t xml:space="preserve"> 11233 </t>
  </si>
  <si>
    <t>Rodapé alta resistência, h = 10 cm, meia-cana</t>
  </si>
  <si>
    <t>m</t>
  </si>
  <si>
    <t xml:space="preserve"> 11.1 </t>
  </si>
  <si>
    <t xml:space="preserve"> 12.1 </t>
  </si>
  <si>
    <t xml:space="preserve"> 12492 </t>
  </si>
  <si>
    <t>Tampo/bancada em granito branco siena, e=2cm</t>
  </si>
  <si>
    <t>ESQUADRIAS</t>
  </si>
  <si>
    <t xml:space="preserve"> 13.1 </t>
  </si>
  <si>
    <t xml:space="preserve"> 13.2 </t>
  </si>
  <si>
    <t xml:space="preserve"> 91341 </t>
  </si>
  <si>
    <t>PORTA EM ALUMÍNIO DE ABRIR TIPO VENEZIANA COM GUARNIÇÃO, FIXAÇÃO COM PARAFUSOS - FORNECIMENTO E INSTALAÇÃO. AF_12/2019</t>
  </si>
  <si>
    <t xml:space="preserve"> 13.3 </t>
  </si>
  <si>
    <t xml:space="preserve"> 13096 </t>
  </si>
  <si>
    <t>Porta em vidro temperado 10mm, incolor, inclusive ferragens de fixação e instalação, exclusive puxador - Rev 01_10/2021</t>
  </si>
  <si>
    <t xml:space="preserve"> 23.13.040 </t>
  </si>
  <si>
    <t xml:space="preserve"> 110473 </t>
  </si>
  <si>
    <t>PORTA COMPLETA MADEIRA 1 FL.1,0x2,10m-COM VISOR</t>
  </si>
  <si>
    <t xml:space="preserve"> 91338 </t>
  </si>
  <si>
    <t>PORTA DE ALUMÍNIO DE ABRIR COM LAMBRI, COM GUARNIÇÃO, FIXAÇÃO COM PARAFUSOS - FORNECIMENTO E INSTALAÇÃO. AF_12/2019</t>
  </si>
  <si>
    <t xml:space="preserve"> 100702 </t>
  </si>
  <si>
    <t>PORTA DE CORRER DE ALUMÍNIO, COM DUAS FOLHAS PARA VIDRO, INCLUSO VIDRO LISO INCOLOR, FECHADURA E PUXADOR, SEM ALIZAR. AF_12/2019</t>
  </si>
  <si>
    <t xml:space="preserve"> 102188 </t>
  </si>
  <si>
    <t>MOLA HIDRAULICA DE PISO PARA PORTA DE VIDRO TEMPERADO. AF_01/2021</t>
  </si>
  <si>
    <t xml:space="preserve"> 94569 </t>
  </si>
  <si>
    <t>JANELA DE ALUMÍNIO TIPO MAXIM-AR, COM VIDROS, BATENTE E FERRAGENS. EXCLUSIVE ALIZAR, ACABAMENTO E CONTRAMARCO. FORNECIMENTO E INSTALAÇÃO. AF_12/2019</t>
  </si>
  <si>
    <t xml:space="preserve"> 100674 </t>
  </si>
  <si>
    <t>JANELA FIXA DE ALUMÍNIO PARA VIDRO, COM VIDRO, BATENTE E FERRAGENS. EXCLUSIVE ACABAMENTO, ALIZAR E CONTRAMARCO. FORNECIMENTO E INSTALAÇÃO. AF_12/2019</t>
  </si>
  <si>
    <t xml:space="preserve"> 14.1 </t>
  </si>
  <si>
    <t xml:space="preserve"> 86932 </t>
  </si>
  <si>
    <t>VASO SANITÁRIO SIFONADO COM CAIXA ACOPLADA LOUÇA BRANCA - PADRÃO MÉDIO, INCLUSO ENGATE FLEXÍVEL EM METAL CROMADO, 1/2  X 40CM - FORNECIMENTO E INSTALAÇÃO. AF_01/2020</t>
  </si>
  <si>
    <t xml:space="preserve"> 100860 </t>
  </si>
  <si>
    <t>CHUVEIRO ELÉTRICO COMUM CORPO PLÁSTICO, TIPO DUCHA  FORNECIMENTO E INSTALAÇÃO. AF_01/2020</t>
  </si>
  <si>
    <t xml:space="preserve"> 86900 </t>
  </si>
  <si>
    <t>CUBA DE EMBUTIR RETANGULAR DE AÇO INOXIDÁVEL, 46 X 30 X 12 CM - FORNECIMENTO E INSTALAÇÃO. AF_01/2020</t>
  </si>
  <si>
    <t xml:space="preserve"> 2087 </t>
  </si>
  <si>
    <t>Cuba de louça de embutir (oval ou circular) inclusive sifão plástico, válvula plástica para pia e engate plástico</t>
  </si>
  <si>
    <t xml:space="preserve"> 86919 </t>
  </si>
  <si>
    <t>TANQUE DE LOUÇA BRANCA COM COLUNA, 30L OU EQUIVALENTE, INCLUSO SIFÃO FLEXÍVEL EM PVC, VÁLVULA METÁLICA E TORNEIRA DE METAL CROMADO PADRÃO MÉDIO - FORNECIMENTO E INSTALAÇÃO. AF_01/2020</t>
  </si>
  <si>
    <t xml:space="preserve"> 9676 </t>
  </si>
  <si>
    <t>Torneira de mesa com fechamento automático, linha Decamatic Eco, ref.1173.C, DECA ou similar</t>
  </si>
  <si>
    <t xml:space="preserve"> 9503 </t>
  </si>
  <si>
    <t>Ducha higiênica com registro, linha Dream, ref. 1984.C87.ACT.CR, da DECA ou similar</t>
  </si>
  <si>
    <t xml:space="preserve"> 86883 </t>
  </si>
  <si>
    <t>SIFÃO DO TIPO FLEXÍVEL EM PVC 1  X 1.1/2  - FORNECIMENTO E INSTALAÇÃO. AF_01/2020</t>
  </si>
  <si>
    <t xml:space="preserve"> 15.1 </t>
  </si>
  <si>
    <t xml:space="preserve"> 13113 </t>
  </si>
  <si>
    <t>Barra de apoio, reta, fixa, em aço inox, l=80cm, d=1 1/4", Jackwal ou similar</t>
  </si>
  <si>
    <t xml:space="preserve"> 15.2 </t>
  </si>
  <si>
    <t xml:space="preserve"> 13110 </t>
  </si>
  <si>
    <t>Barra de apoio, reta, fixa, em aço inox, l=40cm, d=1 1/4", Jackwal ou similar</t>
  </si>
  <si>
    <t xml:space="preserve"> 15.3 </t>
  </si>
  <si>
    <t xml:space="preserve"> 100867 </t>
  </si>
  <si>
    <t>BARRA DE APOIO RETA, EM ACO INOX POLIDO, COMPRIMENTO 70 CM,  FIXADA NA PAREDE - FORNECIMENTO E INSTALAÇÃO. AF_01/2020</t>
  </si>
  <si>
    <t xml:space="preserve"> 100875 </t>
  </si>
  <si>
    <t>BANCO ARTICULADO, EM ACO INOX, PARA PCD, FIXADO NA PAREDE - FORNECIMENTO E INSTALAÇÃO. AF_01/2020</t>
  </si>
  <si>
    <t>DIVISÓRIAS</t>
  </si>
  <si>
    <t xml:space="preserve"> 16.1 </t>
  </si>
  <si>
    <t xml:space="preserve"> 102257 </t>
  </si>
  <si>
    <t>DIVISORIA SANITÁRIA, TIPO CABINE, EM PAINEL DE GRANILITE, ESP = 3CM, ASSENTADO COM ARGAMASSA COLANTE AC III-E, EXCLUSIVE FERRAGENS. AF_01/2021</t>
  </si>
  <si>
    <t>ILUMINAÇÃO</t>
  </si>
  <si>
    <t xml:space="preserve"> 17.1 </t>
  </si>
  <si>
    <t xml:space="preserve"> 17.2 </t>
  </si>
  <si>
    <t xml:space="preserve"> 17.3 </t>
  </si>
  <si>
    <t xml:space="preserve"> 97607 </t>
  </si>
  <si>
    <t>LUMINÁRIA ARANDELA TIPO TARTARUGA, DE SOBREPOR, COM 1 LÂMPADA LED DE 6 W, SEM REATOR - FORNECIMENTO E INSTALAÇÃO. AF_02/2020</t>
  </si>
  <si>
    <t xml:space="preserve"> 17.4 </t>
  </si>
  <si>
    <t xml:space="preserve"> 12807 </t>
  </si>
  <si>
    <t>Refletor Slim  LED 50W de potência, branco Frio, 6500k, Autovolt, marca G-light ou similar</t>
  </si>
  <si>
    <t>PINTURA</t>
  </si>
  <si>
    <t xml:space="preserve"> 18.1 </t>
  </si>
  <si>
    <t xml:space="preserve"> 88485 </t>
  </si>
  <si>
    <t>FUNDO SELADOR ACRÍLICO, APLICAÇÃO MANUAL EM PAREDE, UMA DEMÃO. AF_04/2023</t>
  </si>
  <si>
    <t xml:space="preserve"> 18.2 </t>
  </si>
  <si>
    <t xml:space="preserve"> 18.3 </t>
  </si>
  <si>
    <t xml:space="preserve"> 88497 </t>
  </si>
  <si>
    <t>EMASSAMENTO COM MASSA LÁTEX, APLICAÇÃO EM PAREDE, DUAS DEMÃOS, LIXAMENTO MANUAL. AF_04/2023</t>
  </si>
  <si>
    <t xml:space="preserve"> 104641 </t>
  </si>
  <si>
    <t>PINTURA LÁTEX ACRÍLICA ECONÔMICA, APLICAÇÃO MANUAL EM PAREDES, DUAS DEMÃOS. AF_04/2023</t>
  </si>
  <si>
    <t xml:space="preserve"> 95305 </t>
  </si>
  <si>
    <t>TEXTURA ACRÍLICA, APLICAÇÃO MANUAL EM PAREDE, UMA DEMÃO. AF_04/2023</t>
  </si>
  <si>
    <t xml:space="preserve"> 104639 </t>
  </si>
  <si>
    <t>PINTURA LÁTEX ACRÍLICA ECONÔMICA, APLICAÇÃO MANUAL EM TETO, DUAS DEMÃOS. AF_04/2023</t>
  </si>
  <si>
    <t xml:space="preserve"> 102197 </t>
  </si>
  <si>
    <t>PINTURA FUNDO NIVELADOR ALQUÍDICO BRANCO EM MADEIRA. AF_01/2021</t>
  </si>
  <si>
    <t xml:space="preserve"> 102219 </t>
  </si>
  <si>
    <t>PINTURA TINTA DE ACABAMENTO (PIGMENTADA) ESMALTE SINTÉTICO ACETINADO EM MADEIRA, 2 DEMÃOS. AF_01/2021</t>
  </si>
  <si>
    <t xml:space="preserve"> 19.1 </t>
  </si>
  <si>
    <t xml:space="preserve"> 12183 </t>
  </si>
  <si>
    <t>Brise metálico Hunter Douglas ref. Miniware # 103 cor prata ou similar, com estrutura e montagem, exclusive Andaimes ou plataforma</t>
  </si>
  <si>
    <t xml:space="preserve"> 19.2 </t>
  </si>
  <si>
    <t xml:space="preserve"> 20.1 </t>
  </si>
  <si>
    <t xml:space="preserve"> 12043 </t>
  </si>
  <si>
    <t>Letra em aço inox escovado/polido 20 x 20cm - instalado</t>
  </si>
  <si>
    <t xml:space="preserve"> 20.2 </t>
  </si>
  <si>
    <t>PAISAGISMO</t>
  </si>
  <si>
    <t xml:space="preserve"> 21.1 </t>
  </si>
  <si>
    <t xml:space="preserve"> 103946 </t>
  </si>
  <si>
    <t>PLANTIO DE GRAMA ESMERALDA OU SÃO CARLOS OU CURITIBANA, EM PLACAS. AF_05/2022</t>
  </si>
  <si>
    <t>CLIMATIZAÇÃO</t>
  </si>
  <si>
    <t xml:space="preserve"> 22.1 </t>
  </si>
  <si>
    <t xml:space="preserve"> 22.2 </t>
  </si>
  <si>
    <t xml:space="preserve"> 22.3 </t>
  </si>
  <si>
    <t>DADOS E VOZ</t>
  </si>
  <si>
    <t xml:space="preserve"> 98307 </t>
  </si>
  <si>
    <t>TOMADA DE REDE RJ45 - FORNECIMENTO E INSTALAÇÃO. AF_11/2019</t>
  </si>
  <si>
    <t>GASES MEDICINAIS</t>
  </si>
  <si>
    <t xml:space="preserve"> 103835 </t>
  </si>
  <si>
    <t>TUBO EM COBRE RÍGIDO, DN 15 MM, CLASSE A, SEM ISOLAMENTO, INSTALADO EM RAMAL E SUB-RAMAL DE GÁS MEDICINAL - FORNECIMENTO E INSTALAÇÃO. AF_04/2022</t>
  </si>
  <si>
    <t xml:space="preserve"> 103865 </t>
  </si>
  <si>
    <t>TÊ EM COBRE, DN 15 MM, SEM ANEL DE SOLDA, INSTALADO EM RAMAL E SUB-RAMAL DE GÁS MEDICINAL - FORNECIMENTO E INSTALAÇÃO. AF_04/2022</t>
  </si>
  <si>
    <t xml:space="preserve"> 103847 </t>
  </si>
  <si>
    <t>LUVA EM COBRE, DN 15 MM, SEM ANEL DE SOLDA, INSTALADO EM RAMAL E SUB-RAMAL DE GÁS MEDICINAL - FORNECIMENTO E INSTALAÇÃO. AF_04/2022</t>
  </si>
  <si>
    <t xml:space="preserve"> 103838 </t>
  </si>
  <si>
    <t>COTOVELO EM COBRE, DN 15 MM, 90 GRAUS, SEM ANEL DE SOLDA, INSTALADO EM RAMAL E SUB-RAMAL DE GÁS MEDICINAL - FORNECIMENTO E INSTALAÇÃO. AF_04/2022</t>
  </si>
  <si>
    <t xml:space="preserve"> 95248 </t>
  </si>
  <si>
    <t>VÁLVULA DE ESFERA BRUTA, BRONZE, ROSCÁVEL, 1/2" - FORNECIMENTO E INSTALAÇÃO. AF_08/2021</t>
  </si>
  <si>
    <t xml:space="preserve"> 7835 </t>
  </si>
  <si>
    <t>Caixa com regulador 2º estágio (instalação gás)</t>
  </si>
  <si>
    <t xml:space="preserve"> 8734 </t>
  </si>
  <si>
    <t>Central manifold para cilindros 3 x 3 para oxigênio, ar comprimido e óxido nitroso com serpentina e sem válvula de alta pressão</t>
  </si>
  <si>
    <t xml:space="preserve"> 2451 </t>
  </si>
  <si>
    <t>Limpeza/remoção de tintas em pisos e revestimentos</t>
  </si>
  <si>
    <t>EQUIPAMENTOS DE APOIO</t>
  </si>
  <si>
    <t xml:space="preserve"> CPU1926 </t>
  </si>
  <si>
    <t>LOCACAO DE ANDAIME METALICO TIPO FACHADEIRO, PECAS COM APROXIMADAMENTE 1,20 M DE LARGURA E 2,0 M DE ALTURA, INCLUINDO DIAGONAIS EM X, BARRAS DE LIGACAO, SAPATAS E DEMAIS ITENS NECESSARIOS A MONTAGEM, INCLUSIVE MONTAGEM E DESMONTAGEM</t>
  </si>
  <si>
    <t>M2XMÊS</t>
  </si>
  <si>
    <t>Totais -&gt;</t>
  </si>
  <si>
    <t>Total sem BDI</t>
  </si>
  <si>
    <t>Total do BDI</t>
  </si>
  <si>
    <t>Total Geral</t>
  </si>
  <si>
    <t>Tipo</t>
  </si>
  <si>
    <t>Composição</t>
  </si>
  <si>
    <t>Composição Auxiliar</t>
  </si>
  <si>
    <t xml:space="preserve"> 88316 </t>
  </si>
  <si>
    <t>SERVENTE COM ENCARGOS COMPLEMENTARES</t>
  </si>
  <si>
    <t>SEDI - SERVIÇOS DIVERSOS</t>
  </si>
  <si>
    <t>H</t>
  </si>
  <si>
    <t>CHOR - CUSTOS HORÁRIOS DE MÁQUINAS E EQUIPAMENTOS</t>
  </si>
  <si>
    <t>CHI</t>
  </si>
  <si>
    <t>CHP</t>
  </si>
  <si>
    <t>MO sem LS =&gt;</t>
  </si>
  <si>
    <t>LS =&gt;</t>
  </si>
  <si>
    <t>MO com LS =&gt;</t>
  </si>
  <si>
    <t>Valor do BDI =&gt;</t>
  </si>
  <si>
    <t>Valor com BDI =&gt;</t>
  </si>
  <si>
    <t>FUES - FUNDAÇÕES E ESTRUTURAS</t>
  </si>
  <si>
    <t xml:space="preserve"> 88262 </t>
  </si>
  <si>
    <t>CARPINTEIRO DE FORMAS COM ENCARGOS COMPLEMENTARES</t>
  </si>
  <si>
    <t>INHI - INSTALAÇÕES HIDROS SANITÁRIAS</t>
  </si>
  <si>
    <t>Insumo</t>
  </si>
  <si>
    <t>Material</t>
  </si>
  <si>
    <t xml:space="preserve"> 91959 </t>
  </si>
  <si>
    <t>INTERRUPTOR SIMPLES (2 MÓDULOS), 10A/250V, INCLUINDO SUPORTE E PLACA - FORNECIMENTO E INSTALAÇÃO. AF_03/2023</t>
  </si>
  <si>
    <t>PARE - PAREDES/PAINEIS</t>
  </si>
  <si>
    <t xml:space="preserve"> 91940 </t>
  </si>
  <si>
    <t>CAIXA RETANGULAR 4" X 2" MÉDIA (1,30 M DO PISO), PVC, INSTALADA EM PAREDE - FORNECIMENTO E INSTALAÇÃO. AF_03/2023</t>
  </si>
  <si>
    <t>CJ</t>
  </si>
  <si>
    <t>Equipamento</t>
  </si>
  <si>
    <t xml:space="preserve"> 89709 </t>
  </si>
  <si>
    <t>RALO SIFONADO, PVC, DN 100 X 40 MM, JUNTA SOLDÁVEL, FORNECIDO E INSTALADO EM RAMAL DE DESCARGA OU EM RAMAL DE ESGOTO SANITÁRIO. AF_08/2022</t>
  </si>
  <si>
    <t xml:space="preserve"> 88248 </t>
  </si>
  <si>
    <t>AUXILIAR DE ENCANADOR OU BOMBEIRO HIDRÁULICO COM ENCARGOS COMPLEMENTARES</t>
  </si>
  <si>
    <t xml:space="preserve"> 88267 </t>
  </si>
  <si>
    <t>ENCANADOR OU BOMBEIRO HIDRÁULICO COM ENCARGOS COMPLEMENTARES</t>
  </si>
  <si>
    <t xml:space="preserve"> 00000122 </t>
  </si>
  <si>
    <t>ADESIVO PLASTICO PARA PVC, FRASCO COM *850* GR</t>
  </si>
  <si>
    <t xml:space="preserve"> 91933 </t>
  </si>
  <si>
    <t>CABO DE COBRE FLEXÍVEL ISOLADO, 10 MM², ANTI-CHAMA 0,6/1,0 KV, PARA CIRCUITOS TERMINAIS - FORNECIMENTO E INSTALAÇÃO. AF_03/2023</t>
  </si>
  <si>
    <t xml:space="preserve"> 93673 </t>
  </si>
  <si>
    <t>DISJUNTOR TRIPOLAR TIPO DIN, CORRENTE NOMINAL DE 50A - FORNECIMENTO E INSTALAÇÃO. AF_10/2020</t>
  </si>
  <si>
    <t xml:space="preserve"> 88239 </t>
  </si>
  <si>
    <t>AJUDANTE DE CARPINTEIRO COM ENCARGOS COMPLEMENTARES</t>
  </si>
  <si>
    <t xml:space="preserve"> 88261 </t>
  </si>
  <si>
    <t>CARPINTEIRO DE ESQUADRIA COM ENCARGOS COMPLEMENTARES</t>
  </si>
  <si>
    <t>L</t>
  </si>
  <si>
    <t xml:space="preserve"> 88309 </t>
  </si>
  <si>
    <t>PEDREIRO COM ENCARGOS COMPLEMENTARES</t>
  </si>
  <si>
    <t xml:space="preserve"> 90586 </t>
  </si>
  <si>
    <t>VIBRADOR DE IMERSÃO, DIÂMETRO DE PONTEIRA 45MM, MOTOR ELÉTRICO TRIFÁSICO POTÊNCIA DE 2 CV - CHP DIURNO. AF_06/2015</t>
  </si>
  <si>
    <t xml:space="preserve"> 90587 </t>
  </si>
  <si>
    <t>VIBRADOR DE IMERSÃO, DIÂMETRO DE PONTEIRA 45MM, MOTOR ELÉTRICO TRIFÁSICO POTÊNCIA DE 2 CV - CHI DIURNO. AF_06/2015</t>
  </si>
  <si>
    <t>MES</t>
  </si>
  <si>
    <t xml:space="preserve"> 92267 </t>
  </si>
  <si>
    <t>FABRICAÇÃO DE FÔRMA PARA LAJES, EM CHAPA DE MADEIRA COMPENSADA RESINADA, E = 17 MM. AF_09/2020</t>
  </si>
  <si>
    <t>CENTO</t>
  </si>
  <si>
    <t xml:space="preserve"> 88278 </t>
  </si>
  <si>
    <t>MONTADOR DE ESTRUTURA METÁLICA COM ENCARGOS COMPLEMENTARES</t>
  </si>
  <si>
    <t xml:space="preserve"> 00037586 </t>
  </si>
  <si>
    <t>PINO DE ACO COM ARRUELA CONICA, DIAMETRO ARRUELA = *23* MM E COMP HASTE = *27* MM (ACAO INDIRETA)</t>
  </si>
  <si>
    <t xml:space="preserve"> 00039413 </t>
  </si>
  <si>
    <t>PLACA / CHAPA DE GESSO ACARTONADO, STANDARD (ST), COR BRANCA, E = 12,5 MM, 1200 X 2400 MM (L X C)</t>
  </si>
  <si>
    <t xml:space="preserve"> 00039419 </t>
  </si>
  <si>
    <t>PERFIL GUIA, FORMATO U, EM ACO ZINCADO, PARA ESTRUTURA PAREDE DRYWALL, E = 0,5 MM, 70 X 3000 MM (L X C)</t>
  </si>
  <si>
    <t xml:space="preserve"> 00039422 </t>
  </si>
  <si>
    <t>PERFIL MONTANTE, FORMATO C, EM ACO ZINCADO, PARA ESTRUTURA PAREDE DRYWALL, E = 0,5 MM, 70 X 3000 MM (L X C)</t>
  </si>
  <si>
    <t xml:space="preserve"> 00039431 </t>
  </si>
  <si>
    <t>FITA DE PAPEL MICROPERFURADO, 50 X 150 MM, PARA TRATAMENTO DE JUNTAS DE CHAPA DE GESSO PARA DRYWALL</t>
  </si>
  <si>
    <t xml:space="preserve"> 00039432 </t>
  </si>
  <si>
    <t>FITA DE PAPEL REFORCADA COM LAMINA DE METAL PARA REFORCO DE CANTOS DE CHAPA DE GESSO PARA DRYWALL</t>
  </si>
  <si>
    <t xml:space="preserve"> 00039434 </t>
  </si>
  <si>
    <t>MASSA DE REJUNTE EM PO PARA DRYWALL, A BASE DE GESSO, SECAGEM RAPIDA, PARA TRATAMENTO DE JUNTAS DE CHAPA DE GESSO (NECESSITA ADICAO DE AGUA)</t>
  </si>
  <si>
    <t xml:space="preserve"> 00039435 </t>
  </si>
  <si>
    <t>PARAFUSO DRY WALL, EM ACO FOSFATIZADO, CABECA TROMBETA E PONTA AGULHA (TA), COMPRIMENTO 25 MM</t>
  </si>
  <si>
    <t xml:space="preserve"> 00039437 </t>
  </si>
  <si>
    <t>PARAFUSO DRY WALL, EM ACO FOSFATIZADO, CABECA TROMBETA E PONTA AGULHA (TA), COMPRIMENTO 45 MM</t>
  </si>
  <si>
    <t xml:space="preserve"> 00039443 </t>
  </si>
  <si>
    <t>PARAFUSO DRY WALL, EM ACO ZINCADO, CABECA LENTILHA E PONTA BROCA (LB), LARGURA 4,2 MM, COMPRIMENTO 13 MM</t>
  </si>
  <si>
    <t xml:space="preserve"> 00001379 </t>
  </si>
  <si>
    <t>CIMENTO PORTLAND COMPOSTO CP II-32</t>
  </si>
  <si>
    <t xml:space="preserve"> 10549 </t>
  </si>
  <si>
    <t>Encargos Complementares - Servente</t>
  </si>
  <si>
    <t>Provisórios</t>
  </si>
  <si>
    <t>h</t>
  </si>
  <si>
    <t xml:space="preserve"> 10550 </t>
  </si>
  <si>
    <t>Encargos Complementares - Pedreiro</t>
  </si>
  <si>
    <t xml:space="preserve"> 00004750 </t>
  </si>
  <si>
    <t>PEDREIRO (HORISTA)</t>
  </si>
  <si>
    <t>Mão de Obra</t>
  </si>
  <si>
    <t xml:space="preserve"> 00006111 </t>
  </si>
  <si>
    <t>SERVENTE DE OBRAS (HORISTA)</t>
  </si>
  <si>
    <t xml:space="preserve"> 00005075 </t>
  </si>
  <si>
    <t>PREGO DE ACO POLIDO COM CABECA 18 X 30 (2 3/4 X 10)</t>
  </si>
  <si>
    <t xml:space="preserve"> 00038383 </t>
  </si>
  <si>
    <t>LIXA D'AGUA EM FOLHA, GRAO 100</t>
  </si>
  <si>
    <t xml:space="preserve"> 00020083 </t>
  </si>
  <si>
    <t>SOLUCAO PREPARADORA / LIMPADORA PARA PVC, FRASCO COM 1000 CM3</t>
  </si>
  <si>
    <t xml:space="preserve"> 00020078 </t>
  </si>
  <si>
    <t>PASTA LUBRIFICANTE PARA TUBOS E CONEXOES COM JUNTA ELASTICA, EMBALAGEM DE *400* GR (USO EM PVC, ACO, POLIETILENO E OUTROS)</t>
  </si>
  <si>
    <t xml:space="preserve"> B.01.000.010139 </t>
  </si>
  <si>
    <t xml:space="preserve"> 92022 </t>
  </si>
  <si>
    <t>INTERRUPTOR SIMPLES (1 MÓDULO) COM 1 TOMADA DE EMBUTIR 2P+T 10 A, SEM SUPORTE E SEM PLACA - FORNECIMENTO E INSTALAÇÃO. AF_03/2023</t>
  </si>
  <si>
    <t xml:space="preserve"> 00000370 </t>
  </si>
  <si>
    <t>AREIA MEDIA - POSTO JAZIDA/FORNECEDOR (RETIRADO NA JAZIDA, SEM TRANSPORTE)</t>
  </si>
  <si>
    <t>Esquadrias de Madeira</t>
  </si>
  <si>
    <t xml:space="preserve"> 1770 </t>
  </si>
  <si>
    <t>Batente em madeira de lei l = 0,14 m (caixão), incluindo 02 jogos de alizar</t>
  </si>
  <si>
    <t xml:space="preserve"> 10551 </t>
  </si>
  <si>
    <t>Encargos Complementares - Carpinteiro</t>
  </si>
  <si>
    <t>ESQUADRIAS DE MADEIRA</t>
  </si>
  <si>
    <t xml:space="preserve"> 002203 </t>
  </si>
  <si>
    <t>TACO DE MADEIRA PARA FIXACAO DE ESQUADRIAS/CAIXILHOS</t>
  </si>
  <si>
    <t xml:space="preserve"> 004776 </t>
  </si>
  <si>
    <t>PREGO FERRO GALVANIZADO 19x36 (109 un/kg)</t>
  </si>
  <si>
    <t xml:space="preserve"> 014213 </t>
  </si>
  <si>
    <t>PREGO FERRO GALVANIZADO 15x15 (636 un/kg)</t>
  </si>
  <si>
    <t xml:space="preserve"> 86879 </t>
  </si>
  <si>
    <t>VÁLVULA EM PLÁSTICO 1 PARA PIA, TANQUE OU LAVATÓRIO, COM OU SEM LADRÃO - FORNECIMENTO E INSTALAÇÃO. AF_01/2020</t>
  </si>
  <si>
    <t xml:space="preserve"> 86884 </t>
  </si>
  <si>
    <t>ENGATE FLEXÍVEL EM PLÁSTICO BRANCO, 1/2 X 30CM - FORNECIMENTO E INSTALAÇÃO. AF_01/2020</t>
  </si>
  <si>
    <t xml:space="preserve"> 86904 </t>
  </si>
  <si>
    <t>LAVATÓRIO LOUÇA BRANCA SUSPENSO, 29,5 X 39CM OU EQUIVALENTE, PADRÃO POPULAR - FORNECIMENTO E INSTALAÇÃO. AF_01/2020</t>
  </si>
  <si>
    <t xml:space="preserve"> B.01.000.010146 </t>
  </si>
  <si>
    <t>ASTU - ASSENTAMENTO DE TUBOS E PECAS</t>
  </si>
  <si>
    <t xml:space="preserve"> 97063 </t>
  </si>
  <si>
    <t>MONTAGEM E DESMONTAGEM DE ANDAIME MODULAR FACHADEIRO, COM PISO METÁLICO, PARA EDIFICAÇÕES COM MÚLTIPLOS PAVIMENTOS (EXCLUSIVE ANDAIME E LIMPEZA). AF_11/2017</t>
  </si>
  <si>
    <t xml:space="preserve"> 00020193 </t>
  </si>
  <si>
    <t>LOCACAO DE ANDAIME METALICO TIPO FACHADEIRO, PECAS COM APROXIMADAMENTE 1,20 M DE LARGURA E 2,0 M DE ALTURA, INCLUINDO DIAGONAIS EM X, BARRAS DE LIGACAO, SAPATAS E DEMAIS ITENS NECESSARIOS A MONTAGEM (NAO INCLUI INSTALACAO)</t>
  </si>
  <si>
    <t>COMPOSIÇÕES ANALÍTICAS COM PREÇO UNITÁRIO</t>
  </si>
  <si>
    <t>Composições Principais</t>
  </si>
  <si>
    <t xml:space="preserve"> 00001214 </t>
  </si>
  <si>
    <t>CARPINTEIRO DE ESQUADRIAS (HORISTA)</t>
  </si>
  <si>
    <t>cj</t>
  </si>
  <si>
    <t xml:space="preserve"> 11273 </t>
  </si>
  <si>
    <t xml:space="preserve"> 89356 </t>
  </si>
  <si>
    <t>TUBO, PVC, SOLDÁVEL, DN 25MM, INSTALADO EM RAMAL OU SUB-RAMAL DE ÁGUA - FORNECIMENTO E INSTALAÇÃO. AF_06/2022</t>
  </si>
  <si>
    <t>BONIFICAÇÕES E DESPESAS INDIRETAS</t>
  </si>
  <si>
    <t>Fórmula (Bonificações e Despesas Indiretas):</t>
  </si>
  <si>
    <t>CÓD</t>
  </si>
  <si>
    <t>GERAL
VALORES PROPOSTOS (%)</t>
  </si>
  <si>
    <t>EQUIPAMENTOS
VALORES PROPOSTOS (%)</t>
  </si>
  <si>
    <t>Administração Central</t>
  </si>
  <si>
    <t>AC</t>
  </si>
  <si>
    <t>Riscos</t>
  </si>
  <si>
    <t>R</t>
  </si>
  <si>
    <t>Seguros e Garantias</t>
  </si>
  <si>
    <t>SG</t>
  </si>
  <si>
    <t>Despesas Financeiras</t>
  </si>
  <si>
    <t>DF</t>
  </si>
  <si>
    <t>Lucro</t>
  </si>
  <si>
    <t>Impostos</t>
  </si>
  <si>
    <t>I</t>
  </si>
  <si>
    <t>6.1</t>
  </si>
  <si>
    <t>PIS</t>
  </si>
  <si>
    <t>6.2</t>
  </si>
  <si>
    <t>COFINS</t>
  </si>
  <si>
    <t>6.3</t>
  </si>
  <si>
    <t>ISSQN</t>
  </si>
  <si>
    <t>6.4</t>
  </si>
  <si>
    <t>CPRB</t>
  </si>
  <si>
    <t>BDI</t>
  </si>
  <si>
    <t>FONTE:</t>
  </si>
  <si>
    <t>1.</t>
  </si>
  <si>
    <t>Tribunal de Contas da União - TC 036.076/2011-2 - Acórdão Nº 2622/2013</t>
  </si>
  <si>
    <t>2.</t>
  </si>
  <si>
    <t>ISS conforme a Lei Complementar 116/2003 e a Lei 11.438/1997 da Prefeitura Municipal de São Paulo.</t>
  </si>
  <si>
    <t>3.</t>
  </si>
  <si>
    <t>NOTAS:</t>
  </si>
  <si>
    <t>Deverão ser obedecidas as legislações trabalhistas e tributária vigentes, inclusive acordos de classes, sob pena de desclassificação da Proposta de Preços;</t>
  </si>
  <si>
    <t>É de responsabilidade da proponente a adequação de todas as fórmulas utilizadas na planilha orçamentária.</t>
  </si>
  <si>
    <t>COMPOSIÇÃO ANALÍTICA DAS TAXAS DE ENCARGOS SOCIAIS</t>
  </si>
  <si>
    <t>ENCARGOS SOCIAIS SOBRE A MÃO DE OBRA</t>
  </si>
  <si>
    <t>CÓDIGO</t>
  </si>
  <si>
    <t>COM DESONERAÇÃO</t>
  </si>
  <si>
    <t>HORISTA (%)</t>
  </si>
  <si>
    <t>MENSALISTA (%)</t>
  </si>
  <si>
    <t>GRUPO A</t>
  </si>
  <si>
    <t>A1</t>
  </si>
  <si>
    <t>INSS</t>
  </si>
  <si>
    <t>A2</t>
  </si>
  <si>
    <t>SESI</t>
  </si>
  <si>
    <t>A3</t>
  </si>
  <si>
    <t>SENAI</t>
  </si>
  <si>
    <t>A4</t>
  </si>
  <si>
    <t>INCRA</t>
  </si>
  <si>
    <t>A5</t>
  </si>
  <si>
    <t>SEBRAE</t>
  </si>
  <si>
    <t>A6</t>
  </si>
  <si>
    <t>Salário Educação</t>
  </si>
  <si>
    <t>A7</t>
  </si>
  <si>
    <t>Seguro Contra Acidentes de Trabalho</t>
  </si>
  <si>
    <t>A8</t>
  </si>
  <si>
    <t>FGTS</t>
  </si>
  <si>
    <t>A9</t>
  </si>
  <si>
    <t>SECONCI</t>
  </si>
  <si>
    <t>A</t>
  </si>
  <si>
    <t>GRUPO B</t>
  </si>
  <si>
    <t>B1</t>
  </si>
  <si>
    <t>Repouso Semanal Remunerado</t>
  </si>
  <si>
    <t>Não incide</t>
  </si>
  <si>
    <t>B2</t>
  </si>
  <si>
    <t>Feriados</t>
  </si>
  <si>
    <t>B3</t>
  </si>
  <si>
    <t>Auxílio-Enfermidade</t>
  </si>
  <si>
    <t>B4</t>
  </si>
  <si>
    <t>13º Salário</t>
  </si>
  <si>
    <t>B5</t>
  </si>
  <si>
    <t>Licença Paternidade</t>
  </si>
  <si>
    <t>B6</t>
  </si>
  <si>
    <t>Faltas Justificadas</t>
  </si>
  <si>
    <t>B7</t>
  </si>
  <si>
    <t>Dias de Chuva</t>
  </si>
  <si>
    <t>B8</t>
  </si>
  <si>
    <t>Auxílo Acidente de Trabalho</t>
  </si>
  <si>
    <t>B9</t>
  </si>
  <si>
    <t>Férias Gozadas</t>
  </si>
  <si>
    <t>B10</t>
  </si>
  <si>
    <t>Salário Maternidade</t>
  </si>
  <si>
    <t>B</t>
  </si>
  <si>
    <t>GRUPO C</t>
  </si>
  <si>
    <t>C1</t>
  </si>
  <si>
    <t>Aviso Prévio Indenizado</t>
  </si>
  <si>
    <t>C2</t>
  </si>
  <si>
    <t>Aviso Prévio Trabalhado</t>
  </si>
  <si>
    <t>C3</t>
  </si>
  <si>
    <t>Férias Indenizadas</t>
  </si>
  <si>
    <t>C4</t>
  </si>
  <si>
    <t>Depósito Recisão sem justa causa</t>
  </si>
  <si>
    <t>C5</t>
  </si>
  <si>
    <t>Indenização Adicional</t>
  </si>
  <si>
    <t>C</t>
  </si>
  <si>
    <t>GRUPO D</t>
  </si>
  <si>
    <t>D1</t>
  </si>
  <si>
    <t>Reincidência de Grupo A sobre Grupo B</t>
  </si>
  <si>
    <t>D2</t>
  </si>
  <si>
    <t>Reincidência de Grupo A sobre Aviso Prévio Trabalhado e Reincidência do FGTS sobre Aviso Prévio Indenizado</t>
  </si>
  <si>
    <t>D</t>
  </si>
  <si>
    <t>TOTAL (A+B+C+D)</t>
  </si>
  <si>
    <t>SINAPI - Encargos Sociais a partir de agosto de 2023.</t>
  </si>
  <si>
    <t>JUSTIFICATIVAS DE COMPOSIÇÕES DE PREÇO UNITÁRIO</t>
  </si>
  <si>
    <t>COMPOSIÇÃO</t>
  </si>
  <si>
    <t>COMPOSIÇÃO DE REFERÊNCIA</t>
  </si>
  <si>
    <t>JUSTIFICATIVA</t>
  </si>
  <si>
    <t>SERVIÇOS PRELIMINARES E INDIRETOS</t>
  </si>
  <si>
    <t>CANTEIRO DE OBRAS</t>
  </si>
  <si>
    <t xml:space="preserve"> 1.1.1 </t>
  </si>
  <si>
    <t xml:space="preserve"> 1.1.2 </t>
  </si>
  <si>
    <t xml:space="preserve"> 1.1.3 </t>
  </si>
  <si>
    <t xml:space="preserve"> 1.1.4 </t>
  </si>
  <si>
    <t xml:space="preserve"> 1.1.5 </t>
  </si>
  <si>
    <t xml:space="preserve"> 1.1.6 </t>
  </si>
  <si>
    <t xml:space="preserve"> 1.1.7 </t>
  </si>
  <si>
    <t xml:space="preserve"> 1.1.8 </t>
  </si>
  <si>
    <t xml:space="preserve"> 1.1.9 </t>
  </si>
  <si>
    <t xml:space="preserve"> 1.1.10 </t>
  </si>
  <si>
    <t xml:space="preserve"> 1.1.11 </t>
  </si>
  <si>
    <t xml:space="preserve"> 1.1.12 </t>
  </si>
  <si>
    <t xml:space="preserve"> 1.1.13 </t>
  </si>
  <si>
    <t xml:space="preserve"> 1.1.14 </t>
  </si>
  <si>
    <t xml:space="preserve"> 05.07.040 </t>
  </si>
  <si>
    <t>MOBILIZAÇÃO E DESMOBILIZAÇÃO</t>
  </si>
  <si>
    <t xml:space="preserve"> 1.3.1 </t>
  </si>
  <si>
    <t xml:space="preserve"> 021101 </t>
  </si>
  <si>
    <t>MOBILIZACAO/DESMOBILIZACAO DE EQUIP. E MO</t>
  </si>
  <si>
    <t xml:space="preserve"> 96540 </t>
  </si>
  <si>
    <t>FABRICAÇÃO, MONTAGEM E DESMONTAGEM DE FÔRMA PARA BLOCO DE COROAMENTO, EM CHAPA DE MADEIRA COMPENSADA RESINADA, E=17 MM, 4 UTILIZAÇÕES. AF_06/2017</t>
  </si>
  <si>
    <t xml:space="preserve"> CPU2096 </t>
  </si>
  <si>
    <t>CONCRETAGEM DE BLOCOS DE COROAMENTO E VIGAS BALDRAMES, FCK 35 MPA, COM USO DE BOMBA  LANÇAMENTO, ADENSAMENTO E ACABAMENTO</t>
  </si>
  <si>
    <t xml:space="preserve"> 92423 </t>
  </si>
  <si>
    <t>MONTAGEM E DESMONTAGEM DE FÔRMA DE PILARES RETANGULARES E ESTRUTURAS SIMILARES, PÉ-DIREITO SIMPLES, EM CHAPA DE MADEIRA COMPENSADA RESINADA, 6 UTILIZAÇÕES. AF_09/2020</t>
  </si>
  <si>
    <t xml:space="preserve"> 92765 </t>
  </si>
  <si>
    <t>ARMAÇÃO DE PILAR OU VIGA DE ESTRUTURA CONVENCIONAL DE CONCRETO ARMADO UTILIZANDO AÇO CA-50 DE 20,0 MM - MONTAGEM. AF_06/2022</t>
  </si>
  <si>
    <t xml:space="preserve"> 3.1.8 </t>
  </si>
  <si>
    <t xml:space="preserve"> CPU2097 </t>
  </si>
  <si>
    <t>CONCRETAGEM DE PILARES, FCK = 35 MPA, COM USO DE BOMBA - LANÇAMENTO, ADENSAMENTO E ACABAMENTO. AF_02/2022_PS</t>
  </si>
  <si>
    <t xml:space="preserve"> 3.1.9 </t>
  </si>
  <si>
    <t xml:space="preserve"> 92460 </t>
  </si>
  <si>
    <t>MONTAGEM E DESMONTAGEM DE FÔRMA DE VIGA, ESCORAMENTO METÁLICO, PÉ-DIREITO SIMPLES, EM CHAPA DE MADEIRA RESINADA, 6 UTILIZAÇÕES. AF_09/2020</t>
  </si>
  <si>
    <t xml:space="preserve"> 3.2.10 </t>
  </si>
  <si>
    <t xml:space="preserve"> CPU2098 </t>
  </si>
  <si>
    <t>CONCRETAGEM DE LAJES EM EDIFICAÇÕES MULTIFAMILIARES FEITAS COM SISTEMA DE FÔRMAS MANUSEÁVEIS, COM CONCRETO USINADO BOMBEÁVEL FCK 35 MPA - LANÇAMENTO, ADENSAMENTO E ACABAMENTO. AF_10/2021</t>
  </si>
  <si>
    <t xml:space="preserve"> 102040 </t>
  </si>
  <si>
    <t>MONTAGEM E DESMONTAGEM DE FÔRMA PARA ESCADAS, COM 1 LANCE E LAJE PLANA, EM MADEIRA SERRADA, 2 UTILIZAÇÕES. AF_11/2020</t>
  </si>
  <si>
    <t xml:space="preserve"> 92772 </t>
  </si>
  <si>
    <t>ARMAÇÃO DE LAJE DE ESTRUTURA CONVENCIONAL DE CONCRETO ARMADO UTILIZANDO AÇO CA-50 DE 12,5 MM - MONTAGEM. AF_06/2022</t>
  </si>
  <si>
    <t xml:space="preserve"> 3.3.9 </t>
  </si>
  <si>
    <t xml:space="preserve"> 3.3.10 </t>
  </si>
  <si>
    <t xml:space="preserve"> CPU2100 </t>
  </si>
  <si>
    <t xml:space="preserve"> 3.3.11 </t>
  </si>
  <si>
    <t xml:space="preserve"> CPU2101 </t>
  </si>
  <si>
    <t xml:space="preserve"> 3.3.12 </t>
  </si>
  <si>
    <t xml:space="preserve"> CPU2102 </t>
  </si>
  <si>
    <t xml:space="preserve"> 3.3.13 </t>
  </si>
  <si>
    <t xml:space="preserve"> CPU2103 </t>
  </si>
  <si>
    <t xml:space="preserve"> 3.3.14 </t>
  </si>
  <si>
    <t xml:space="preserve"> CPU2104 </t>
  </si>
  <si>
    <t>LAJE PRE-FABRICADA PRE-LAJE TRELICADA BIDIR C/ EPS PLT-16 300KGF/M2</t>
  </si>
  <si>
    <t xml:space="preserve"> 3.3.15 </t>
  </si>
  <si>
    <t xml:space="preserve"> 101792 </t>
  </si>
  <si>
    <t>ESCORAMENTO DE FÔRMAS DE LAJE EM MADEIRA NÃO APARELHADA, PÉ-DIREITO SIMPLES, INCLUSO TRAVAMENTO, 4 UTILIZAÇÕES. AF_09/2020</t>
  </si>
  <si>
    <t>ALVENARIA, VEDAÇÕES E DIVISÓRIAS</t>
  </si>
  <si>
    <t>ALVENARIA DE VEDAÇÃO</t>
  </si>
  <si>
    <t xml:space="preserve"> 4.1.1 </t>
  </si>
  <si>
    <t xml:space="preserve"> 103336 </t>
  </si>
  <si>
    <t>ALVENARIA DE VEDAÇÃO DE BLOCOS  VAZADOS DE CONCRETO APARENTE DE 9X19X39 CM (ESPESSURA 9 CM) E ARGAMASSA DE ASSENTAMENTO COM PREPARO EM BETONEIRA. AF_12/2021</t>
  </si>
  <si>
    <t xml:space="preserve"> 4.1.2 </t>
  </si>
  <si>
    <t xml:space="preserve"> 4.1.3 </t>
  </si>
  <si>
    <t xml:space="preserve"> 4.1.4 </t>
  </si>
  <si>
    <t xml:space="preserve"> 4.1.5 </t>
  </si>
  <si>
    <t xml:space="preserve"> 4.1.6 </t>
  </si>
  <si>
    <t xml:space="preserve"> 93201 </t>
  </si>
  <si>
    <t>FIXAÇÃO (ENCUNHAMENTO) DE ALVENARIA DE VEDAÇÃO COM ARGAMASSA APLICADA COM COLHER. AF_03/2016</t>
  </si>
  <si>
    <t>VEDAÇÃO DE DRYWALL</t>
  </si>
  <si>
    <t xml:space="preserve"> 4.2.1 </t>
  </si>
  <si>
    <t xml:space="preserve"> 96359 </t>
  </si>
  <si>
    <t>PAREDE COM SISTEMA EM CHAPAS DE GESSO PARA DRYWALL, USO INTERNO, COM DUAS FACES SIMPLES E ESTRUTURA METÁLICA COM GUIAS SIMPLES PARA PAREDES COM ÁREA LÍQUIDA MAIOR OU IGUAL A 6 M2, COM VÃOS. AF_07/2023_PS</t>
  </si>
  <si>
    <t xml:space="preserve"> 4.2.2 </t>
  </si>
  <si>
    <t xml:space="preserve"> 4.2.3 </t>
  </si>
  <si>
    <t xml:space="preserve"> CPU1942 </t>
  </si>
  <si>
    <t>PAREDE COM SISTEMA EM CHAPAS DE GESSO RU PARA DRYWALL, USO INTERNO, COM DUAS FACES SIMPLES E ESTRUTURA METÁLICA COM GUIAS SIMPLES PARA PAREDES COM ÁREA LÍQUIDA MAIOR OU IGUAL A 6 M2, COM VÃOS. AF_07/2023_PS</t>
  </si>
  <si>
    <t xml:space="preserve"> CPU1943 </t>
  </si>
  <si>
    <t>PAREDE COM PLACAS DE GESSO ACARTONADO ST/ST (DRYWALL) COM REFORÇO METÁLICO PARA USO INTERNO, COM DUAS FACES DUPLAS E ESTRUTURA METÁLICA COM GUIAS SIMPLES, COM VÃOS. AF_06/2017_P</t>
  </si>
  <si>
    <t xml:space="preserve"> 4.3.1 </t>
  </si>
  <si>
    <t xml:space="preserve"> 5.1.1 </t>
  </si>
  <si>
    <t>PORTAS DE MADEIRA</t>
  </si>
  <si>
    <t xml:space="preserve"> 5.1.1.1 </t>
  </si>
  <si>
    <t xml:space="preserve"> 90844 </t>
  </si>
  <si>
    <t>KIT DE PORTA DE MADEIRA PARA PINTURA, SEMI-OCA (LEVE OU MÉDIA), PADRÃO MÉDIO, 90X210CM, ESPESSURA DE 3,5CM, ITENS INCLUSOS: DOBRADIÇAS, MONTAGEM E INSTALAÇÃO DO BATENTE, FECHADURA COM EXECUÇÃO DO FURO - FORNECIMENTO E INSTALAÇÃO. AF_12/2019</t>
  </si>
  <si>
    <t xml:space="preserve"> 5.1.1.2 </t>
  </si>
  <si>
    <t xml:space="preserve"> 90843 </t>
  </si>
  <si>
    <t>KIT DE PORTA DE MADEIRA PARA PINTURA, SEMI-OCA (LEVE OU MÉDIA), PADRÃO MÉDIO, 80X210CM, ESPESSURA DE 3,5CM, ITENS INCLUSOS: DOBRADIÇAS, MONTAGEM E INSTALAÇÃO DO BATENTE, FECHADURA COM EXECUÇÃO DO FURO - FORNECIMENTO E INSTALAÇÃO. AF_12/2019</t>
  </si>
  <si>
    <t xml:space="preserve"> 5.1.1.3 </t>
  </si>
  <si>
    <t xml:space="preserve"> 90850 </t>
  </si>
  <si>
    <t>KIT DE PORTA DE MADEIRA PARA PINTURA, SEMI-OCA (LEVE OU MÉDIA), PADRÃO MÉDIO, 90X210CM, ESPESSURA DE 3,5CM, ITENS INCLUSOS: DOBRADIÇAS, MONTAGEM E INSTALAÇÃO DO BATENTE, SEM FECHADURA - FORNECIMENTO E INSTALAÇÃO. AF_12/2019</t>
  </si>
  <si>
    <t xml:space="preserve"> 5.1.1.4 </t>
  </si>
  <si>
    <t xml:space="preserve"> 5.1.1.5 </t>
  </si>
  <si>
    <t xml:space="preserve"> 5.1.1.6 </t>
  </si>
  <si>
    <t xml:space="preserve"> 110606 </t>
  </si>
  <si>
    <t>PORTA COMPLETA COMPENSADO MADEIRA LISO</t>
  </si>
  <si>
    <t xml:space="preserve"> 5.1.1.7 </t>
  </si>
  <si>
    <t xml:space="preserve"> C1963 </t>
  </si>
  <si>
    <t>PORTA COMPLETA, BLINDOR/CHUMBO (0,80X2,10)m  (S/ACESSÓRIOS)</t>
  </si>
  <si>
    <t xml:space="preserve"> 5.1.1.8 </t>
  </si>
  <si>
    <t xml:space="preserve"> C1961 </t>
  </si>
  <si>
    <t>PORTA COMPLETA, BLINDOR/CHUMBO (1,20X2,10)m (S/ACESSÓRIOS)</t>
  </si>
  <si>
    <t xml:space="preserve"> 5.1.1.9 </t>
  </si>
  <si>
    <t xml:space="preserve"> CPU2037 </t>
  </si>
  <si>
    <t>Porta em madeira de lei, de correr, lisa, semi-ôca 0,90x2,10m, inclusive batentes e ferragens e puxador</t>
  </si>
  <si>
    <t xml:space="preserve"> 5.1.1.10 </t>
  </si>
  <si>
    <t xml:space="preserve"> CPU1972 </t>
  </si>
  <si>
    <t>Porta em madeira de lei, de correr, lisa, semi-ôca 1,20x2,10m, inclusive batentes e ferragens - Rev 02</t>
  </si>
  <si>
    <t xml:space="preserve"> 5.1.1.11 </t>
  </si>
  <si>
    <t xml:space="preserve"> CPU2012 </t>
  </si>
  <si>
    <t>ESQUADRIAS DE ALUMÍNIO</t>
  </si>
  <si>
    <t xml:space="preserve"> 5.2.1 </t>
  </si>
  <si>
    <t>PORTAS DE ALUMÍNIO</t>
  </si>
  <si>
    <t xml:space="preserve"> 5.2.1.1 </t>
  </si>
  <si>
    <t xml:space="preserve"> 5.2.1.2 </t>
  </si>
  <si>
    <t xml:space="preserve"> 5.2.1.3 </t>
  </si>
  <si>
    <t xml:space="preserve"> 5.2.2 </t>
  </si>
  <si>
    <t>JANELAS DE ALUMÍNIO</t>
  </si>
  <si>
    <t xml:space="preserve"> 5.2.2.1 </t>
  </si>
  <si>
    <t xml:space="preserve"> 5.2.2.2 </t>
  </si>
  <si>
    <t xml:space="preserve"> 5.2.2.3 </t>
  </si>
  <si>
    <t xml:space="preserve"> 112634 </t>
  </si>
  <si>
    <t>JANELA DE CORRER 4 FOLHAS EM ALUMINIO NATURAL COM VIDRO 6MM</t>
  </si>
  <si>
    <t xml:space="preserve"> 5.2.2.4 </t>
  </si>
  <si>
    <t xml:space="preserve"> 5.2.2.5 </t>
  </si>
  <si>
    <t xml:space="preserve"> 112635 </t>
  </si>
  <si>
    <t>JANELA DE CORRER EM ALUMINIO NATURAL,PAINEL FIXO E VIDRO 4MM</t>
  </si>
  <si>
    <t>ESQUADRIAS DE VIDRO</t>
  </si>
  <si>
    <t xml:space="preserve"> 5.3.1 </t>
  </si>
  <si>
    <t>PORTAS DE VIDRO</t>
  </si>
  <si>
    <t xml:space="preserve"> 5.3.1.1 </t>
  </si>
  <si>
    <t>ESQUADRIAS METÁLICAS</t>
  </si>
  <si>
    <t xml:space="preserve"> 5.4.1 </t>
  </si>
  <si>
    <t>PORTAS METÁLICAS</t>
  </si>
  <si>
    <t xml:space="preserve"> 5.4.1.1 </t>
  </si>
  <si>
    <t xml:space="preserve"> 12098 </t>
  </si>
  <si>
    <t>Porta corta fogo, de abrir, 02 folhas, em chapa de aço galvanizado nº24, batente em chapa nº18, classe 90, isolante em manta cerâmica incombustível e=5cm, dobradiças tipo helicoidal em aço 1010/1020, e fechadura reversível sem chave</t>
  </si>
  <si>
    <t>ACESSÓRIOS</t>
  </si>
  <si>
    <t xml:space="preserve"> 5.5.1 </t>
  </si>
  <si>
    <t xml:space="preserve"> 5.5.2 </t>
  </si>
  <si>
    <t xml:space="preserve"> 5.5.3 </t>
  </si>
  <si>
    <t xml:space="preserve"> 28.20.650 </t>
  </si>
  <si>
    <t xml:space="preserve"> 5.5.4 </t>
  </si>
  <si>
    <t xml:space="preserve"> 100705 </t>
  </si>
  <si>
    <t>TARJETA TIPO LIVRE/OCUPADO PARA PORTA DE BANHEIRO. AF_12/2019</t>
  </si>
  <si>
    <t xml:space="preserve"> 5.5.5 </t>
  </si>
  <si>
    <t xml:space="preserve"> 24.03.200 </t>
  </si>
  <si>
    <t xml:space="preserve"> 5.5.6 </t>
  </si>
  <si>
    <t xml:space="preserve"> 5.5.7 </t>
  </si>
  <si>
    <t xml:space="preserve"> 90830 </t>
  </si>
  <si>
    <t>FECHADURA DE EMBUTIR COM CILINDRO, EXTERNA, COMPLETA, ACABAMENTO PADRÃO MÉDIO, INCLUSO EXECUÇÃO DE FURO - FORNECIMENTO E INSTALAÇÃO. AF_12/2019</t>
  </si>
  <si>
    <t xml:space="preserve"> 5.5.8 </t>
  </si>
  <si>
    <t xml:space="preserve"> 100709 </t>
  </si>
  <si>
    <t>DOBRADIÇA EM AÇO/FERRO, 3" X 21/2", E=1,9 A 2MM, SEN ANEL, CROMADO OU ZINCADO, TAMPA BOLA, COM PARAFUSOS. AF_12/2019</t>
  </si>
  <si>
    <t xml:space="preserve"> 5.5.9 </t>
  </si>
  <si>
    <t xml:space="preserve"> 10003 </t>
  </si>
  <si>
    <t>Fechadura ou fecho eletromagnético para controle de acesso ref:HDL,12volts, modelo FEC-91LA, ou similar, para embutir no batente (exceto fechadura convencional)</t>
  </si>
  <si>
    <t xml:space="preserve"> 5.5.10 </t>
  </si>
  <si>
    <t xml:space="preserve"> 112597 </t>
  </si>
  <si>
    <t>ALIZAR ALUMINIO PINTURA ELETROSTATICA BRANCA</t>
  </si>
  <si>
    <t xml:space="preserve"> 100659 </t>
  </si>
  <si>
    <t>ALIZAR DE 5X1,5CM PARA PORTA FIXADO COM PREGOS, PADRÃO MÉDIO - FORNECIMENTO E INSTALAÇÃO. AF_12/2019</t>
  </si>
  <si>
    <t xml:space="preserve"> 6.1.1 </t>
  </si>
  <si>
    <t xml:space="preserve"> 6.1.2 </t>
  </si>
  <si>
    <t>TELHAMENTO</t>
  </si>
  <si>
    <t xml:space="preserve"> 6.2.1 </t>
  </si>
  <si>
    <t xml:space="preserve"> 6.2.2 </t>
  </si>
  <si>
    <t xml:space="preserve"> 6.2.3 </t>
  </si>
  <si>
    <t xml:space="preserve"> 16.011.0005-A </t>
  </si>
  <si>
    <t>EMOP</t>
  </si>
  <si>
    <t>COBERTURA EM CHAPA DE POLICARBONATO ALVEOLAR,NA COR CRISTAL,COM 10MM DE ESPESSURA,INCL.MADEIRAMENTO EM PECAS DE MADEIRAE PILARES EM TUBO DE ACO GALVANIZADO.MEDIDO PELA AREA REAL DE COBERTURA.FORNECIMENTO E COLOCACAO</t>
  </si>
  <si>
    <t>COMPLEMENTOS</t>
  </si>
  <si>
    <t xml:space="preserve"> 6.3.1 </t>
  </si>
  <si>
    <t xml:space="preserve"> 6.3.2 </t>
  </si>
  <si>
    <t xml:space="preserve"> 9077 </t>
  </si>
  <si>
    <t>Cumeeira termoacústica</t>
  </si>
  <si>
    <t>IMPERMEABILIZAÇÃO</t>
  </si>
  <si>
    <t xml:space="preserve"> 98556 </t>
  </si>
  <si>
    <t>IMPERMEABILIZIMPERMEABILIZAÇÃO DE SUPERFÍCIE COM ARGAMASSA POLIMÉRICA / MEMBRANA ACRÍLICA, 4 DEMÃOS, REFORÇADA COM VÉU DE POLIÉSTER (MAV). AF_09/2023</t>
  </si>
  <si>
    <t>REVESTIMENTO DE PAREDE</t>
  </si>
  <si>
    <t xml:space="preserve"> 8.1.1 </t>
  </si>
  <si>
    <t xml:space="preserve"> 8.1.2 </t>
  </si>
  <si>
    <t xml:space="preserve"> 8.1.3 </t>
  </si>
  <si>
    <t xml:space="preserve"> 9681 </t>
  </si>
  <si>
    <t>Revestimento para parede com barita, e= 2cm</t>
  </si>
  <si>
    <t>REVESTIMENTO CERÂMICO</t>
  </si>
  <si>
    <t xml:space="preserve"> 8.2.1 </t>
  </si>
  <si>
    <t>REVESTIMENTO DE PISO INTERNO</t>
  </si>
  <si>
    <t xml:space="preserve"> 9.1.1 </t>
  </si>
  <si>
    <t xml:space="preserve"> 94995 </t>
  </si>
  <si>
    <t>EXECUÇÃO DE PASSEIO (CALÇADA) OU PISO DE CONCRETO COM CONCRETO MOLDADO IN LOCO, USINADO, ACABAMENTO CONVENCIONAL, ESPESSURA 8 CM, ARMADO. AF_08/2022</t>
  </si>
  <si>
    <t xml:space="preserve"> 9.1.2 </t>
  </si>
  <si>
    <t xml:space="preserve"> 9.1.3 </t>
  </si>
  <si>
    <t xml:space="preserve"> 88477 </t>
  </si>
  <si>
    <t>CONTRAPISO COM ARGAMASSA AUTONIVELANTE, APLICADO SOBRE LAJE, ADERIDO, ESPESSURA 3CM. AF_07/2021</t>
  </si>
  <si>
    <t>GRANILITE</t>
  </si>
  <si>
    <t xml:space="preserve"> 9.2.1 </t>
  </si>
  <si>
    <t>VINÍLICO</t>
  </si>
  <si>
    <t xml:space="preserve"> 9.3.1 </t>
  </si>
  <si>
    <t xml:space="preserve"> 10380 </t>
  </si>
  <si>
    <t>Fornecimento e instalação de manta vinílica condutiva PLL ou similar</t>
  </si>
  <si>
    <t xml:space="preserve"> 9.4 </t>
  </si>
  <si>
    <t>RODAPÉ</t>
  </si>
  <si>
    <t xml:space="preserve"> 9.4.1 </t>
  </si>
  <si>
    <t>REVESTIMENTO DE PISO EXTERNO</t>
  </si>
  <si>
    <t>REVESTIMENTO DE TETO</t>
  </si>
  <si>
    <t>FACHADA</t>
  </si>
  <si>
    <t>PAREDES</t>
  </si>
  <si>
    <t xml:space="preserve"> 13.1.1 </t>
  </si>
  <si>
    <t xml:space="preserve"> 13.1.2 </t>
  </si>
  <si>
    <t xml:space="preserve"> 13.1.3 </t>
  </si>
  <si>
    <t xml:space="preserve"> 13.1.4 </t>
  </si>
  <si>
    <t>TETO</t>
  </si>
  <si>
    <t xml:space="preserve"> 13.2.1 </t>
  </si>
  <si>
    <t xml:space="preserve"> 88484 </t>
  </si>
  <si>
    <t>FUNDO SELADOR ACRÍLICO, APLICAÇÃO MANUAL EM TETO, UMA DEMÃO. AF_04/2023</t>
  </si>
  <si>
    <t xml:space="preserve"> 13.2.2 </t>
  </si>
  <si>
    <t xml:space="preserve"> 88496 </t>
  </si>
  <si>
    <t>EMASSAMENTO COM MASSA LÁTEX, APLICAÇÃO EM TETO, DUAS DEMÃOS, LIXAMENTO MANUAL. AF_04/2023</t>
  </si>
  <si>
    <t xml:space="preserve"> 13.2.3 </t>
  </si>
  <si>
    <t xml:space="preserve"> 13.3.1 </t>
  </si>
  <si>
    <t xml:space="preserve"> 13.3.2 </t>
  </si>
  <si>
    <t>MARMORARIA</t>
  </si>
  <si>
    <t>LOUÇAS, METAIS E ACESSÓRIOS</t>
  </si>
  <si>
    <t>EQUIPAMENTOS</t>
  </si>
  <si>
    <t xml:space="preserve"> 15.1.1 </t>
  </si>
  <si>
    <t>METAIS, INOX E METALON</t>
  </si>
  <si>
    <t xml:space="preserve"> 15.2.1 </t>
  </si>
  <si>
    <t xml:space="preserve"> 15.2.2 </t>
  </si>
  <si>
    <t xml:space="preserve"> 1070262 </t>
  </si>
  <si>
    <t>CAERN</t>
  </si>
  <si>
    <t>CUBA DE EMBUTIR RETANGULAR DE AÇO INOXIDÁVEL, 60 X 50 X 30 CM -FORNECIMENTO E INSTALAÇÃO. R_05/2021</t>
  </si>
  <si>
    <t xml:space="preserve"> 15.2.3 </t>
  </si>
  <si>
    <t xml:space="preserve"> 190036 </t>
  </si>
  <si>
    <t>TANQUE DE EXPURGO ACO INOXIDAVEL-TAMPA LAT. 500x500mm</t>
  </si>
  <si>
    <t xml:space="preserve"> 15.2.4 </t>
  </si>
  <si>
    <t xml:space="preserve"> 18.016.0060-0 </t>
  </si>
  <si>
    <t>LAVATORIO COLETIVO DE ACO INOXIDAVEL COM 1.000MM DE SECAO EMCHAPA 20.304,PARA 2 PONTOS DE AGUA,CRIVO DE SAIDA EM 1.1/4",EXCLUSIVE TORNEIRAS.FORNECIMENTO E COLOCACAO</t>
  </si>
  <si>
    <t xml:space="preserve"> 15.2.5 </t>
  </si>
  <si>
    <t xml:space="preserve"> 15.2.6 </t>
  </si>
  <si>
    <t xml:space="preserve"> 15.2.7 </t>
  </si>
  <si>
    <t xml:space="preserve"> 44.03.300 </t>
  </si>
  <si>
    <t xml:space="preserve"> 15.2.8 </t>
  </si>
  <si>
    <t xml:space="preserve"> 15.2.9 </t>
  </si>
  <si>
    <t xml:space="preserve"> 15.2.10 </t>
  </si>
  <si>
    <t xml:space="preserve"> 15.2.11 </t>
  </si>
  <si>
    <t xml:space="preserve"> 15.2.12 </t>
  </si>
  <si>
    <t xml:space="preserve"> 15.2.13 </t>
  </si>
  <si>
    <t xml:space="preserve"> 062048 </t>
  </si>
  <si>
    <t>BOTOEIRA ANTI PANICO ALARME WC AUDIVISUAL PNE/PCD NBR9050</t>
  </si>
  <si>
    <t xml:space="preserve"> 15.2.14 </t>
  </si>
  <si>
    <t xml:space="preserve"> CPU2105 </t>
  </si>
  <si>
    <t>RALO SECO PVC QUADRADO 15x15 COM GRELHA</t>
  </si>
  <si>
    <t>LOUÇAS</t>
  </si>
  <si>
    <t xml:space="preserve"> 15.3.1 </t>
  </si>
  <si>
    <t xml:space="preserve"> 15.3.2 </t>
  </si>
  <si>
    <t xml:space="preserve"> CPU2095 </t>
  </si>
  <si>
    <t>LAVATÓRIO LOUÇA BRANCA SUSPENSO, 29,5 X 39CM OU EQUIVALENTE, PADRÃO POPULAR, INCLUSO SIFÃO FLEXÍVEL EM PVC, VÁLVULA E ENGATE FLEXÍVEL 30CM EM PLÁSTICO, PADRÃO POPULAR - FORNECIMENTO E INSTALAÇÃO</t>
  </si>
  <si>
    <t xml:space="preserve"> 15.3.3 </t>
  </si>
  <si>
    <t xml:space="preserve"> 15.3.4 </t>
  </si>
  <si>
    <t xml:space="preserve"> 170124 </t>
  </si>
  <si>
    <t>IOPES</t>
  </si>
  <si>
    <t>und</t>
  </si>
  <si>
    <t xml:space="preserve"> 15.3.5 </t>
  </si>
  <si>
    <t>CORRIMÃO, GUARDA CORPO</t>
  </si>
  <si>
    <t xml:space="preserve"> 7967 </t>
  </si>
  <si>
    <t>Guarda-corpo em tubo de aço inox ø=1 1/2", duplo, com montantes e fechamento em tubo inox ø=1 1/2", h=96cm, c/acabamento polido, p/fixação em piso</t>
  </si>
  <si>
    <t>INSTALAÇÕES HIDROSSANITÁRIAS</t>
  </si>
  <si>
    <t>HIDRÁULICA</t>
  </si>
  <si>
    <t xml:space="preserve"> 17.1.1 </t>
  </si>
  <si>
    <t xml:space="preserve"> 43.10.454 </t>
  </si>
  <si>
    <t xml:space="preserve"> 17.1.2 </t>
  </si>
  <si>
    <t xml:space="preserve"> 17.1.3 </t>
  </si>
  <si>
    <t xml:space="preserve"> 103039 </t>
  </si>
  <si>
    <t>REGISTRO DE ESFERA, PVC, ROSCÁVEL, COM VOLANTE, 1 1/2" - FORNECIMENTO E INSTALAÇÃO. AF_08/2021</t>
  </si>
  <si>
    <t xml:space="preserve"> 17.1.4 </t>
  </si>
  <si>
    <t xml:space="preserve"> 17.1.5 </t>
  </si>
  <si>
    <t xml:space="preserve"> 99631 </t>
  </si>
  <si>
    <t>VÁLVULA DE RETENÇÃO VERTICAL, DE BRONZE, ROSCÁVEL, 1 1/2" - FORNECIMENTO E INSTALAÇÃO. AF_08/2021</t>
  </si>
  <si>
    <t xml:space="preserve"> 17.1.6 </t>
  </si>
  <si>
    <t xml:space="preserve"> 17.1.7 </t>
  </si>
  <si>
    <t xml:space="preserve"> 99622 </t>
  </si>
  <si>
    <t>VÁLVULA DE RETENÇÃO HORIZONTAL, DE BRONZE, ROSCÁVEL, 1 1/2"  - FORNECIMENTO E INSTALAÇÃO. AF_08/2021</t>
  </si>
  <si>
    <t xml:space="preserve"> 17.1.8 </t>
  </si>
  <si>
    <t xml:space="preserve"> 94681 </t>
  </si>
  <si>
    <t>CURVA 90 GRAUS, PVC, SOLDÁVEL, DN 60 MM, INSTALADO EM RESERVAÇÃO DE ÁGUA DE EDIFICAÇÃO QUE POSSUA RESERVATÓRIO DE FIBRA/FIBROCIMENTO   FORNECIMENTO E INSTALAÇÃO. AF_06/2016</t>
  </si>
  <si>
    <t xml:space="preserve"> 17.1.9 </t>
  </si>
  <si>
    <t xml:space="preserve"> 94706 </t>
  </si>
  <si>
    <t>ADAPTADOR COM FLANGE E ANEL DE VEDAÇÃO, PVC, SOLDÁVEL, DN 50 MM X 1 1/2 , INSTALADO EM RESERVAÇÃO DE ÁGUA DE EDIFICAÇÃO QUE POSSUA RESERVATÓRIO DE FIBRA/FIBROCIMENTO   FORNECIMENTO E INSTALAÇÃO. AF_06/2016</t>
  </si>
  <si>
    <t xml:space="preserve"> 17.1.10 </t>
  </si>
  <si>
    <t xml:space="preserve"> 94662 </t>
  </si>
  <si>
    <t>ADAPTADOR CURTO COM BOLSA E ROSCA PARA REGISTRO, PVC, SOLDÁVEL, DN 50 MM X 1 1/2 , INSTALADO EM RESERVAÇÃO DE ÁGUA DE EDIFICAÇÃO QUE POSSUA RESERVATÓRIO DE FIBRA/FIBROCIMENTO   FORNECIMENTO E INSTALAÇÃO. AF_06/2016</t>
  </si>
  <si>
    <t xml:space="preserve"> 17.1.11 </t>
  </si>
  <si>
    <t xml:space="preserve"> 103987 </t>
  </si>
  <si>
    <t>CURVA 45 GRAUS, PVC, SOLDÁVEL, DN 50MM, INSTALADO EM RAMAL DE DISTRIBUIÇÃO DE ÁGUA - FORNECIMENTO E INSTALAÇÃO. AF_06/2022</t>
  </si>
  <si>
    <t xml:space="preserve"> 17.1.12 </t>
  </si>
  <si>
    <t xml:space="preserve"> 103986 </t>
  </si>
  <si>
    <t>CURVA 90 GRAUS, PVC, SOLDÁVEL, DN 50MM, INSTALADO EM RAMAL DE DISTRIBUIÇÃO DE ÁGUA - FORNECIMENTO E INSTALAÇÃO. AF_06/2022</t>
  </si>
  <si>
    <t xml:space="preserve"> 17.1.13 </t>
  </si>
  <si>
    <t xml:space="preserve"> 94799 </t>
  </si>
  <si>
    <t>TORNEIRA DE BOIA PARA CAIXA D'ÁGUA, ROSCÁVEL, 1 1/2" - FORNECIMENTO E INSTALAÇÃO. AF_08/2021</t>
  </si>
  <si>
    <t xml:space="preserve"> 17.1.14 </t>
  </si>
  <si>
    <t xml:space="preserve"> 103979 </t>
  </si>
  <si>
    <t>TUBO, PVC, SOLDÁVEL, DN 50MM, INSTALADO EM RAMAL DE DISTRIBUIÇÃO DE ÁGUA - FORNECIMENTO E INSTALAÇÃO. AF_06/2022</t>
  </si>
  <si>
    <t xml:space="preserve"> 17.1.15 </t>
  </si>
  <si>
    <t xml:space="preserve"> 104008 </t>
  </si>
  <si>
    <t>TE DE REDUÇÃO, 90 GRAUS, PVC, SOLDÁVEL, DN 50 MM X 32 MM, INSTALADO EM RAMAL DE DISTRIBUIÇÃO DE ÁGUA - FORNECIMENTO E INSTALAÇÃO. AF_06/2022</t>
  </si>
  <si>
    <t xml:space="preserve"> 17.1.16 </t>
  </si>
  <si>
    <t xml:space="preserve"> 10324 </t>
  </si>
  <si>
    <t>Conjunto moto-bomba submersível, Schneider, mod. BCS-205, 2CV, trifásica, (ou similar)</t>
  </si>
  <si>
    <t xml:space="preserve"> 17.1.17 </t>
  </si>
  <si>
    <t xml:space="preserve"> 8218 </t>
  </si>
  <si>
    <t>Conjunto moto-bomba centrifuga, trifásica, motor 3 CV, Schneider mod.BC-21R ou similar</t>
  </si>
  <si>
    <t xml:space="preserve"> 17.1.18 </t>
  </si>
  <si>
    <t xml:space="preserve"> 12646 </t>
  </si>
  <si>
    <t>Caixa de coletora de talvegue - CCT 02 (padrão DNIT)</t>
  </si>
  <si>
    <t xml:space="preserve"> 17.1.19 </t>
  </si>
  <si>
    <t xml:space="preserve"> 94501 </t>
  </si>
  <si>
    <t>REGISTRO DE GAVETA BRUTO, LATÃO, ROSCÁVEL, 4" - FORNECIMENTO E INSTALAÇÃO. AF_08/2021</t>
  </si>
  <si>
    <t xml:space="preserve"> 17.1.20 </t>
  </si>
  <si>
    <t xml:space="preserve"> 99634 </t>
  </si>
  <si>
    <t>VÁLVULA DE RETENÇÃO VERTICAL, DE BRONZE, ROSCÁVEL, 4" - FORNECIMENTO E INSTALAÇÃO. AF_08/2021</t>
  </si>
  <si>
    <t xml:space="preserve"> 17.1.21 </t>
  </si>
  <si>
    <t xml:space="preserve"> 89811 </t>
  </si>
  <si>
    <t>CURVA CURTA 90 GRAUS, PVC, SERIE NORMAL, ESGOTO PREDIAL, DN 100 MM, JUNTA ELÁSTICA, FORNECIDO E INSTALADO EM PRUMADA DE ESGOTO SANITÁRIO OU VENTILAÇÃO. AF_08/2022</t>
  </si>
  <si>
    <t xml:space="preserve"> 17.1.22 </t>
  </si>
  <si>
    <t xml:space="preserve"> 89669 </t>
  </si>
  <si>
    <t>LUVA SIMPLES, PVC, SERIE R, ÁGUA PLUVIAL, DN 100 MM, JUNTA ELÁSTICA, FORNECIDO E INSTALADO EM CONDUTORES VERTICAIS DE ÁGUAS PLUVIAIS. AF_06/2022</t>
  </si>
  <si>
    <t xml:space="preserve"> 17.1.23 </t>
  </si>
  <si>
    <t xml:space="preserve"> 46.05.020 </t>
  </si>
  <si>
    <t xml:space="preserve"> 17.1.24 </t>
  </si>
  <si>
    <t xml:space="preserve"> 17.1.25 </t>
  </si>
  <si>
    <t xml:space="preserve"> 94670 </t>
  </si>
  <si>
    <t>ADAPTADOR CURTO COM BOLSA E ROSCA PARA REGISTRO, PVC, SOLDÁVEL, DN 110 MM X 4 , INSTALADO EM RESERVAÇÃO DE ÁGUA DE EDIFICAÇÃO QUE POSSUA RESERVATÓRIO DE FIBRA/FIBROCIMENTO   FORNECIMENTO E INSTALAÇÃO. AF_06/2016</t>
  </si>
  <si>
    <t xml:space="preserve"> 17.1.26 </t>
  </si>
  <si>
    <t xml:space="preserve"> 17.1.27 </t>
  </si>
  <si>
    <t xml:space="preserve"> 17.1.28 </t>
  </si>
  <si>
    <t xml:space="preserve"> 17.1.29 </t>
  </si>
  <si>
    <t xml:space="preserve"> 17.1.30 </t>
  </si>
  <si>
    <t xml:space="preserve"> 94493 </t>
  </si>
  <si>
    <t>REGISTRO DE ESFERA, PVC, SOLDÁVEL, COM VOLANTE, DN  60 MM - FORNECIMENTO E INSTALAÇÃO. AF_08/2021</t>
  </si>
  <si>
    <t xml:space="preserve"> 17.1.31 </t>
  </si>
  <si>
    <t xml:space="preserve"> 92365 </t>
  </si>
  <si>
    <t>TUBO DE AÇO GALVANIZADO COM COSTURA, CLASSE MÉDIA, DN 40 (1 1/2"), CONEXÃO ROSQUEADA, INSTALADO EM REDE DE ALIMENTAÇÃO PARA HIDRANTE - FORNECIMENTO E INSTALAÇÃO. AF_10/2020</t>
  </si>
  <si>
    <t xml:space="preserve"> 17.1.32 </t>
  </si>
  <si>
    <t xml:space="preserve"> 92336 </t>
  </si>
  <si>
    <t>TUBO DE AÇO GALVANIZADO COM COSTURA, CLASSE MÉDIA, CONEXÃO RANHURADA, DN 65 (2 1/2"), INSTALADO EM PRUMADAS - FORNECIMENTO E INSTALAÇÃO. AF_10/2020</t>
  </si>
  <si>
    <t xml:space="preserve"> 17.1.33 </t>
  </si>
  <si>
    <t xml:space="preserve"> 99635 </t>
  </si>
  <si>
    <t>VÁLVULA DE DESCARGA METÁLICA, BASE 1 1/2", ACABAMENTO METALICO CROMADO - FORNECIMENTO E INSTALAÇÃO. AF_08/2021</t>
  </si>
  <si>
    <t xml:space="preserve"> 17.1.34 </t>
  </si>
  <si>
    <t xml:space="preserve"> 89373 </t>
  </si>
  <si>
    <t>LUVA DE REDUÇÃO, PVC, SOLDÁVEL, DN 25MM X 20MM, INSTALADO EM RAMAL OU SUB-RAMAL DE ÁGUA - FORNECIMENTO E INSTALAÇÃO. AF_06/2022</t>
  </si>
  <si>
    <t xml:space="preserve"> 17.1.35 </t>
  </si>
  <si>
    <t xml:space="preserve"> 89593 </t>
  </si>
  <si>
    <t>LUVA COM ROSCA, PVC, SOLDÁVEL, DN 50MM X 1.1/2 , INSTALADO EM PRUMADA DE ÁGUA - FORNECIMENTO E INSTALAÇÃO. AF_06/2022</t>
  </si>
  <si>
    <t xml:space="preserve"> 17.1.36 </t>
  </si>
  <si>
    <t xml:space="preserve"> 94707 </t>
  </si>
  <si>
    <t>ADAPTADOR COM FLANGE E ANEL DE VEDAÇÃO, PVC, SOLDÁVEL, DN 60 MM X 2 , INSTALADO EM RESERVAÇÃO DE ÁGUA DE EDIFICAÇÃO QUE POSSUA RESERVATÓRIO DE FIBRA/FIBROCIMENTO   FORNECIMENTO E INSTALAÇÃO. AF_06/2016</t>
  </si>
  <si>
    <t xml:space="preserve"> 17.1.37 </t>
  </si>
  <si>
    <t xml:space="preserve"> 94656 </t>
  </si>
  <si>
    <t>ADAPTADOR CURTO COM BOLSA E ROSCA PARA REGISTRO, PVC, SOLDÁVEL, DN  25 MM X 3/4 , INSTALADO EM RESERVAÇÃO DE ÁGUA DE EDIFICAÇÃO QUE POSSUA RESERVATÓRIO DE FIBRA/FIBROCIMENTO   FORNECIMENTO E INSTALAÇÃO. AF_06/2016</t>
  </si>
  <si>
    <t xml:space="preserve"> 17.1.38 </t>
  </si>
  <si>
    <t xml:space="preserve"> 104002 </t>
  </si>
  <si>
    <t>ADAPTADOR CURTO COM BOLSA E ROSCA PARA REGISTRO, PVC, SOLDÁVEL, DN 50MM X 1.1/4, INSTALADO EM RAMAL DE DISTRIBUIÇÃO DE ÁGUA - FORNECIMENTO E INSTALAÇÃO. AF_06/2022</t>
  </si>
  <si>
    <t xml:space="preserve"> 17.1.39 </t>
  </si>
  <si>
    <t xml:space="preserve"> 103959 </t>
  </si>
  <si>
    <t>BUCHA DE REDUÇÃO, CURTA, PVC, SOLDÁVEL, DN 60 X 50 MM, INSTALADO EM PRUMADA DE ÁGUA - FORNECIMENTO E INSTALAÇÃO. AF_06/2022</t>
  </si>
  <si>
    <t xml:space="preserve"> 17.1.40 </t>
  </si>
  <si>
    <t xml:space="preserve"> 103966 </t>
  </si>
  <si>
    <t>BUCHA DE REDUÇÃO, LONGA, PVC, SOLDÁVEL, DN 50 X 25 MM, INSTALADO EM PRUMADA DE ÁGUA - FORNECIMENTO E INSTALAÇÃO. AF_06/2022</t>
  </si>
  <si>
    <t xml:space="preserve"> 17.1.41 </t>
  </si>
  <si>
    <t xml:space="preserve"> 89490 </t>
  </si>
  <si>
    <t>CURVA 45 GRAUS, PVC, SOLDÁVEL, DN 25MM, INSTALADO EM PRUMADA DE ÁGUA - FORNECIMENTO E INSTALAÇÃO. AF_06/2022</t>
  </si>
  <si>
    <t xml:space="preserve"> 17.1.42 </t>
  </si>
  <si>
    <t xml:space="preserve"> 17.1.43 </t>
  </si>
  <si>
    <t xml:space="preserve"> 89489 </t>
  </si>
  <si>
    <t>CURVA 90 GRAUS, PVC, SOLDÁVEL, DN 25MM, INSTALADO EM PRUMADA DE ÁGUA - FORNECIMENTO E INSTALAÇÃO. AF_06/2022</t>
  </si>
  <si>
    <t xml:space="preserve"> 17.1.44 </t>
  </si>
  <si>
    <t xml:space="preserve"> 17.1.45 </t>
  </si>
  <si>
    <t xml:space="preserve"> 89507 </t>
  </si>
  <si>
    <t>CURVA 90 GRAUS, PVC, SOLDÁVEL, DN 60MM, INSTALADO EM PRUMADA DE ÁGUA - FORNECIMENTO E INSTALAÇÃO. AF_06/2022</t>
  </si>
  <si>
    <t xml:space="preserve"> 17.1.46 </t>
  </si>
  <si>
    <t xml:space="preserve"> 89384 </t>
  </si>
  <si>
    <t>CURVA DE TRANSPOSIÇÃO, PVC, SOLDÁVEL, DN 25MM, INSTALADO EM RAMAL OU SUB-RAMAL DE ÁGUA   FORNECIMENTO E INSTALAÇÃO. AF_06/2022</t>
  </si>
  <si>
    <t xml:space="preserve"> 17.1.47 </t>
  </si>
  <si>
    <t xml:space="preserve"> 17.1.48 </t>
  </si>
  <si>
    <t xml:space="preserve"> 89530 </t>
  </si>
  <si>
    <t>LUVA DE CORRER, PVC, SOLDÁVEL, DN 25MM, INSTALADO EM PRUMADA DE ÁGUA - FORNECIMENTO E INSTALAÇÃO. AF_06/2022</t>
  </si>
  <si>
    <t xml:space="preserve"> 17.1.49 </t>
  </si>
  <si>
    <t xml:space="preserve"> 89577 </t>
  </si>
  <si>
    <t>LUVA DE CORRER, PVC, SOLDÁVEL, DN 50MM, INSTALADO EM PRUMADA DE ÁGUA - FORNECIMENTO E INSTALAÇÃO. AF_06/2022</t>
  </si>
  <si>
    <t xml:space="preserve"> 17.1.50 </t>
  </si>
  <si>
    <t xml:space="preserve"> 17.1.51 </t>
  </si>
  <si>
    <t xml:space="preserve"> 89448 </t>
  </si>
  <si>
    <t>TUBO, PVC, SOLDÁVEL, DN 40MM, INSTALADO EM PRUMADA DE ÁGUA - FORNECIMENTO E INSTALAÇÃO. AF_06/2022</t>
  </si>
  <si>
    <t xml:space="preserve"> 17.1.52 </t>
  </si>
  <si>
    <t xml:space="preserve"> 17.1.53 </t>
  </si>
  <si>
    <t xml:space="preserve"> 89450 </t>
  </si>
  <si>
    <t>TUBO, PVC, SOLDÁVEL, DN 60MM, INSTALADO EM PRUMADA DE ÁGUA - FORNECIMENTO E INSTALAÇÃO. AF_06/2022</t>
  </si>
  <si>
    <t xml:space="preserve"> 17.1.54 </t>
  </si>
  <si>
    <t xml:space="preserve"> 17.1.55 </t>
  </si>
  <si>
    <t xml:space="preserve"> 17.1.56 </t>
  </si>
  <si>
    <t xml:space="preserve"> 89628 </t>
  </si>
  <si>
    <t>TE, PVC, SOLDÁVEL, DN 60MM, INSTALADO EM PRUMADA DE ÁGUA - FORNECIMENTO E INSTALAÇÃO. AF_06/2022</t>
  </si>
  <si>
    <t xml:space="preserve"> 17.1.57 </t>
  </si>
  <si>
    <t xml:space="preserve"> 17.1.58 </t>
  </si>
  <si>
    <t xml:space="preserve"> 10900 </t>
  </si>
  <si>
    <t>Te redução 90 pvc soldavel marrom 60x25mm - fornecimento e instalação</t>
  </si>
  <si>
    <t xml:space="preserve"> 17.1.59 </t>
  </si>
  <si>
    <t xml:space="preserve"> 17.1.60 </t>
  </si>
  <si>
    <t xml:space="preserve"> 17.1.61 </t>
  </si>
  <si>
    <t xml:space="preserve"> 17.1.62 </t>
  </si>
  <si>
    <t xml:space="preserve"> 17.1.63 </t>
  </si>
  <si>
    <t xml:space="preserve"> 48.02.207 </t>
  </si>
  <si>
    <t xml:space="preserve"> 17.1.64 </t>
  </si>
  <si>
    <t xml:space="preserve"> 12829 </t>
  </si>
  <si>
    <t>Reservatório metálico em chapa de aço carbono ASTM A-36/tipo Tubular (diam. 1,47m h= 7,60m ), Cap.12.000L c/ pint. int. proteção epóxi poliamida 150 a 180 micras e ext. esmalt. sinté. anti-corros. alta quali.130 a 180 micras- Fornecimento e instalado</t>
  </si>
  <si>
    <t xml:space="preserve"> 17.1.65 </t>
  </si>
  <si>
    <t xml:space="preserve"> 94499 </t>
  </si>
  <si>
    <t>REGISTRO DE GAVETA BRUTO, LATÃO, ROSCÁVEL, 2 1/2" - FORNECIMENTO E INSTALAÇÃO. AF_08/2021</t>
  </si>
  <si>
    <t xml:space="preserve"> 17.1.66 </t>
  </si>
  <si>
    <t xml:space="preserve"> 94789 </t>
  </si>
  <si>
    <t>ADAPTADOR COM FLANGES LIVRES, PVC, SOLDÁVEL LONGO, DN 75 MM X 2 1/2 , INSTALADO EM RESERVAÇÃO DE ÁGUA DE EDIFICAÇÃO QUE POSSUA RESERVATÓRIO DE FIBRA/FIBROCIMENTO   FORNECIMENTO E INSTALAÇÃO. AF_06/2016</t>
  </si>
  <si>
    <t xml:space="preserve"> 17.1.67 </t>
  </si>
  <si>
    <t xml:space="preserve"> 94666 </t>
  </si>
  <si>
    <t>ADAPTADOR CURTO COM BOLSA E ROSCA PARA REGISTRO, PVC, SOLDÁVEL, DN 75 MM X 2 1/2 , INSTALADO EM RESERVAÇÃO DE ÁGUA DE EDIFICAÇÃO QUE POSSUA RESERVATÓRIO DE FIBRA/FIBROCIMENTO   FORNECIMENTO E INSTALAÇÃO. AF_06/2016</t>
  </si>
  <si>
    <t xml:space="preserve"> 17.1.68 </t>
  </si>
  <si>
    <t xml:space="preserve"> 103972 </t>
  </si>
  <si>
    <t>BUCHA DE REDUÇÃO, LONGA, PVC, SOLDÁVEL, DN 75 X 50 MM, INSTALADO EM PRUMADA DE ÁGUA - FORNECIMENTO E INSTALAÇÃO. AF_06/2022</t>
  </si>
  <si>
    <t xml:space="preserve"> 17.1.69 </t>
  </si>
  <si>
    <t xml:space="preserve"> 94683 </t>
  </si>
  <si>
    <t>CURVA 90 GRAUS, PVC, SOLDÁVEL, DN 75 MM, INSTALADO EM RESERVAÇÃO DE ÁGUA DE EDIFICAÇÃO QUE POSSUA RESERVATÓRIO DE FIBRA/FIBROCIMENTO   FORNECIMENTO E INSTALAÇÃO. AF_06/2016</t>
  </si>
  <si>
    <t xml:space="preserve"> 17.1.70 </t>
  </si>
  <si>
    <t xml:space="preserve"> 94653 </t>
  </si>
  <si>
    <t>TUBO, PVC, SOLDÁVEL, DN 75 MM, INSTALADO EM RESERVAÇÃO DE ÁGUA DE EDIFICAÇÃO QUE POSSUA RESERVATÓRIO DE FIBRA/FIBROCIMENTO   FORNECIMENTO E INSTALAÇÃO. AF_06/2016</t>
  </si>
  <si>
    <t xml:space="preserve"> 17.1.71 </t>
  </si>
  <si>
    <t xml:space="preserve"> 89629 </t>
  </si>
  <si>
    <t>TE, PVC, SOLDÁVEL, DN 75MM, INSTALADO EM PRUMADA DE ÁGUA - FORNECIMENTO E INSTALAÇÃO. AF_06/2022</t>
  </si>
  <si>
    <t xml:space="preserve"> 17.1.72 </t>
  </si>
  <si>
    <t xml:space="preserve"> 89630 </t>
  </si>
  <si>
    <t>TE DE REDUÇÃO, PVC, SOLDÁVEL, DN 75MM X 50MM, INSTALADO EM PRUMADA DE ÁGUA - FORNECIMENTO E INSTALAÇÃO. AF_06/2022</t>
  </si>
  <si>
    <t xml:space="preserve"> 17.1.73 </t>
  </si>
  <si>
    <t xml:space="preserve"> 94490 </t>
  </si>
  <si>
    <t>REGISTRO DE ESFERA, PVC, SOLDÁVEL, COM VOLANTE, DN  32 MM - FORNECIMENTO E INSTALAÇÃO. AF_08/2021</t>
  </si>
  <si>
    <t xml:space="preserve"> 17.1.74 </t>
  </si>
  <si>
    <t xml:space="preserve"> 99620 </t>
  </si>
  <si>
    <t>VÁLVULA DE RETENÇÃO HORIZONTAL, DE BRONZE, ROSCÁVEL, 1" - FORNECIMENTO E INSTALAÇÃO. AF_08/2021</t>
  </si>
  <si>
    <t xml:space="preserve"> 89436 </t>
  </si>
  <si>
    <t>ADAPTADOR CURTO COM BOLSA E ROSCA PARA REGISTRO, PVC, SOLDÁVEL, DN 32MM X 1 , INSTALADO EM RAMAL DE DISTRIBUIÇÃO DE ÁGUA - FORNECIMENTO E INSTALAÇÃO. AF_06/2022</t>
  </si>
  <si>
    <t xml:space="preserve"> 103948 </t>
  </si>
  <si>
    <t>BUCHA DE REDUÇÃO, CURTA, PVC, SOLDÁVEL, DN 32 X 25 MM, INSTALADO EM RAMAL OU SUB-RAMAL DE ÁGUA - FORNECIMENTO E INSTALAÇÃO. AF_06/2022</t>
  </si>
  <si>
    <t xml:space="preserve"> 89415 </t>
  </si>
  <si>
    <t>CURVA 90 GRAUS, PVC, SOLDÁVEL, DN 32MM, INSTALADO EM RAMAL DE DISTRIBUIÇÃO DE ÁGUA - FORNECIMENTO E INSTALAÇÃO. AF_06/2022</t>
  </si>
  <si>
    <t xml:space="preserve"> 47.20.320 </t>
  </si>
  <si>
    <t xml:space="preserve"> 89357 </t>
  </si>
  <si>
    <t>TUBO, PVC, SOLDÁVEL, DN 32MM, INSTALADO EM RAMAL OU SUB-RAMAL DE ÁGUA - FORNECIMENTO E INSTALAÇÃO. AF_06/2022</t>
  </si>
  <si>
    <t xml:space="preserve"> 94690 </t>
  </si>
  <si>
    <t>TÊ, PVC, SOLDÁVEL, DN 32 MM INSTALADO EM RESERVAÇÃO DE ÁGUA DE EDIFICAÇÃO QUE POSSUA RESERVATÓRIO DE FIBRA/FIBROCIMENTO   FORNECIMENTO E INSTALAÇÃO. AF_06/2016</t>
  </si>
  <si>
    <t xml:space="preserve"> 89400 </t>
  </si>
  <si>
    <t>TÊ DE REDUÇÃO, PVC, SOLDÁVEL, DN 32MM X 25MM, INSTALADO EM RAMAL OU SUB-RAMAL DE ÁGUA - FORNECIMENTO E INSTALAÇÃO. AF_06/2022</t>
  </si>
  <si>
    <t xml:space="preserve"> C0448 </t>
  </si>
  <si>
    <t>BOMBA CENTRÍFUGA P/ PRESSURIZAÇÃO/HIDRANTE 10 CV</t>
  </si>
  <si>
    <t xml:space="preserve"> 48.02.300 </t>
  </si>
  <si>
    <t xml:space="preserve"> 17.2.1 </t>
  </si>
  <si>
    <t xml:space="preserve"> 17.2.2 </t>
  </si>
  <si>
    <t xml:space="preserve"> 17.2.3 </t>
  </si>
  <si>
    <t xml:space="preserve"> 89707 </t>
  </si>
  <si>
    <t>CAIXA SIFONADA, PVC, DN 100 X 100 X 50 MM, JUNTA ELÁSTICA, FORNECIDA E INSTALADA EM RAMAL DE DESCARGA OU EM RAMAL DE ESGOTO SANITÁRIO. AF_08/2022</t>
  </si>
  <si>
    <t xml:space="preserve"> 17.2.4 </t>
  </si>
  <si>
    <t xml:space="preserve"> 17.2.5 </t>
  </si>
  <si>
    <t xml:space="preserve"> 89708 </t>
  </si>
  <si>
    <t>CAIXA SIFONADA, PVC, DN 150 X 185 X 75 MM, JUNTA ELÁSTICA, FORNECIDA E INSTALADA EM RAMAL DE DESCARGA OU EM RAMAL DE ESGOTO SANITÁRIO. AF_08/2022</t>
  </si>
  <si>
    <t xml:space="preserve"> 17.2.6 </t>
  </si>
  <si>
    <t xml:space="preserve"> 17.2.7 </t>
  </si>
  <si>
    <t xml:space="preserve"> 17.2.8 </t>
  </si>
  <si>
    <t xml:space="preserve"> 86882 </t>
  </si>
  <si>
    <t>SIFÃO DO TIPO GARRAFA/COPO EM PVC 1.1/4  X 1.1/2 - FORNECIMENTO E INSTALAÇÃO. AF_01/2020</t>
  </si>
  <si>
    <t xml:space="preserve"> 17.2.9 </t>
  </si>
  <si>
    <t xml:space="preserve"> 17.2.10 </t>
  </si>
  <si>
    <t xml:space="preserve"> 104063 </t>
  </si>
  <si>
    <t>CURVA LONGA, 45 GRAUS, PVC OCRE, JUNTA ELÁSTICA, DN 100 MM, PARA COLETOR PREDIAL DE ESGOTO. AF_06/2022</t>
  </si>
  <si>
    <t xml:space="preserve"> 17.2.11 </t>
  </si>
  <si>
    <t xml:space="preserve"> 17.2.12 </t>
  </si>
  <si>
    <t xml:space="preserve"> 17.2.13 </t>
  </si>
  <si>
    <t xml:space="preserve"> 17.2.14 </t>
  </si>
  <si>
    <t xml:space="preserve"> 89732 </t>
  </si>
  <si>
    <t>JOELHO 45 GRAUS, PVC, SERIE NORMAL, ESGOTO PREDIAL, DN 50 MM, JUNTA ELÁSTICA, FORNECIDO E INSTALADO EM RAMAL DE DESCARGA OU RAMAL DE ESGOTO SANITÁRIO. AF_08/2022</t>
  </si>
  <si>
    <t xml:space="preserve"> 17.2.15 </t>
  </si>
  <si>
    <t xml:space="preserve"> 89739 </t>
  </si>
  <si>
    <t>JOELHO 45 GRAUS, PVC, SERIE NORMAL, ESGOTO PREDIAL, DN 75 MM, JUNTA ELÁSTICA, FORNECIDO E INSTALADO EM RAMAL DE DESCARGA OU RAMAL DE ESGOTO SANITÁRIO. AF_08/2022</t>
  </si>
  <si>
    <t xml:space="preserve"> 17.2.16 </t>
  </si>
  <si>
    <t xml:space="preserve"> 17.2.17 </t>
  </si>
  <si>
    <t xml:space="preserve"> 17.2.18 </t>
  </si>
  <si>
    <t xml:space="preserve"> 104345 </t>
  </si>
  <si>
    <t>JUNÇÃO DE REDUÇÃO INVERTIDA, PVC, SÉRIE NORMAL, ESGOTO PREDIAL, DN 100 X 50 MM, JUNTA ELÁSTICA, FORNECIDO E INSTALADO EM RAMAL DE DESCARGA OU RAMAL DE ESGOTO SANITÁRIO. AF_08/2022</t>
  </si>
  <si>
    <t xml:space="preserve"> 17.2.19 </t>
  </si>
  <si>
    <t xml:space="preserve"> 89797 </t>
  </si>
  <si>
    <t>JUNÇÃO SIMPLES, PVC, SERIE NORMAL, ESGOTO PREDIAL, DN 100 X 100 MM, JUNTA ELÁSTICA, FORNECIDO E INSTALADO EM RAMAL DE DESCARGA OU RAMAL DE ESGOTO SANITÁRIO. AF_08/2022</t>
  </si>
  <si>
    <t xml:space="preserve"> 17.2.20 </t>
  </si>
  <si>
    <t xml:space="preserve"> 89783 </t>
  </si>
  <si>
    <t>JUNÇÃO SIMPLES, PVC, SERIE NORMAL, ESGOTO PREDIAL, DN 40 MM, JUNTA SOLDÁVEL, FORNECIDO E INSTALADO EM RAMAL DE DESCARGA OU RAMAL DE ESGOTO SANITÁRIO. AF_08/2022</t>
  </si>
  <si>
    <t xml:space="preserve"> 17.2.21 </t>
  </si>
  <si>
    <t xml:space="preserve"> 17.2.22 </t>
  </si>
  <si>
    <t xml:space="preserve"> 89795 </t>
  </si>
  <si>
    <t>JUNÇÃO SIMPLES, PVC, SERIE NORMAL, ESGOTO PREDIAL, DN 75 X 75 MM, JUNTA ELÁSTICA, FORNECIDO E INSTALADO EM RAMAL DE DESCARGA OU RAMAL DE ESGOTO SANITÁRIO. AF_08/2022</t>
  </si>
  <si>
    <t xml:space="preserve"> 17.2.23 </t>
  </si>
  <si>
    <t xml:space="preserve"> 17.2.24 </t>
  </si>
  <si>
    <t xml:space="preserve"> 46.03.050 </t>
  </si>
  <si>
    <t xml:space="preserve"> 17.2.25 </t>
  </si>
  <si>
    <t xml:space="preserve"> 46.03.060 </t>
  </si>
  <si>
    <t xml:space="preserve"> 17.2.26 </t>
  </si>
  <si>
    <t xml:space="preserve"> 46.03.038 </t>
  </si>
  <si>
    <t xml:space="preserve"> 17.2.27 </t>
  </si>
  <si>
    <t xml:space="preserve"> 46.03.040 </t>
  </si>
  <si>
    <t xml:space="preserve"> 17.2.28 </t>
  </si>
  <si>
    <t xml:space="preserve"> 46.01.040 </t>
  </si>
  <si>
    <t xml:space="preserve"> 17.2.29 </t>
  </si>
  <si>
    <t xml:space="preserve"> 46.02.010 </t>
  </si>
  <si>
    <t xml:space="preserve"> 17.2.30 </t>
  </si>
  <si>
    <t xml:space="preserve"> 46.03.080 </t>
  </si>
  <si>
    <t xml:space="preserve"> 17.2.31 </t>
  </si>
  <si>
    <t xml:space="preserve"> 1595 </t>
  </si>
  <si>
    <t>Vedação para saída de vaso sanitário em  pvc rígido soldável, para esgoto primário, diâm = 100mm</t>
  </si>
  <si>
    <t xml:space="preserve"> 17.2.32 </t>
  </si>
  <si>
    <t xml:space="preserve"> 17.2.33 </t>
  </si>
  <si>
    <t xml:space="preserve"> 17.2.34 </t>
  </si>
  <si>
    <t xml:space="preserve"> 17.2.35 </t>
  </si>
  <si>
    <t xml:space="preserve"> 17.2.36 </t>
  </si>
  <si>
    <t xml:space="preserve"> 17.2.37 </t>
  </si>
  <si>
    <t xml:space="preserve"> 104347 </t>
  </si>
  <si>
    <t>JUNÇÃO DE REDUCAO INVERTIDA, PVC, SÉRIE NORMAL, ESGOTO PREDIAL, DN 100 X 75 MM, JUNTA ELÁSTICA, FORNECIDO E INSTALADO EM RAMAL DE DESCARGA OU RAMAL DE ESGOTO SANITÁRIO. AF_08/2022</t>
  </si>
  <si>
    <t xml:space="preserve"> 17.2.38 </t>
  </si>
  <si>
    <t xml:space="preserve"> 17.2.39 </t>
  </si>
  <si>
    <t xml:space="preserve"> 17.2.40 </t>
  </si>
  <si>
    <t xml:space="preserve"> 100324 </t>
  </si>
  <si>
    <t>LASTRO COM MATERIAL GRANULAR (PEDRA BRITADA N.1 E PEDRA BRITADA N.2), APLICADO EM PISOS OU LAJES SOBRE SOLO, ESPESSURA DE *10 CM*. AF_07/2019</t>
  </si>
  <si>
    <t xml:space="preserve"> 17.2.41 </t>
  </si>
  <si>
    <t xml:space="preserve"> 94962 </t>
  </si>
  <si>
    <t>CONCRETO MAGRO PARA LASTRO, TRAÇO 1:4,5:4,5 (EM MASSA SECA DE CIMENTO/ AREIA MÉDIA/ BRITA 1) - PREPARO MECÂNICO COM BETONEIRA 400 L. AF_05/2021</t>
  </si>
  <si>
    <t xml:space="preserve"> 17.2.42 </t>
  </si>
  <si>
    <t xml:space="preserve"> 98110 </t>
  </si>
  <si>
    <t>CAIXA DE GORDURA PEQUENA (CAPACIDADE: 19 L), CIRCULAR, EM PVC, DIÂMETRO INTERNO= 0,3 M. AF_12/2020</t>
  </si>
  <si>
    <t xml:space="preserve"> 17.2.43 </t>
  </si>
  <si>
    <t xml:space="preserve"> 17.2.44 </t>
  </si>
  <si>
    <t xml:space="preserve"> 89737 </t>
  </si>
  <si>
    <t>JOELHO 90 GRAUS, PVC, SERIE NORMAL, ESGOTO PREDIAL, DN 75 MM, JUNTA ELÁSTICA, FORNECIDO E INSTALADO EM RAMAL DE DESCARGA OU RAMAL DE ESGOTO SANITÁRIO. AF_08/2022</t>
  </si>
  <si>
    <t xml:space="preserve"> 17.2.45 </t>
  </si>
  <si>
    <t xml:space="preserve"> 89754 </t>
  </si>
  <si>
    <t>LUVA DE CORRER, PVC, SERIE NORMAL, ESGOTO PREDIAL, DN 50 MM, JUNTA ELÁSTICA, FORNECIDO E INSTALADO EM RAMAL DE DESCARGA OU RAMAL DE ESGOTO SANITÁRIO. AF_08/2022</t>
  </si>
  <si>
    <t xml:space="preserve"> 17.2.46 </t>
  </si>
  <si>
    <t xml:space="preserve"> 17.2.47 </t>
  </si>
  <si>
    <t xml:space="preserve"> 17.2.48 </t>
  </si>
  <si>
    <t xml:space="preserve"> 46.01.070 </t>
  </si>
  <si>
    <t xml:space="preserve"> 17.2.49 </t>
  </si>
  <si>
    <t xml:space="preserve"> 104354 </t>
  </si>
  <si>
    <t>TE, PVC, SÉRIE NORMAL, ESGOTO PREDIAL, DN 100 X 75 MM, JUNTA ELÁSTICA, FORNECIDO E INSTALADO EM PRUMADA DE ESGOTO SANITÁRIO OU VENTILAÇÃO. AF_08/2022</t>
  </si>
  <si>
    <t xml:space="preserve"> 17.2.50 </t>
  </si>
  <si>
    <t xml:space="preserve"> 17.2.51 </t>
  </si>
  <si>
    <t xml:space="preserve"> 89829 </t>
  </si>
  <si>
    <t>TE, PVC, SERIE NORMAL, ESGOTO PREDIAL, DN 75 X 75 MM, JUNTA ELÁSTICA, FORNECIDO E INSTALADO EM PRUMADA DE ESGOTO SANITÁRIO OU VENTILAÇÃO. AF_08/2022</t>
  </si>
  <si>
    <t>PLUVIAL</t>
  </si>
  <si>
    <t xml:space="preserve"> 17.3.1 </t>
  </si>
  <si>
    <t xml:space="preserve"> 97961 </t>
  </si>
  <si>
    <t>CAIXA PARA BOCA DE LOBO COMBINADA COM GRELHA RETANGULAR, EM ALVENARIA COM BLOCOS DE CONCRETO, DIMENSÕES INTERNAS: 1,3X1X1,2 M. AF_12/2020</t>
  </si>
  <si>
    <t xml:space="preserve"> 17.3.2 </t>
  </si>
  <si>
    <t xml:space="preserve"> 46.05.050 </t>
  </si>
  <si>
    <t xml:space="preserve"> 17.3.3 </t>
  </si>
  <si>
    <t xml:space="preserve"> 46.05.060 </t>
  </si>
  <si>
    <t xml:space="preserve"> 17.3.4 </t>
  </si>
  <si>
    <t xml:space="preserve"> 46.05.070 </t>
  </si>
  <si>
    <t xml:space="preserve"> 17.3.5 </t>
  </si>
  <si>
    <t xml:space="preserve"> CPU2094 </t>
  </si>
  <si>
    <t>CURVA PVC PARA REDE COLETOR ESGOTO, 45 GR, 200 MM, COM JUNTA ELASTICA.</t>
  </si>
  <si>
    <t xml:space="preserve"> 17.3.6 </t>
  </si>
  <si>
    <t xml:space="preserve"> CPU2092 </t>
  </si>
  <si>
    <t>CURVA PVC PARA REDE COLETOR ESGOTO, EB-644, 45 GR, 200 MM, COM JUNTA ELASTICA.</t>
  </si>
  <si>
    <t xml:space="preserve"> 17.3.7 </t>
  </si>
  <si>
    <t xml:space="preserve"> CPU2093 </t>
  </si>
  <si>
    <t>CURVA PVC PARA REDE COLETOR ESGOTO, 90 GR, 250 MM, COM JUNTA ELASTICA.</t>
  </si>
  <si>
    <t xml:space="preserve"> 17.3.8 </t>
  </si>
  <si>
    <t xml:space="preserve"> 90696 </t>
  </si>
  <si>
    <t>TUBO DE PVC PARA REDE COLETORA DE ESGOTO DE PAREDE MACIÇA, DN 200 MM, JUNTA ELÁSTICA - FORNECIMENTO E ASSENTAMENTO. AF_01/2021</t>
  </si>
  <si>
    <t xml:space="preserve"> 17.3.9 </t>
  </si>
  <si>
    <t xml:space="preserve"> 90697 </t>
  </si>
  <si>
    <t>TUBO DE PVC PARA REDE COLETORA DE ESGOTO DE PAREDE MACIÇA, DN 250 MM, JUNTA ELÁSTICA  - FORNECIMENTO E ASSENTAMENTO. AF_01/2021</t>
  </si>
  <si>
    <t xml:space="preserve"> 17.3.10 </t>
  </si>
  <si>
    <t xml:space="preserve"> 104072 </t>
  </si>
  <si>
    <t>TÊ, PVC OCRE, JUNTA ELÁSTICA, DN 200 MM, PARA COLETOR PREDIAL DE ESGOTO. AF_06/2022</t>
  </si>
  <si>
    <t xml:space="preserve"> 17.3.11 </t>
  </si>
  <si>
    <t xml:space="preserve"> 17.3.12 </t>
  </si>
  <si>
    <t xml:space="preserve"> 17.3.13 </t>
  </si>
  <si>
    <t xml:space="preserve"> 17.3.14 </t>
  </si>
  <si>
    <t>PREVENÇÃO E COMBATE A INCÊNDIO (PCI)</t>
  </si>
  <si>
    <t xml:space="preserve"> 17.4.1 </t>
  </si>
  <si>
    <t>SINALIZAÇÃO E EQUIPAMENTOS</t>
  </si>
  <si>
    <t xml:space="preserve"> 17.4.1.1 </t>
  </si>
  <si>
    <t xml:space="preserve"> 17.4.1.2 </t>
  </si>
  <si>
    <t xml:space="preserve"> 17.4.1.3 </t>
  </si>
  <si>
    <t xml:space="preserve"> 97.02.195 </t>
  </si>
  <si>
    <t xml:space="preserve"> 17.4.1.4 </t>
  </si>
  <si>
    <t xml:space="preserve"> 12888 </t>
  </si>
  <si>
    <t>Placa de sinalizacao, fotoluminescente, em pvc , com logotipo "Extintor de incêndio portátil"- Placa E5</t>
  </si>
  <si>
    <t xml:space="preserve"> 17.4.1.5 </t>
  </si>
  <si>
    <t xml:space="preserve"> 17.4.1.6 </t>
  </si>
  <si>
    <t xml:space="preserve"> 102494 </t>
  </si>
  <si>
    <t>PINTURA DE PISO COM TINTA EPÓXI, APLICAÇÃO MANUAL, 2 DEMÃOS, INCLUSO PRIMER EPÓXI. AF_05/2021</t>
  </si>
  <si>
    <t xml:space="preserve"> 17.4.1.7 </t>
  </si>
  <si>
    <t xml:space="preserve"> 97.02.210 </t>
  </si>
  <si>
    <t xml:space="preserve"> 17.4.1.8 </t>
  </si>
  <si>
    <t xml:space="preserve"> 11853 </t>
  </si>
  <si>
    <t>Placa de sinalizacao de seguranca contra incendio, fotoluminescente, retangular, *20 x 40* cm, em pvc *2* mm anti-chamas (simbolos, cores e pictogramas conforme nbr 13434)</t>
  </si>
  <si>
    <t xml:space="preserve"> 17.4.1.9 </t>
  </si>
  <si>
    <t xml:space="preserve"> 12895 </t>
  </si>
  <si>
    <t>Placa de sinalizacao, fotoluminescente, em pvc , rota de fuga</t>
  </si>
  <si>
    <t xml:space="preserve"> 17.4.1.10 </t>
  </si>
  <si>
    <t xml:space="preserve"> 17.4.2 </t>
  </si>
  <si>
    <t>SISTEMA DE DETECÇÃO E ALARME DE INCÊNDIO</t>
  </si>
  <si>
    <t xml:space="preserve"> 17.4.2.1 </t>
  </si>
  <si>
    <t xml:space="preserve"> 50.05.430 </t>
  </si>
  <si>
    <t xml:space="preserve"> 17.4.2.2 </t>
  </si>
  <si>
    <t xml:space="preserve"> 50.05.210 </t>
  </si>
  <si>
    <t xml:space="preserve"> 17.4.2.3 </t>
  </si>
  <si>
    <t xml:space="preserve"> 11820 </t>
  </si>
  <si>
    <t>Central de alarme endereçável de incendio com sistema p/ até 250 dispositivos, marcal Verin ou similar, Modelo VRE-250 c/ bateria de 12V e 7Amperes</t>
  </si>
  <si>
    <t xml:space="preserve"> 17.4.2.4 </t>
  </si>
  <si>
    <t xml:space="preserve"> 10446 </t>
  </si>
  <si>
    <t>Avisador sonoro tipo sirene para incêndio - Fornecimento</t>
  </si>
  <si>
    <t xml:space="preserve"> 17.4.2.5 </t>
  </si>
  <si>
    <t xml:space="preserve"> 50.05.450 </t>
  </si>
  <si>
    <t xml:space="preserve"> 17.4.3 </t>
  </si>
  <si>
    <t>REDE DE HIDRANTES</t>
  </si>
  <si>
    <t xml:space="preserve"> 17.4.3.1 </t>
  </si>
  <si>
    <t xml:space="preserve"> 101798 </t>
  </si>
  <si>
    <t>TAMPA PARA CAIXA TIPO R1, EM FERRO FUNDIDO, DIMENSÕES INTERNAS: 0,40 X 0,60 M - FORNECIMENTO E INSTALAÇÃO. AF_12/2020</t>
  </si>
  <si>
    <t xml:space="preserve"> 17.4.3.2 </t>
  </si>
  <si>
    <t xml:space="preserve"> 101912 </t>
  </si>
  <si>
    <t>ABRIGO PARA HIDRANTE, 75X45X17CM, COM REGISTRO GLOBO ANGULAR 45 GRAUS 2 1/2", ADAPTADOR STORZ 2 1/2", MANGUEIRA DE INCÊNDIO 15M 2 1/2" E ESGUICHO EM LATÃO 2 1/2" - FORNECIMENTO E INSTALAÇÃO. AF_10/2020</t>
  </si>
  <si>
    <t xml:space="preserve"> 17.4.3.3 </t>
  </si>
  <si>
    <t xml:space="preserve"> 97429 </t>
  </si>
  <si>
    <t>FLANGE EM AÇO, DN 40 MM X 1 1/2'', INSTALADO EM RESERVAÇÃO DE ÁGUA DE EDIFICAÇÃO QUE POSSUA RESERVATÓRIO DE FIBRA/FIBROCIMENTO - FORNECIMENTO E INSTALAÇÃO. AF_06/2016</t>
  </si>
  <si>
    <t xml:space="preserve"> 17.4.3.4 </t>
  </si>
  <si>
    <t xml:space="preserve"> 43.10.480 </t>
  </si>
  <si>
    <t xml:space="preserve"> 17.4.3.5 </t>
  </si>
  <si>
    <t xml:space="preserve"> 17.4.3.6 </t>
  </si>
  <si>
    <t xml:space="preserve"> 99624 </t>
  </si>
  <si>
    <t>VÁLVULA DE RETENÇÃO HORIZONTAL, DE BRONZE, ROSCÁVEL, 2 1/2" - FORNECIMENTO E INSTALAÇÃO. AF_08/2021</t>
  </si>
  <si>
    <t xml:space="preserve"> 17.4.3.7 </t>
  </si>
  <si>
    <t xml:space="preserve"> 97495 </t>
  </si>
  <si>
    <t>TÊ, EM AÇO, CONEXÃO SOLDADA, DN 65 (2 1/2"), INSTALADO EM REDE DE ALIMENTAÇÃO PARA HIDRANTE - FORNECIMENTO E INSTALAÇÃO. AF_10/2020</t>
  </si>
  <si>
    <t xml:space="preserve"> 17.4.3.8 </t>
  </si>
  <si>
    <t xml:space="preserve"> 101917 </t>
  </si>
  <si>
    <t>MANÔMETRO 0 A 200 PSI (0 A 14 KGF/CM2), D = 50MM - FORNECIMENTO E INSTALAÇÃO. AF_10/2020</t>
  </si>
  <si>
    <t xml:space="preserve"> 17.4.3.9 </t>
  </si>
  <si>
    <t xml:space="preserve"> 052534 </t>
  </si>
  <si>
    <t>VALVULA GLOBO 150 ROSCA BRONZE 1.1/4""</t>
  </si>
  <si>
    <t xml:space="preserve"> 17.4.3.10 </t>
  </si>
  <si>
    <t xml:space="preserve"> 97492 </t>
  </si>
  <si>
    <t>TÊ, EM AÇO, CONEXÃO SOLDADA, DN 32 (1 1/4"), INSTALADO EM REDE DE ALIMENTAÇÃO PARA HIDRANTE - FORNECIMENTO E INSTALAÇÃO. AF_10/2020</t>
  </si>
  <si>
    <t xml:space="preserve"> 17.4.3.11 </t>
  </si>
  <si>
    <t xml:space="preserve"> 92893 </t>
  </si>
  <si>
    <t>UNIÃO, EM FERRO GALVANIZADO, DN 32 (1 1/4"), CONEXÃO ROSQUEADA, INSTALADO EM REDE DE ALIMENTAÇÃO PARA HIDRANTE - FORNECIMENTO E INSTALAÇÃO. AF_10/2020</t>
  </si>
  <si>
    <t xml:space="preserve"> 17.4.3.12 </t>
  </si>
  <si>
    <t xml:space="preserve"> 055700 </t>
  </si>
  <si>
    <t>PRESSOSTATO ALTA/BAIXA COM REARME MANUAL REF. KP15</t>
  </si>
  <si>
    <t xml:space="preserve"> 17.4.3.13 </t>
  </si>
  <si>
    <t xml:space="preserve"> 17.4.3.14 </t>
  </si>
  <si>
    <t xml:space="preserve"> 92364 </t>
  </si>
  <si>
    <t>TUBO DE AÇO GALVANIZADO COM COSTURA, CLASSE MÉDIA, DN 32 (1 1/4"), CONEXÃO ROSQUEADA, INSTALADO EM REDE DE ALIMENTAÇÃO PARA HIDRANTE - FORNECIMENTO E INSTALAÇÃO. AF_10/2020</t>
  </si>
  <si>
    <t xml:space="preserve"> 17.4.3.15 </t>
  </si>
  <si>
    <t xml:space="preserve"> 96765 </t>
  </si>
  <si>
    <t>ABRIGO PARA HIDRANTE, 90X60X17CM, COM REGISTRO GLOBO ANGULAR 45 GRAUS 2 1/2", ADAPTADOR STORZ 2 1/2", MANGUEIRA DE INCÊNDIO 20M, REDUÇÃO 2 1/2" X 1 1/2" E ESGUICHO EM LATÃO 1 1/2" - FORNECIMENTO E INSTALAÇÃO. AF_10/2020</t>
  </si>
  <si>
    <t xml:space="preserve"> 17.4.3.16 </t>
  </si>
  <si>
    <t xml:space="preserve"> 97440 </t>
  </si>
  <si>
    <t>TÊ, EM AÇO, CONEXÃO RANHURADA, DN 65 (2 1/2"), INSTALADO EM PRUMADAS - FORNECIMENTO E INSTALAÇÃO. AF_10/2020</t>
  </si>
  <si>
    <t xml:space="preserve"> 17.4.3.17 </t>
  </si>
  <si>
    <t xml:space="preserve"> 97436 </t>
  </si>
  <si>
    <t>CURVA 90 GRAUS, EM AÇO, CONEXÃO RANHURADA, DN 65 (2 1/2"), INSTALADO EM PRUMADAS - FORNECIMENTO E INSTALAÇÃO. AF_10/2020</t>
  </si>
  <si>
    <t xml:space="preserve"> 17.4.3.18 </t>
  </si>
  <si>
    <t xml:space="preserve"> 97431 </t>
  </si>
  <si>
    <t>ACOPLAMENTO RÍGIDO EM AÇO, CONEXÃO RANHURADA, DN 65 (2 1/2"), INSTALADO EM PRUMADAS - FORNECIMENTO E INSTALAÇÃO. AF_10/2020</t>
  </si>
  <si>
    <t xml:space="preserve"> 17.4.3.19 </t>
  </si>
  <si>
    <t xml:space="preserve"> 97430 </t>
  </si>
  <si>
    <t>ACOPLAMENTO RÍGIDO EM AÇO, CONEXÃO RANHURADA, DN 50 (2"), INSTALADO EM PRUMADAS - FORNECIMENTO E INSTALAÇÃO. AF_10/2020</t>
  </si>
  <si>
    <t>INSTALAÇÕES ELÉTRICAS</t>
  </si>
  <si>
    <t>INFRAESTRUTURA</t>
  </si>
  <si>
    <t xml:space="preserve"> 18.1.1 </t>
  </si>
  <si>
    <t xml:space="preserve"> 9925 </t>
  </si>
  <si>
    <t>Bucha com arruela em liga especial zamak p/eletroduto 32mm, d=1 1/4"</t>
  </si>
  <si>
    <t xml:space="preserve"> 18.1.2 </t>
  </si>
  <si>
    <t xml:space="preserve"> 18.1.3 </t>
  </si>
  <si>
    <t xml:space="preserve"> 91943 </t>
  </si>
  <si>
    <t>CAIXA RETANGULAR 4" X 4" MÉDIA (1,30 M DO PISO), PVC, INSTALADA EM PAREDE - FORNECIMENTO E INSTALAÇÃO. AF_03/2023</t>
  </si>
  <si>
    <t xml:space="preserve"> 18.1.4 </t>
  </si>
  <si>
    <t xml:space="preserve"> 18.1.5 </t>
  </si>
  <si>
    <t xml:space="preserve"> 92868 </t>
  </si>
  <si>
    <t>CAIXA RETANGULAR 4" X 2" MÉDIA (1,30 M DO PISO), METÁLICA, INSTALADA EM PAREDE - FORNECIMENTO E INSTALAÇÃO. AF_03/2023</t>
  </si>
  <si>
    <t xml:space="preserve"> 18.1.6 </t>
  </si>
  <si>
    <t xml:space="preserve"> 91920 </t>
  </si>
  <si>
    <t>CURVA 90 GRAUS PARA ELETRODUTO, PVC, ROSCÁVEL, DN 40 MM (1 1/4"), PARA CIRCUITOS TERMINAIS, INSTALADA EM PAREDE - FORNECIMENTO E INSTALAÇÃO. AF_03/2023</t>
  </si>
  <si>
    <t xml:space="preserve"> 18.1.7 </t>
  </si>
  <si>
    <t xml:space="preserve"> 063445 </t>
  </si>
  <si>
    <t>LEITOS - PORCA E ARRUELA 1/4""</t>
  </si>
  <si>
    <t xml:space="preserve"> 18.1.8 </t>
  </si>
  <si>
    <t xml:space="preserve"> 063444 </t>
  </si>
  <si>
    <t>LEITOS - PORCA E ARRUELA 3/8""</t>
  </si>
  <si>
    <t xml:space="preserve"> 18.1.9 </t>
  </si>
  <si>
    <t xml:space="preserve"> 040395 </t>
  </si>
  <si>
    <t>CHUMBADOR 3/8"" X 2.1/2"" COM PARAFUSO CBA/CB/CBT ZINCADO</t>
  </si>
  <si>
    <t xml:space="preserve"> 18.1.10 </t>
  </si>
  <si>
    <t xml:space="preserve"> 063111 </t>
  </si>
  <si>
    <t>PARAFUSO LENTILHA 42x13mm COM PORCA E ARRUELA</t>
  </si>
  <si>
    <t xml:space="preserve"> 18.1.11 </t>
  </si>
  <si>
    <t xml:space="preserve"> 078583 </t>
  </si>
  <si>
    <t>SUPORTE PARA FIXACAO FITA ALUMINIO OU CABO COBRE NU</t>
  </si>
  <si>
    <t xml:space="preserve"> 18.1.12 </t>
  </si>
  <si>
    <t xml:space="preserve"> 062690 </t>
  </si>
  <si>
    <t>VERGALHAO ACO GALV C/OM ROSCA TOTAL PARA PERFILADO 1/4""</t>
  </si>
  <si>
    <t xml:space="preserve"> 18.1.13 </t>
  </si>
  <si>
    <t xml:space="preserve"> 18.1.14 </t>
  </si>
  <si>
    <t xml:space="preserve"> 18.1.15 </t>
  </si>
  <si>
    <t xml:space="preserve"> 91935 </t>
  </si>
  <si>
    <t>CABO DE COBRE FLEXÍVEL ISOLADO, 16 MM², ANTI-CHAMA 0,6/1,0 KV, PARA CIRCUITOS TERMINAIS - FORNECIMENTO E INSTALAÇÃO. AF_03/2023</t>
  </si>
  <si>
    <t xml:space="preserve"> 18.1.16 </t>
  </si>
  <si>
    <t xml:space="preserve"> 92984 </t>
  </si>
  <si>
    <t>CABO DE COBRE FLEXÍVEL ISOLADO, 25 MM², ANTI-CHAMA 0,6/1,0 KV, PARA REDE ENTERRADA DE DISTRIBUIÇÃO DE ENERGIA ELÉTRICA - FORNECIMENTO E INSTALAÇÃO. AF_12/2021</t>
  </si>
  <si>
    <t xml:space="preserve"> 18.1.17 </t>
  </si>
  <si>
    <t xml:space="preserve"> 18.1.18 </t>
  </si>
  <si>
    <t xml:space="preserve"> 92986 </t>
  </si>
  <si>
    <t>CABO DE COBRE FLEXÍVEL ISOLADO, 35 MM², ANTI-CHAMA 0,6/1,0 KV, PARA REDE ENTERRADA DE DISTRIBUIÇÃO DE ENERGIA ELÉTRICA - FORNECIMENTO E INSTALAÇÃO. AF_12/2021</t>
  </si>
  <si>
    <t xml:space="preserve"> 18.1.19 </t>
  </si>
  <si>
    <t xml:space="preserve"> 18.1.20 </t>
  </si>
  <si>
    <t xml:space="preserve"> 18.1.21 </t>
  </si>
  <si>
    <t xml:space="preserve"> 18.1.22 </t>
  </si>
  <si>
    <t xml:space="preserve"> 18.1.23 </t>
  </si>
  <si>
    <t xml:space="preserve"> 91934 </t>
  </si>
  <si>
    <t>CABO DE COBRE FLEXÍVEL ISOLADO, 16 MM², ANTI-CHAMA 450/750 V, PARA CIRCUITOS TERMINAIS - FORNECIMENTO E INSTALAÇÃO. AF_03/2023</t>
  </si>
  <si>
    <t xml:space="preserve"> 18.1.24 </t>
  </si>
  <si>
    <t xml:space="preserve"> 18.1.25 </t>
  </si>
  <si>
    <t xml:space="preserve"> 18.1.26 </t>
  </si>
  <si>
    <t xml:space="preserve"> 18.1.27 </t>
  </si>
  <si>
    <t xml:space="preserve"> 061426 </t>
  </si>
  <si>
    <t>CAIXA PASSAGEM CHAPA GALVAN.16 TAMPA CEGA PARAF.60x60x13cm</t>
  </si>
  <si>
    <t xml:space="preserve"> 18.1.28 </t>
  </si>
  <si>
    <t xml:space="preserve"> 061461 </t>
  </si>
  <si>
    <t>CAIXA DE PASSAGEM CH.DE ACO C/TAMPA APARAF. 200x200x100 PISO</t>
  </si>
  <si>
    <t xml:space="preserve"> 18.1.29 </t>
  </si>
  <si>
    <t xml:space="preserve"> 061462 </t>
  </si>
  <si>
    <t>CAIXA DE PASSAGEM DE ACO C/ TAMPA APARAFUSADA 302X302X120</t>
  </si>
  <si>
    <t xml:space="preserve"> 18.1.30 </t>
  </si>
  <si>
    <t xml:space="preserve"> 91983 </t>
  </si>
  <si>
    <t>DIMMER ROTATIVO (1 MÓDULO), 220V/600W, INCLUINDO SUPORTE E PLACA - FORNECIMENTO E INSTALAÇÃO. AF_03/2023</t>
  </si>
  <si>
    <t xml:space="preserve"> 18.1.31 </t>
  </si>
  <si>
    <t xml:space="preserve"> 91963 </t>
  </si>
  <si>
    <t>INTERRUPTOR SIMPLES (1 MÓDULO) COM INTERRUPTOR PARALELO (2 MÓDULOS), 10A/250V, INCLUINDO SUPORTE E PLACA - FORNECIMENTO E INSTALAÇÃO. AF_03/2023</t>
  </si>
  <si>
    <t xml:space="preserve"> 18.1.32 </t>
  </si>
  <si>
    <t xml:space="preserve"> 91965 </t>
  </si>
  <si>
    <t>INTERRUPTOR SIMPLES (2 MÓDULOS) COM INTERRUPTOR PARALELO (1 MÓDULO), 10A/250V, INCLUINDO SUPORTE E PLACA - FORNECIMENTO E INSTALAÇÃO. AF_03/2023</t>
  </si>
  <si>
    <t xml:space="preserve"> 18.1.33 </t>
  </si>
  <si>
    <t xml:space="preserve"> 91961 </t>
  </si>
  <si>
    <t>INTERRUPTOR PARALELO (2 MÓDULOS), 10A/250V, INCLUINDO SUPORTE E PLACA - FORNECIMENTO E INSTALAÇÃO. AF_03/2023</t>
  </si>
  <si>
    <t xml:space="preserve"> 18.1.34 </t>
  </si>
  <si>
    <t xml:space="preserve"> 91979 </t>
  </si>
  <si>
    <t>INTERRUPTOR INTERMEDIÁRIO (1 MÓDULO), 10A/250V, INCLUINDO SUPORTE E PLACA - FORNECIMENTO E INSTALAÇÃO. AF_03/2023</t>
  </si>
  <si>
    <t xml:space="preserve"> 18.1.35 </t>
  </si>
  <si>
    <t xml:space="preserve"> 18.1.36 </t>
  </si>
  <si>
    <t xml:space="preserve"> 91969 </t>
  </si>
  <si>
    <t>INTERRUPTOR PARALELO (3 MÓDULOS), 10A/250V, INCLUINDO SUPORTE E PLACA - FORNECIMENTO E INSTALAÇÃO. AF_03/2023</t>
  </si>
  <si>
    <t xml:space="preserve"> 18.1.37 </t>
  </si>
  <si>
    <t xml:space="preserve"> 91957 </t>
  </si>
  <si>
    <t>INTERRUPTOR SIMPLES (1 MÓDULO) COM INTERRUPTOR PARALELO (1 MÓDULO), 10A/250V, INCLUINDO SUPORTE E PLACA - FORNECIMENTO E INSTALAÇÃO. AF_03/2023</t>
  </si>
  <si>
    <t xml:space="preserve"> 18.1.38 </t>
  </si>
  <si>
    <t xml:space="preserve"> 91953 </t>
  </si>
  <si>
    <t>INTERRUPTOR SIMPLES (1 MÓDULO), 10A/250V, INCLUINDO SUPORTE E PLACA - FORNECIMENTO E INSTALAÇÃO. AF_03/2023</t>
  </si>
  <si>
    <t xml:space="preserve"> 18.1.39 </t>
  </si>
  <si>
    <t xml:space="preserve"> 18.1.40 </t>
  </si>
  <si>
    <t xml:space="preserve"> 059208 </t>
  </si>
  <si>
    <t>PLACA COM UM FURO IMPERIA BRANCO IRIEL P/ SAIDA CABO DE SOM</t>
  </si>
  <si>
    <t xml:space="preserve"> 18.1.41 </t>
  </si>
  <si>
    <t xml:space="preserve"> 062568 </t>
  </si>
  <si>
    <t>PLACA (ESPELHO) 1 POSTO HORIZONTAL 4x2 PIAL PLUS</t>
  </si>
  <si>
    <t xml:space="preserve"> 18.1.42 </t>
  </si>
  <si>
    <t xml:space="preserve"> 91996 </t>
  </si>
  <si>
    <t>TOMADA MÉDIA DE EMBUTIR (1 MÓDULO), 2P+T 10 A, INCLUINDO SUPORTE E PLACA - FORNECIMENTO E INSTALAÇÃO. AF_03/2023</t>
  </si>
  <si>
    <t xml:space="preserve"> 18.1.43 </t>
  </si>
  <si>
    <t xml:space="preserve"> 91973 </t>
  </si>
  <si>
    <t>INTERRUPTOR SIMPLES (2 MÓDULOS) COM INTERRUPTOR PARALELO (2 MÓDULOS), 10A/250V, INCLUINDO SUPORTE E PLACA - FORNECIMENTO E INSTALAÇÃO. AF_03/2023</t>
  </si>
  <si>
    <t xml:space="preserve"> 18.1.44 </t>
  </si>
  <si>
    <t xml:space="preserve"> 18.1.45 </t>
  </si>
  <si>
    <t xml:space="preserve"> 070483 </t>
  </si>
  <si>
    <t>MICROVENTILADOR VENTOKIT MODELO NM 280</t>
  </si>
  <si>
    <t xml:space="preserve"> 18.1.46 </t>
  </si>
  <si>
    <t xml:space="preserve"> 92028 </t>
  </si>
  <si>
    <t>INTERRUPTOR PARALELO (1 MÓDULO) COM 1 TOMADA DE EMBUTIR 2P+T 10 A, SEM SUPORTE E SEM PLACA - FORNECIMENTO E INSTALAÇÃO. AF_03/2023</t>
  </si>
  <si>
    <t xml:space="preserve"> 18.1.47 </t>
  </si>
  <si>
    <t xml:space="preserve"> 18.1.48 </t>
  </si>
  <si>
    <t xml:space="preserve"> 92002 </t>
  </si>
  <si>
    <t>TOMADA MÉDIA DE EMBUTIR (2 MÓDULOS), 2P+T 10 A, SEM SUPORTE E SEM PLACA - FORNECIMENTO E INSTALAÇÃO. AF_03/2023</t>
  </si>
  <si>
    <t xml:space="preserve"> 18.1.49 </t>
  </si>
  <si>
    <t xml:space="preserve"> 92003 </t>
  </si>
  <si>
    <t>TOMADA MÉDIA DE EMBUTIR (2 MÓDULOS), 2P+T 20 A, SEM SUPORTE E SEM PLACA - FORNECIMENTO E INSTALAÇÃO. AF_03/2023</t>
  </si>
  <si>
    <t xml:space="preserve"> 18.1.50 </t>
  </si>
  <si>
    <t xml:space="preserve"> 18.1.51 </t>
  </si>
  <si>
    <t xml:space="preserve"> 91994 </t>
  </si>
  <si>
    <t>TOMADA MÉDIA DE EMBUTIR (1 MÓDULO), 2P+T 10 A, SEM SUPORTE E SEM PLACA - FORNECIMENTO E INSTALAÇÃO. AF_03/2023</t>
  </si>
  <si>
    <t xml:space="preserve"> 18.1.52 </t>
  </si>
  <si>
    <t xml:space="preserve"> 91995 </t>
  </si>
  <si>
    <t>TOMADA MÉDIA DE EMBUTIR (1 MÓDULO), 2P+T 20 A, SEM SUPORTE E SEM PLACA - FORNECIMENTO E INSTALAÇÃO. AF_03/2023</t>
  </si>
  <si>
    <t xml:space="preserve"> 18.1.53 </t>
  </si>
  <si>
    <t xml:space="preserve"> 101632 </t>
  </si>
  <si>
    <t>RELÉ FOTOELÉTRICO PARA COMANDO DE ILUMINAÇÃO EXTERNA 1000 W - FORNECIMENTO E INSTALAÇÃO. AF_08/2020</t>
  </si>
  <si>
    <t xml:space="preserve"> 18.1.54 </t>
  </si>
  <si>
    <t xml:space="preserve"> 40.11.240 </t>
  </si>
  <si>
    <t xml:space="preserve"> 18.1.55 </t>
  </si>
  <si>
    <t xml:space="preserve"> 93667 </t>
  </si>
  <si>
    <t>DISJUNTOR TRIPOLAR TIPO DIN, CORRENTE NOMINAL DE 10A - FORNECIMENTO E INSTALAÇÃO. AF_10/2020</t>
  </si>
  <si>
    <t xml:space="preserve"> 18.1.56 </t>
  </si>
  <si>
    <t xml:space="preserve"> 101895 </t>
  </si>
  <si>
    <t>DISJUNTOR TERMOMAGNÉTICO TRIPOLAR , CORRENTE NOMINAL DE 125A - FORNECIMENTO E INSTALAÇÃO. AF_10/2020</t>
  </si>
  <si>
    <t xml:space="preserve"> 18.1.57 </t>
  </si>
  <si>
    <t xml:space="preserve"> 18.1.58 </t>
  </si>
  <si>
    <t xml:space="preserve"> 18.1.59 </t>
  </si>
  <si>
    <t xml:space="preserve"> 18.1.60 </t>
  </si>
  <si>
    <t xml:space="preserve"> 93671 </t>
  </si>
  <si>
    <t>DISJUNTOR TRIPOLAR TIPO DIN, CORRENTE NOMINAL DE 32A - FORNECIMENTO E INSTALAÇÃO. AF_10/2020</t>
  </si>
  <si>
    <t xml:space="preserve"> 18.1.61 </t>
  </si>
  <si>
    <t xml:space="preserve"> 93672 </t>
  </si>
  <si>
    <t>DISJUNTOR TRIPOLAR TIPO DIN, CORRENTE NOMINAL DE 40A - FORNECIMENTO E INSTALAÇÃO. AF_10/2020</t>
  </si>
  <si>
    <t xml:space="preserve"> 18.1.62 </t>
  </si>
  <si>
    <t xml:space="preserve"> 18.1.63 </t>
  </si>
  <si>
    <t xml:space="preserve"> 101894 </t>
  </si>
  <si>
    <t>DISJUNTOR TRIPOLAR TIPO NEMA, CORRENTE NOMINAL DE 60 ATÉ 100A - FORNECIMENTO E INSTALAÇÃO. AF_10/2020</t>
  </si>
  <si>
    <t xml:space="preserve"> 18.1.64 </t>
  </si>
  <si>
    <t xml:space="preserve"> 18.1.65 </t>
  </si>
  <si>
    <t xml:space="preserve"> 18.1.66 </t>
  </si>
  <si>
    <t xml:space="preserve"> 18.1.67 </t>
  </si>
  <si>
    <t xml:space="preserve"> 18.1.68 </t>
  </si>
  <si>
    <t xml:space="preserve"> 93661 </t>
  </si>
  <si>
    <t>DISJUNTOR BIPOLAR TIPO DIN, CORRENTE NOMINAL DE 16A - FORNECIMENTO E INSTALAÇÃO. AF_10/2020</t>
  </si>
  <si>
    <t xml:space="preserve"> 18.1.69 </t>
  </si>
  <si>
    <t xml:space="preserve"> 18.1.70 </t>
  </si>
  <si>
    <t xml:space="preserve"> 18.1.71 </t>
  </si>
  <si>
    <t xml:space="preserve"> 18.1.72 </t>
  </si>
  <si>
    <t xml:space="preserve"> 18.1.73 </t>
  </si>
  <si>
    <t xml:space="preserve"> 101898 </t>
  </si>
  <si>
    <t>DISJUNTOR TERMOMAGNÉTICO TRIPOLAR , CORRENTE NOMINAL DE 400A - FORNECIMENTO E INSTALAÇÃO. AF_10/2020</t>
  </si>
  <si>
    <t xml:space="preserve"> 18.1.74 </t>
  </si>
  <si>
    <t xml:space="preserve"> 064564 </t>
  </si>
  <si>
    <t>DISPOSITIVO PROTETOR DE SURTO 220V OU 127V, 40 KA, TRIFASICO</t>
  </si>
  <si>
    <t xml:space="preserve"> 18.1.75 </t>
  </si>
  <si>
    <t xml:space="preserve"> 064563 </t>
  </si>
  <si>
    <t>DISPOSITIVO PROTETOR DE SURTO 220V OU 127V, 20 KA, TRIFASICO</t>
  </si>
  <si>
    <t xml:space="preserve"> 18.1.76 </t>
  </si>
  <si>
    <t xml:space="preserve"> 37.24.042 </t>
  </si>
  <si>
    <t xml:space="preserve"> 18.1.77 </t>
  </si>
  <si>
    <t xml:space="preserve"> 151350 </t>
  </si>
  <si>
    <t xml:space="preserve"> 18.1.78 </t>
  </si>
  <si>
    <t xml:space="preserve"> 151357 </t>
  </si>
  <si>
    <t xml:space="preserve"> 18.1.79 </t>
  </si>
  <si>
    <t xml:space="preserve"> 064816 </t>
  </si>
  <si>
    <t>DISPOSITIVO DIFERENCIAL DR ALTA SENSIB.(30mA) TETRAPOLAR 25A</t>
  </si>
  <si>
    <t xml:space="preserve"> 18.1.80 </t>
  </si>
  <si>
    <t xml:space="preserve"> 18.1.81 </t>
  </si>
  <si>
    <t xml:space="preserve"> 063612 </t>
  </si>
  <si>
    <t>SAIDA HORIZONTAL PARA ELETROCALHA 1 1/4""</t>
  </si>
  <si>
    <t xml:space="preserve"> 18.1.82 </t>
  </si>
  <si>
    <t xml:space="preserve"> 063746 </t>
  </si>
  <si>
    <t>CRUZETA HORIZONTAL PARA ELETROCALHA 100X100mm CHAPA 20</t>
  </si>
  <si>
    <t xml:space="preserve"> 18.1.83 </t>
  </si>
  <si>
    <t xml:space="preserve"> 059412 </t>
  </si>
  <si>
    <t>CURVA DE INVERSAO PARA ELETROCALHA 100X100MM CHAPA 20</t>
  </si>
  <si>
    <t xml:space="preserve"> 18.1.84 </t>
  </si>
  <si>
    <t xml:space="preserve"> 38.21.310 </t>
  </si>
  <si>
    <t xml:space="preserve"> 18.1.85 </t>
  </si>
  <si>
    <t xml:space="preserve"> 38.23.110 </t>
  </si>
  <si>
    <t xml:space="preserve"> 18.1.86 </t>
  </si>
  <si>
    <t xml:space="preserve"> 063743 </t>
  </si>
  <si>
    <t>TE VERTICAL DE SUBIDA PARA ELETROCALHA 100x100 CHAPA 20</t>
  </si>
  <si>
    <t xml:space="preserve"> 18.1.87 </t>
  </si>
  <si>
    <t xml:space="preserve"> 063617 </t>
  </si>
  <si>
    <t>EMENDA PARA ELETROCALHA TIPO U 100X100</t>
  </si>
  <si>
    <t xml:space="preserve"> 18.1.88 </t>
  </si>
  <si>
    <t xml:space="preserve"> 91837 </t>
  </si>
  <si>
    <t>ELETRODUTO FLEXÍVEL CORRUGADO REFORÇADO, PVC, DN 32 MM (1"), PARA CIRCUITOS TERMINAIS, INSTALADO EM FORRO - FORNECIMENTO E INSTALAÇÃO. AF_03/2023</t>
  </si>
  <si>
    <t xml:space="preserve"> 18.1.89 </t>
  </si>
  <si>
    <t xml:space="preserve"> 91835 </t>
  </si>
  <si>
    <t>ELETRODUTO FLEXÍVEL CORRUGADO REFORÇADO, PVC, DN 25 MM (3/4"), PARA CIRCUITOS TERMINAIS, INSTALADO EM FORRO - FORNECIMENTO E INSTALAÇÃO. AF_03/2023</t>
  </si>
  <si>
    <t xml:space="preserve"> 18.1.90 </t>
  </si>
  <si>
    <t xml:space="preserve"> 93008 </t>
  </si>
  <si>
    <t>ELETRODUTO RÍGIDO ROSCÁVEL, PVC, DN 50 MM (1 1/2"), PARA REDE ENTERRADA DE DISTRIBUIÇÃO DE ENERGIA ELÉTRICA - FORNECIMENTO E INSTALAÇÃO. AF_12/2021</t>
  </si>
  <si>
    <t xml:space="preserve"> 18.1.91 </t>
  </si>
  <si>
    <t xml:space="preserve"> 91865 </t>
  </si>
  <si>
    <t>ELETRODUTO RÍGIDO ROSCÁVEL, PVC, DN 40 MM (1 1/4"), PARA CIRCUITOS TERMINAIS, INSTALADO EM FORRO - FORNECIMENTO E INSTALAÇÃO. AF_03/2023</t>
  </si>
  <si>
    <t xml:space="preserve"> 18.1.92 </t>
  </si>
  <si>
    <t xml:space="preserve"> 93009 </t>
  </si>
  <si>
    <t>ELETRODUTO RÍGIDO ROSCÁVEL, PVC, DN 60 MM (2"), PARA REDE ENTERRADA DE DISTRIBUIÇÃO DE ENERGIA ELÉTRICA - FORNECIMENTO E INSTALAÇÃO. AF_12/2021</t>
  </si>
  <si>
    <t xml:space="preserve"> 18.1.93 </t>
  </si>
  <si>
    <t xml:space="preserve"> 93011 </t>
  </si>
  <si>
    <t>ELETRODUTO RÍGIDO ROSCÁVEL, PVC, DN 85 MM (3"), PARA REDE ENTERRADA DE DISTRIBUIÇÃO DE ENERGIA ELÉTRICA - FORNECIMENTO E INSTALAÇÃO. AF_12/2021</t>
  </si>
  <si>
    <t xml:space="preserve"> 18.1.94 </t>
  </si>
  <si>
    <t xml:space="preserve"> 93012 </t>
  </si>
  <si>
    <t>ELETRODUTO RÍGIDO ROSCÁVEL, PVC, DN 110 MM (4"), PARA REDE ENTERRADA DE DISTRIBUIÇÃO DE ENERGIA ELÉTRICA - FORNECIMENTO E INSTALAÇÃO. AF_12/2021</t>
  </si>
  <si>
    <t xml:space="preserve"> 18.1.95 </t>
  </si>
  <si>
    <t xml:space="preserve"> 18.1.96 </t>
  </si>
  <si>
    <t xml:space="preserve"> 38.04.080 </t>
  </si>
  <si>
    <t xml:space="preserve"> 18.1.97 </t>
  </si>
  <si>
    <t xml:space="preserve"> 8662 </t>
  </si>
  <si>
    <t>Soquete ou bocal de porcelana E27 de tempo, ref.MT-2233, marca Decorlux ou similar</t>
  </si>
  <si>
    <t xml:space="preserve"> 18.1.98 </t>
  </si>
  <si>
    <t xml:space="preserve"> 101538 </t>
  </si>
  <si>
    <t>ARMAÇÃO SECUNDÁRIA, COM 1 ESTRIBO E 1 ISOLADOR - FORNECIMENTO E INSTALAÇÃO. AF_07/2020</t>
  </si>
  <si>
    <t xml:space="preserve"> 18.1.99 </t>
  </si>
  <si>
    <t xml:space="preserve"> 97361 </t>
  </si>
  <si>
    <t>QUADRO DE MEDIÇÃO GERAL DE ENERGIA COM 16 MEDIDORES - FORNECIMENTO E INSTALAÇÃO. AF_10/2020</t>
  </si>
  <si>
    <t xml:space="preserve"> 18.1.100 </t>
  </si>
  <si>
    <t xml:space="preserve"> 101883 </t>
  </si>
  <si>
    <t>QUADRO DE DISTRIBUIÇÃO DE ENERGIA EM CHAPA DE AÇO GALVANIZADO, DE EMBUTIR, COM BARRAMENTO TRIFÁSICO, PARA 18 DISJUNTORES DIN 100A - FORNECIMENTO E INSTALAÇÃO. AF_10/2020</t>
  </si>
  <si>
    <t xml:space="preserve"> 18.1.101 </t>
  </si>
  <si>
    <t xml:space="preserve"> 12225 </t>
  </si>
  <si>
    <t>Quadro de distribuição de embutir, em chapa de aço, para até 18 disjuntores, com barramento, padrão DIN, exclusive disjuntores</t>
  </si>
  <si>
    <t xml:space="preserve"> 18.1.102 </t>
  </si>
  <si>
    <t xml:space="preserve"> 101881 </t>
  </si>
  <si>
    <t>QUADRO DE DISTRIBUIÇÃO DE ENERGIA EM CHAPA DE AÇO GALVANIZADO, DE EMBUTIR, COM BARRAMENTO TRIFÁSICO, PARA 40 DISJUNTORES DIN 100A - FORNECIMENTO E INSTALAÇÃO. AF_10/2020</t>
  </si>
  <si>
    <t xml:space="preserve"> 18.1.103 </t>
  </si>
  <si>
    <t xml:space="preserve"> 101880 </t>
  </si>
  <si>
    <t>QUADRO DE DISTRIBUIÇÃO DE ENERGIA EM CHAPA DE AÇO GALVANIZADO, DE EMBUTIR, COM BARRAMENTO TRIFÁSICO, PARA 30 DISJUNTORES DIN 150A - FORNECIMENTO E INSTALAÇÃO. AF_10/2020</t>
  </si>
  <si>
    <t xml:space="preserve"> 18.1.104 </t>
  </si>
  <si>
    <t xml:space="preserve"> 064203 </t>
  </si>
  <si>
    <t>QUADRO DISTRIBUICAO DE EMBUTIR+BARRAMENTO 44 DISJUNTORES</t>
  </si>
  <si>
    <t xml:space="preserve"> 18.1.105 </t>
  </si>
  <si>
    <t xml:space="preserve"> 101801 </t>
  </si>
  <si>
    <t>CAIXA COM GRELHA RETANGULAR DE FERRO FUNDIDO, EM ALVENARIA COM BLOCOS DE CONCRETO, DIMENSÕES INTERNAS: 0,30 X 1,00 X 1,00. AF_12/2020</t>
  </si>
  <si>
    <t xml:space="preserve"> 18.2.1 </t>
  </si>
  <si>
    <t xml:space="preserve"> 41.31.040 </t>
  </si>
  <si>
    <t xml:space="preserve"> 18.2.2 </t>
  </si>
  <si>
    <t xml:space="preserve"> 060509 </t>
  </si>
  <si>
    <t>LAMPADA BULBO LED A125 100W 6500K 48LHP85FK000 ELGIN</t>
  </si>
  <si>
    <t xml:space="preserve"> 18.2.3 </t>
  </si>
  <si>
    <t xml:space="preserve"> 18.2.4 </t>
  </si>
  <si>
    <t xml:space="preserve"> 41.31.087 </t>
  </si>
  <si>
    <t xml:space="preserve"> 18.2.5 </t>
  </si>
  <si>
    <t xml:space="preserve"> 18.2.6 </t>
  </si>
  <si>
    <t xml:space="preserve"> 18.2.7 </t>
  </si>
  <si>
    <t xml:space="preserve"> 50.05.312 </t>
  </si>
  <si>
    <t xml:space="preserve"> 18.2.8 </t>
  </si>
  <si>
    <t xml:space="preserve"> 41.11.090 </t>
  </si>
  <si>
    <t>SPDA</t>
  </si>
  <si>
    <t xml:space="preserve"> 18.3.1 </t>
  </si>
  <si>
    <t>Caixa de equipotencialização em aço 200x200x90mm, para embutir com tampa, com 9 terminais, ref:TEL-901 ou similar (SPDA)</t>
  </si>
  <si>
    <t xml:space="preserve"> 18.3.2 </t>
  </si>
  <si>
    <t xml:space="preserve"> 18.3.3 </t>
  </si>
  <si>
    <t xml:space="preserve"> 98111 </t>
  </si>
  <si>
    <t>CAIXA DE INSPEÇÃO PARA ATERRAMENTO, CIRCULAR, EM POLIETILENO, DIÂMETRO INTERNO = 0,3 M. AF_12/2020</t>
  </si>
  <si>
    <t xml:space="preserve"> 18.3.4 </t>
  </si>
  <si>
    <t xml:space="preserve"> 18.3.5 </t>
  </si>
  <si>
    <t xml:space="preserve"> 18.3.6 </t>
  </si>
  <si>
    <t xml:space="preserve"> 96988 </t>
  </si>
  <si>
    <t>MASTRO 1 ½", COM 3 METROS, PARA SPDA - FORNECIMENTO E INSTALAÇÃO. AF_08/2023</t>
  </si>
  <si>
    <t xml:space="preserve"> 18.3.7 </t>
  </si>
  <si>
    <t xml:space="preserve"> 104746 </t>
  </si>
  <si>
    <t>MINI CAPTOR PARA SPDA - FORNECIMENTO E INSTALAÇÃO. AF_08/2023</t>
  </si>
  <si>
    <t xml:space="preserve"> 18.3.8 </t>
  </si>
  <si>
    <t xml:space="preserve"> 96987 </t>
  </si>
  <si>
    <t>BASE METÁLICA PARA MASTRO 1 ½"  PARA SPDA - FORNECIMENTO E INSTALAÇÃO. AF_08/2023</t>
  </si>
  <si>
    <t xml:space="preserve"> 18.3.9 </t>
  </si>
  <si>
    <t xml:space="preserve"> 101663 </t>
  </si>
  <si>
    <t>ABRAÇADEIRA DE FIXAÇÃO DE BRAÇOS DE LUMINÁRIAS DE 2" - FORNECIMENTO E INSTALAÇÃO. AF_08/2020</t>
  </si>
  <si>
    <t xml:space="preserve"> 18.3.10 </t>
  </si>
  <si>
    <t xml:space="preserve"> 18.3.11 </t>
  </si>
  <si>
    <t xml:space="preserve"> 18.3.12 </t>
  </si>
  <si>
    <t xml:space="preserve"> 96984 </t>
  </si>
  <si>
    <t>ELETRODUTO PVC RÍGIDO, DIÂMETRO 40MM, COM 3 METROS, PARA SPDA - FORNECIMENTO E INSTALAÇÃO. AF_08/2023</t>
  </si>
  <si>
    <t xml:space="preserve"> 18.3.13 </t>
  </si>
  <si>
    <t xml:space="preserve"> 101548 </t>
  </si>
  <si>
    <t>ISOLADOR, TIPO ROLDANA, PARA BAIXA TENSÃO - FORNECIMENTO E INSTALAÇÃO. AF_07/2020</t>
  </si>
  <si>
    <t xml:space="preserve"> 070199 </t>
  </si>
  <si>
    <t>COLARINHO PARA DUTO FLEXIVEL COM REGISTO 6""(150MM)</t>
  </si>
  <si>
    <t xml:space="preserve"> 070198 </t>
  </si>
  <si>
    <t>COLARINHO PARA DUTO FLEXIVEL COM REGISTO 5"" (125MM)</t>
  </si>
  <si>
    <t xml:space="preserve"> 070339 </t>
  </si>
  <si>
    <t>COLARINHO PARA DUTO FLEXIVEL COM REGISTO 12"" (300MM)</t>
  </si>
  <si>
    <t xml:space="preserve"> 070493 </t>
  </si>
  <si>
    <t>COLARINHO EM CHAPA ACO GALV, C/REGISTRO BORBOLETA 250MM 10""</t>
  </si>
  <si>
    <t xml:space="preserve"> 070492 </t>
  </si>
  <si>
    <t>COLARINHO EM CHAPA ACO GALV, C/REGISTRO BORBOLETA 200MM 8""</t>
  </si>
  <si>
    <t xml:space="preserve"> 073423 </t>
  </si>
  <si>
    <t>DAMPER LAMINAS OPOSTAS PARA REGULAGEM DE VAZAO 200X200mm</t>
  </si>
  <si>
    <t xml:space="preserve"> 073422 </t>
  </si>
  <si>
    <t>DAMPER LAMINAS OPOSTAS P/ REGULAGEM DE VAZAO 350X250mm</t>
  </si>
  <si>
    <t xml:space="preserve"> 070373 </t>
  </si>
  <si>
    <t>DAMPER - ATUADOR ELETRICO LMX120-3 - BELIMO 500x300mm</t>
  </si>
  <si>
    <t xml:space="preserve"> 070359 </t>
  </si>
  <si>
    <t>DAMPER - ATUADOR ELETRICO NMB24-3 BELIMO - 400x300mm</t>
  </si>
  <si>
    <t xml:space="preserve"> 070230 </t>
  </si>
  <si>
    <t>DUMPER DE LAMINAS OPOSTAS PARA REGULAGEM DE VAZAO 650X400mm</t>
  </si>
  <si>
    <t xml:space="preserve"> 15.005.0253-0 </t>
  </si>
  <si>
    <t>DUTO PARA CONDICIONAMENTO DE AR,CHAVETADO EM CHAPA DE ACO GALVANIZADO,NAS DIVERSAS BITOLAS,CONFORME ABNT NBR 16401,ISOLADO COM MANTA DE LA DE VIDRO,REVESTIDA COM FOLHA DE ALUMINIO,INCLUINDO CINTAS,FITAS,SUPORTES PINTADOS,DIFUSORES E GRELHASEM ALUMINIO EXTRUDADO E DEMAIS ITENS NECESSARIOS.FORNECIMENTO E COLOCACAO</t>
  </si>
  <si>
    <t xml:space="preserve"> 15.005.0280-0 </t>
  </si>
  <si>
    <t>DUTO PARA EXAUSTAO DE AR/VENTILACAO,CHAVETADO EM CHAPA DE ACO GALVANIZADO,NAS DIVERSAS BITOLAS,CONFORME ABNT NBR 16401,INCLUSIVE SUPORTES PINTADOS,GRELHAS,DIFUSORES EM ALUMINIO EXTRUDADO E DEMAIS ITENS NECESSARIOS.FORNECIMENTO E COLOCACAO</t>
  </si>
  <si>
    <t xml:space="preserve"> 070665 </t>
  </si>
  <si>
    <t>DUTO FLEXIVEL DE ALUMINIO C/ ISOLAM. TERM.LA VIDRO 150MM 6""</t>
  </si>
  <si>
    <t xml:space="preserve"> 070662 </t>
  </si>
  <si>
    <t>DUTO FLEXIVEL DE ALUMINIO C/ ISOLAM. TERM.LA VIDRO 125MM 5""</t>
  </si>
  <si>
    <t xml:space="preserve"> 070669 </t>
  </si>
  <si>
    <t>DUTO FLEXIVEL DE ALUMINIO C/ ISOLAM. TERM.LA VIDRO 300MM 12""</t>
  </si>
  <si>
    <t xml:space="preserve"> 070668 </t>
  </si>
  <si>
    <t>DUTO FLEXIVEL DE ALUMINIO C/ ISOLAM. TERM.LA VIDRO 250MM 10""</t>
  </si>
  <si>
    <t xml:space="preserve"> 070667 </t>
  </si>
  <si>
    <t>DUTO FLEXIVEL DE ALUMINIO C/ ISOLAM. TERM.LA VIDRO 200MM 8""</t>
  </si>
  <si>
    <t xml:space="preserve"> 46.21.080 </t>
  </si>
  <si>
    <t xml:space="preserve"> 46.21.060 </t>
  </si>
  <si>
    <t xml:space="preserve"> 92655 </t>
  </si>
  <si>
    <t>TUBO DE AÇO GALVANIZADO COM COSTURA, CLASSE MÉDIA, CONEXÃO ROSQUEADA, DN 65 (2 1/2"), INSTALADO EM REDE DE ALIMENTAÇÃO PARA SPRINKLER - FORNECIMENTO E INSTALAÇÃO. AF_10/2020</t>
  </si>
  <si>
    <t xml:space="preserve"> 92654 </t>
  </si>
  <si>
    <t>TUBO DE AÇO GALVANIZADO COM COSTURA, CLASSE MÉDIA, CONEXÃO ROSQUEADA, DN 50 (2"), INSTALADO EM REDE DE ALIMENTAÇÃO PARA SPRINKLER - FORNECIMENTO E INSTALAÇÃO. AF_10/2020</t>
  </si>
  <si>
    <t xml:space="preserve"> 92653 </t>
  </si>
  <si>
    <t>TUBO DE AÇO GALVANIZADO COM COSTURA, CLASSE MÉDIA, CONEXÃO ROSQUEADA, DN 40 (1 1/2"), INSTALADO EM REDE DE ALIMENTAÇÃO PARA SPRINKLER - FORNECIMENTO E INSTALAÇÃO. AF_10/2020</t>
  </si>
  <si>
    <t xml:space="preserve"> 92652 </t>
  </si>
  <si>
    <t>TUBO DE AÇO GALVANIZADO COM COSTURA, CLASSE MÉDIA, CONEXÃO ROSQUEADA, DN 32 (1 1/4"), INSTALADO EM REDE DE ALIMENTAÇÃO PARA SPRINKLER - FORNECIMENTO E INSTALAÇÃO. AF_10/2020</t>
  </si>
  <si>
    <t xml:space="preserve"> 97535 </t>
  </si>
  <si>
    <t>TUBO DE AÇO GALVANIZADO COM COSTURA, CLASSE MÉDIA, CONEXÃO ROSQUEADA, DN 25 (1"), INSTALADO EM REDE DE ALIMENTAÇÃO PARA SPRINKLER - FORNECIMENTO E INSTALAÇÃO. AF_10/2020</t>
  </si>
  <si>
    <t xml:space="preserve"> 92688 </t>
  </si>
  <si>
    <t>TUBO DE AÇO GALVANIZADO COM COSTURA, CLASSE MÉDIA, CONEXÃO ROSQUEADA, DN 20 (3/4"), INSTALADO EM RAMAIS E SUB-RAMAIS DE GÁS - FORNECIMENTO E INSTALAÇÃO. AF_10/2020</t>
  </si>
  <si>
    <t xml:space="preserve"> 11395 </t>
  </si>
  <si>
    <t>Fornecimento  e instalação de tubo de borracha elastomérica Armaflex M-60  ø 2"</t>
  </si>
  <si>
    <t xml:space="preserve"> 11394 </t>
  </si>
  <si>
    <t>Fornecimento  e instalação de tubo de borracha elastomérica Armaflex M-48  ø 1 1/2"</t>
  </si>
  <si>
    <t xml:space="preserve"> 11393 </t>
  </si>
  <si>
    <t>Fornecimento  e instalação de tubo de borracha elastomérica Armaflex M-42  ø 1 1/4"</t>
  </si>
  <si>
    <t xml:space="preserve"> 11392 </t>
  </si>
  <si>
    <t>Fornecimento  e instalação de tubo de borracha elastomérica Armaflex M-35  ø 1"</t>
  </si>
  <si>
    <t xml:space="preserve"> 11391 </t>
  </si>
  <si>
    <t>Fornecimento  e instalação de tubo de borracha elastomérica Armaflex M-28  ø3/4"</t>
  </si>
  <si>
    <t xml:space="preserve"> 070144 </t>
  </si>
  <si>
    <t>VALVULA 2 VIAS 2"" CV46+ATEN ON/OFF FLOATING BELIMO B249+ARB</t>
  </si>
  <si>
    <t xml:space="preserve"> 070082 </t>
  </si>
  <si>
    <t>VALVULA 3 VIAS 1.1/2""</t>
  </si>
  <si>
    <t xml:space="preserve"> 070128 </t>
  </si>
  <si>
    <t>VALVULA 2 VIAS 1.1/4"" CV 19+ATENUADOR PROPORCIONAL BELIMO</t>
  </si>
  <si>
    <t xml:space="preserve"> 070147 </t>
  </si>
  <si>
    <t>VALVULA DE CONTROLE TIPO CARTUCHO 2 VIAS DE 1"" COM ATUADOR</t>
  </si>
  <si>
    <t xml:space="preserve"> 070356 </t>
  </si>
  <si>
    <t>VALVULA ESFERA ROSCA BRONZE 2""</t>
  </si>
  <si>
    <t xml:space="preserve"> 070450 </t>
  </si>
  <si>
    <t>VALVULA ESFERA ROSCA BRONZE 1""</t>
  </si>
  <si>
    <t xml:space="preserve"> 070607 </t>
  </si>
  <si>
    <t>VALVULA ESFERA BORBOLETA BRONZE 3/4""</t>
  </si>
  <si>
    <t xml:space="preserve"> 47.20.330 </t>
  </si>
  <si>
    <t xml:space="preserve"> 070970 </t>
  </si>
  <si>
    <t>TERMOMETRO CAPELA INCOTERM 5270</t>
  </si>
  <si>
    <t xml:space="preserve"> 190891 </t>
  </si>
  <si>
    <t>SIFAO TIPO TROMBETA DE LATAO 1/2""</t>
  </si>
  <si>
    <t xml:space="preserve"> 90460 </t>
  </si>
  <si>
    <t>SUPORTE PARA 2 TUBOS HORIZONTAIS, ESPAÇADO A CADA 56 CM, EM PERFILADO COM COMPRIMENTO DE 25 CM FIXADO EM LAJE, POR METRO DE TUBULAÇÃO FIXADA. AF_09/2023</t>
  </si>
  <si>
    <t xml:space="preserve"> 32.11.150 </t>
  </si>
  <si>
    <t xml:space="preserve"> 69.20.340 </t>
  </si>
  <si>
    <t xml:space="preserve"> 21.2 </t>
  </si>
  <si>
    <t xml:space="preserve"> 103836 </t>
  </si>
  <si>
    <t>TUBO EM COBRE RÍGIDO, DN 22 MM, CLASSE A, SEM ISOLAMENTO, INSTALADO EM RAMAL E SUB-RAMAL DE GÁS MEDICINAL - FORNECIMENTO E INSTALAÇÃO. AF_04/2022</t>
  </si>
  <si>
    <t xml:space="preserve"> 21.3 </t>
  </si>
  <si>
    <t xml:space="preserve"> 21.4 </t>
  </si>
  <si>
    <t xml:space="preserve"> 103866 </t>
  </si>
  <si>
    <t>TÊ EM COBRE, DN 22 MM, SEM ANEL DE SOLDA, INSTALADO EM RAMAL E SUB-RAMAL DE GÁS MEDICINAL - FORNECIMENTO E INSTALAÇÃO. AF_04/2022</t>
  </si>
  <si>
    <t xml:space="preserve"> 21.5 </t>
  </si>
  <si>
    <t xml:space="preserve"> 103856 </t>
  </si>
  <si>
    <t>BUCHA DE REDUÇÃO EM COBRE, DN 22 MM X 15 MM, SEM ANEL DE SOLDA, PONTA X BOLSA, INSTALADO EM RAMAL E SUB-RAMAL DE GÁS MEDICINAL - FORNECIMENTO E INSTALAÇÃO. AF_04/2022</t>
  </si>
  <si>
    <t xml:space="preserve"> 21.6 </t>
  </si>
  <si>
    <t xml:space="preserve"> 21.7 </t>
  </si>
  <si>
    <t xml:space="preserve"> 103852 </t>
  </si>
  <si>
    <t>LUVA EM COBRE, DN 22 MM, SEM ANEL DE SOLDA, INSTALADO EM RAMAL E SUB-RAMAL DE GÁS MEDICINAL - FORNECIMENTO E INSTALAÇÃO. AF_04/2022</t>
  </si>
  <si>
    <t xml:space="preserve"> 21.8 </t>
  </si>
  <si>
    <t xml:space="preserve"> 21.9 </t>
  </si>
  <si>
    <t xml:space="preserve"> 103841 </t>
  </si>
  <si>
    <t>COTOVELO EM COBRE, DN 22 MM, 90 GRAUS, SEM ANEL DE SOLDA, INSTALADO EM RAMAL E SUB-RAMAL DE GÁS MEDICINAL - FORNECIMENTO E INSTALAÇÃO. AF_04/2022</t>
  </si>
  <si>
    <t xml:space="preserve"> 21.10 </t>
  </si>
  <si>
    <t xml:space="preserve"> 103851 </t>
  </si>
  <si>
    <t>CONECTOR EM BRONZE/LATÃO, DN 15 MM X 1/2, SEM ANEL DE SOLDA, BOLSA X ROSCA F, INSTALADO EM RAMAL E SUB-RAMAL DE GÁS MEDICINAL - FORNECIMENTO E INSTALAÇÃO. AF_04/2022</t>
  </si>
  <si>
    <t xml:space="preserve"> 21.11 </t>
  </si>
  <si>
    <t xml:space="preserve"> 21.12 </t>
  </si>
  <si>
    <t xml:space="preserve"> 21.13 </t>
  </si>
  <si>
    <t xml:space="preserve"> 21.14 </t>
  </si>
  <si>
    <t xml:space="preserve"> 18.050.0100-0 </t>
  </si>
  <si>
    <t>PAINEL DE ALARME MEDICINAL AR COMPRIMIDO,OXIDO NITROSO,DIOXIDO DE CARBONO,OXIGENIO E VACUO.FORNECIMENTO E ASSENTAMENTO.(PARA INSTALACAO VIDE FAMILIA 15.014)</t>
  </si>
  <si>
    <t xml:space="preserve"> 21.15 </t>
  </si>
  <si>
    <t xml:space="preserve"> 97330 </t>
  </si>
  <si>
    <t>TUBO EM COBRE FLEXÍVEL, DN 5/8", COM ISOLAMENTO, INSTALADO EM RAMAL DE ALIMENTAÇÃO DE AR CONDICIONADO COM CONDENSADORA INDIVIDUAL  FORNECIMENTO E INSTALAÇÃO. AF_12/2015</t>
  </si>
  <si>
    <t xml:space="preserve"> 21.16 </t>
  </si>
  <si>
    <t xml:space="preserve"> 12313 </t>
  </si>
  <si>
    <t>Corrente galvanizada</t>
  </si>
  <si>
    <t xml:space="preserve"> 21.17 </t>
  </si>
  <si>
    <t xml:space="preserve"> 100862 </t>
  </si>
  <si>
    <t>SUPORTE MÃO FRANCESA EM ACO, ABAS IGUAIS 40 CM, CAPACIDADE MINIMA 70 KG, BRANCO - FORNECIMENTO E INSTALAÇÃO. AF_01/2020</t>
  </si>
  <si>
    <t xml:space="preserve"> 21.18 </t>
  </si>
  <si>
    <t xml:space="preserve"> 91179 </t>
  </si>
  <si>
    <t>FIXAÇÃO DE TUBOS HORIZONTAIS DE PVC ÁGUA/PVC ESGOTO/PVC PLUVIAL/CPVC/PPR/COBRE OU AÇO, DIÂMETROS MENORES OU IGUAIS A 40 MM, COM ABRAÇADEIRA METÁLICA RÍGIDA TIPO  D  COM PARAFUSO DE FIXAÇÃO 1 1/4", FIXADA DIRETAMENTE NA LAJE OU PAREDE. AF_09/2023</t>
  </si>
  <si>
    <t>URBANIZAÇÃO</t>
  </si>
  <si>
    <t xml:space="preserve"> 22.1.1 </t>
  </si>
  <si>
    <t xml:space="preserve"> 104658 </t>
  </si>
  <si>
    <t>PISO PODOTÁTIL DE ALERTA OU DIRECIONAL, DE CONCRETO, ASSENTADO SOBRE ARGAMASSA. AF_05/2023</t>
  </si>
  <si>
    <t xml:space="preserve"> 22.2.1 </t>
  </si>
  <si>
    <t>SINALIZAÇÃO</t>
  </si>
  <si>
    <t xml:space="preserve"> 22.3.1 </t>
  </si>
  <si>
    <t>SERVIÇOS COMPLEMENTARES</t>
  </si>
  <si>
    <t>Porcent.</t>
  </si>
  <si>
    <t xml:space="preserve"> 00011145 </t>
  </si>
  <si>
    <t>CONCRETO USINADO BOMBEAVEL, CLASSE DE RESISTENCIA C35, BRITA 0 E 1, SLUMP = 100 +/- 20 MM, COM BOMBEAMENTO (DISPONIBILIZACAO DE BOMBA), SEM O LANCAMENTO (NBR 8953)</t>
  </si>
  <si>
    <t xml:space="preserve"> C.06.000.022012 </t>
  </si>
  <si>
    <t xml:space="preserve"> C.06.000.022011 </t>
  </si>
  <si>
    <t xml:space="preserve"> C.06.000.022013 </t>
  </si>
  <si>
    <t xml:space="preserve"> C.06.000.022014 </t>
  </si>
  <si>
    <t xml:space="preserve"> 11949 </t>
  </si>
  <si>
    <t>Laje pré-fabricada treliçada para piso ou cobertura, bidirecional, h=30cm, el. enchimento em bloco EPS, h=25cm, inclusive ferragem adicional da treliça</t>
  </si>
  <si>
    <t xml:space="preserve"> 00039417 </t>
  </si>
  <si>
    <t>PLACA / CHAPA DE GESSO ACARTONADO, RESISTENTE A UMIDADE (RU), COR VERDE, E = 12,5 MM, 1200 X 2400 MM (L X C)</t>
  </si>
  <si>
    <t xml:space="preserve"> 96373 </t>
  </si>
  <si>
    <t>INSTALAÇÃO DE REFORÇO METÁLICO EM PAREDE DRYWALL. AF_07/2023</t>
  </si>
  <si>
    <t xml:space="preserve"> 00039420 </t>
  </si>
  <si>
    <t>PERFIL GUIA, FORMATO U, EM ACO ZINCADO, PARA ESTRUTURA PAREDE DRYWALL, E = 0,5 MM, 90 X 3000 MM (L X C)</t>
  </si>
  <si>
    <t xml:space="preserve"> 00039423 </t>
  </si>
  <si>
    <t>PERFIL MONTANTE, FORMATO C, EM ACO ZINCADO, PARA ESTRUTURA PAREDE DRYWALL, E = 0,5 MM, 90 X 3000 MM (L X C)</t>
  </si>
  <si>
    <t xml:space="preserve"> 1808 </t>
  </si>
  <si>
    <t>Porta em madeira compensada canela, lisa, semi-oca -  90 x (180 a 210) x 3,5cm</t>
  </si>
  <si>
    <t xml:space="preserve"> 1993 </t>
  </si>
  <si>
    <t>Roldana para porta correr (superior)</t>
  </si>
  <si>
    <t xml:space="preserve"> 2277 </t>
  </si>
  <si>
    <t>Perfil Alumínio, U, usado como trilho superior em porta de correr</t>
  </si>
  <si>
    <t xml:space="preserve"> 2869 </t>
  </si>
  <si>
    <t>Espuma de poliuretano expansiva - 500ml (470g), Sika Boom ou similar</t>
  </si>
  <si>
    <t>l</t>
  </si>
  <si>
    <t xml:space="preserve"> 13419 </t>
  </si>
  <si>
    <t>Fechadura tipo bico de papagaio, para porta de correr, inclusive concha em latão, da IMAB, ref.: FA1352I310S00 ou similar)</t>
  </si>
  <si>
    <t xml:space="preserve"> 00011581 </t>
  </si>
  <si>
    <t>TRILHO PANTOGRAFICO CONCAVO, TIPO U, EM ALUMINIO, COM DIMENSOES DE APROX *35 X 35* MM, PARA ROLDANA DE PORTA DE CORRER</t>
  </si>
  <si>
    <t xml:space="preserve"> 1805 </t>
  </si>
  <si>
    <t>Porta em madeira compensada canela, lisa, semi-oca -  60 x (160 a 210) x 3,5cm</t>
  </si>
  <si>
    <t xml:space="preserve"> 004171 </t>
  </si>
  <si>
    <t>PORTA CAMARAO 0,72x2,10m ARTICULADA FRISADA VIDRINHO COMPLETA</t>
  </si>
  <si>
    <t xml:space="preserve"> 000386 </t>
  </si>
  <si>
    <t>SOLUCAO LIMPADORA PARA PVC EMBALAGEM 200cc</t>
  </si>
  <si>
    <t xml:space="preserve"> 003389 </t>
  </si>
  <si>
    <t>ADESIVO PARA PVC bisnaga de 75 gramas</t>
  </si>
  <si>
    <t xml:space="preserve"> 00021059 </t>
  </si>
  <si>
    <t>RALO FOFO COM REQUADRO, QUADRADO 150 X 150 MM</t>
  </si>
  <si>
    <t xml:space="preserve"> 00000306 </t>
  </si>
  <si>
    <t>ANEL BORRACHA, PARA TUBO PVC, REDE COLETOR ESGOTO, DN 200 MM (NBR 7362)</t>
  </si>
  <si>
    <t xml:space="preserve"> 6457 </t>
  </si>
  <si>
    <t>Curva 45º Vinilfort para coletor Esgotos, Junta Elástica Integrada, DN 200mm</t>
  </si>
  <si>
    <t xml:space="preserve"> 00042695 </t>
  </si>
  <si>
    <t>CURVA PVC, BB, JE, 90 GRAUS, DN 200 MM, PARA TUBO CORRUGADO E/OU LISO, REDE COLETORA ESGOTO</t>
  </si>
  <si>
    <t xml:space="preserve"> 00000307 </t>
  </si>
  <si>
    <t>ANEL BORRACHA, PARA TUBO PVC, REDE COLETOR ESGOTO, DN 250 MM (NBR 7362)</t>
  </si>
  <si>
    <t xml:space="preserve"> 00042694 </t>
  </si>
  <si>
    <t>CURVA PVC, BB, JE, 90 GRAUS, DN 250 MM, PARA TUBO CORRUGADO E/OU LISO, REDE COLETORA ESGOTO</t>
  </si>
  <si>
    <t>SINAPI (11/2023) - CPOS/CDHU (11/2023) - SBC (11/2023) - ORSE (11/2023) - SEINFRA (028) - IOPES (11/2023) - CAERN (11/2023) - EMOP (11/2023)</t>
  </si>
  <si>
    <t>Substituição do insumo de chapa de gesso ST 00039413 SINAPI pelo insumo de chapa resistente à umidade 00039417 SINAPI</t>
  </si>
  <si>
    <t>Acréscimo do reforço metálico 96373 SINAPI na composição original SINAPI 96367, substituição da guia de 70mm para 90mm, substituição dos insumos 00039419 SINAPI e 00039422 SINAPI pelos insumos 00039420 SINAP e 00039423 SINAPI, respectivamente, para adequação da espessura solicitada</t>
  </si>
  <si>
    <t>Substituição do insumo da porta de 0,90x2,10m pela porta de 1,20x2,10m e adaptação dos coeficientes para a porta em questão (1,20x2,10). Utilizada composição do ORSE visto que o SINAPI não possui composição adequada referente a esse serviço. Os preços praticados para esse serviço no estado de Sergipe são referenciais e exequíveis para o orçamento em São Paulo. Os insumos da composição ORSE que são SINAPI estão atualizados para o estado de São Paulo, portanto, somente insumos do ORSE que mantem preço na região de Sergipe.</t>
  </si>
  <si>
    <t>Utilizada composição do ORSE visto que o SINAPI não possui composição adequada referente a esse serviço. Os preços praticados para esse serviço no estado de Sergipe são referenciais e exequíveis para o orçamento em São Paulo. Os insumos da composição ORSE que são SINAPI estão atualizados para o estado de São Paulo, portanto, somente insumos do ORSE que mantem preço na região de Sergipe.</t>
  </si>
  <si>
    <t>Utilizada composição SINAPI de referência na qual foi descontinuada em 2020 e atualizados os insumos para o SINAPI da data base do orçamento, sendo eles, 00020079 para 00020078 com conversão de coeficiente proporcional ao consumo da embalagem e 00042692 por 00042695.</t>
  </si>
  <si>
    <t>Utilizada composição SINAPI de referência na qual foi descontinuada em 2020 e atualizados os insumos para o SINAPI da data base do orçamento, sendo eles, 00020079 para 00020078 com conversão de coeficiente proporcional ao consumo da embalagem, 00042692 por 00042694 e 00000306 por 00000307.</t>
  </si>
  <si>
    <t>Utilizada composição SINAPI de referência na qual foi descontinuada em 2020 e atualizados os insumos para o SINAPI da data base do orçamento, sendo eles, 00020079 para 00020078 com conversão de coeficiente proporcional ao consumo da embalagem e 00042692 por 6457 ORSE visto que não possui esse diametro e inclinação no SINAPI.</t>
  </si>
  <si>
    <t>Exclusão da composição de torneira da composição do lavatório (86906 SINAPI), visto que a torneira está sendo considerada em outro item do modelo conforme solicitado em projeto.</t>
  </si>
  <si>
    <t>Utilizada composição do CPOS para São Paulo visto que o SINAPI não possui composição adequada para contemplar tal serviço.</t>
  </si>
  <si>
    <t>Utilizada composição do SEINFRA visto que o SINAPI não possui composição adequada referente a esse serviço. Os preços praticados para esse serviço no estado do Ceará são referenciais e exequíveis para o orçamento em São Paulo. Os insumos da composição SEINGRA que são SINAPI estão atualizados para o estado de São Paulo, portanto, somente insumos do SEINFRA que mantem preço na região de Ceará.</t>
  </si>
  <si>
    <t>Utilizada composição do ORSE visto que o SINAPI não possui composição adequada referente a esse serviço. Os preços praticados para esse serviço no estado de Sergipe são referenciais e exequíveis para o orçamento em São Paulo. Os insumos da composição ORSE que são SINAPI estão atualizados para o estado de São Paulo, portanto, somente insumos do ORSE que mantem preço na região de Sergipe. Além disso, adequou-se os coeficientes dos insumos para atender as especificações do projeto.</t>
  </si>
  <si>
    <t>Utilizada composição do SBC para São Paulo visto que o SINAPI não possui composição adequada para contemplar tal serviço. Além disso, adaptou-se a composição original, fazendo a alteração dos coeficientes para atender as especificações do projeto.</t>
  </si>
  <si>
    <t>Utilizada composição do SBC para São Paulo visto que o SINAPI não possui composição adequada para contemplar tal serviço.</t>
  </si>
  <si>
    <t>Utilizada composição EMOP visto que o SINAPI não possui composição adequada referente a esse serviço. Os preços praticados para esse serviço no estado do Rio de Janeiro são referenciais e exequíveis para o orçamento em São Paulo. Os insumos da composição EMOP que são SINAPI estão atualizados para o estado de São Paulo, portanto, somente insumos do EMOP que mantem preço na região do Rio de Janeiro.</t>
  </si>
  <si>
    <t>Utilizada composição CAERN visto que o SINAPI não possui composição adequada referente a esse serviço. Os preços praticados para esse serviço no estado do Rio Grande do Norte são referenciais e exequíveis para o orçamento em São Paulo. Os insumos da composição CAERN que são SINAPI estão atualizados para o estado de São Paulo, portanto, somente insumos do CAERN que mantem preço na região do Rio Grande do Norte.</t>
  </si>
  <si>
    <t>Utilizada composição do IOPES visto que o SINAPI não possui composição adequada referente a esse serviço. Os preços praticados para esse serviço no estado de Espirito Santo são referenciais e exequíveis para o orçamento em São Paulo. Os insumos da composição Espírito Santo que são SINAPI estão atualizados para o estado de São Paulo, portanto, somente insumos do IOPES que mantem preço na região de Espírito Santo.</t>
  </si>
  <si>
    <t>Substituição do insumo SINAPI 00001525 pelo insumo SINAPI 00011145 para adequação da composição, conforme especificação de projeto.</t>
  </si>
  <si>
    <t>Substituição do insumo SINAPI 00001527 pelo insumo SINAPI 00011145 para adequação da composição, conforme especificação de projeto.</t>
  </si>
  <si>
    <t>Substituição do insumo SINAPI 00038408 pelo insumo SINAPI 00011145 para adequação da composição, conforme especificação de projeto.</t>
  </si>
  <si>
    <t>Utilizada composição do CPOS para São Paulo visto que o SINAPI não possui composição adequada para contemplar tal serviço. Substituição do insumo CPOS C.04.000.020536  pelo insumo CPOS C.04.000.020556 para atender às especificações do projeto. Além disso, acrescentou-se o controle tecnológico do concreto composição SBC 000128.</t>
  </si>
  <si>
    <t>Utilizada composição do FDE apenas para referência de coeficientes. Substituição de todos os insumos (Troca por SINAPI e CPOS) e adequação de coeficiente para atender à especificação do projeto.</t>
  </si>
  <si>
    <t>Utilizada composição do SBC visto que o SINAPI não possui composição adequada para contemplar tal serviço. Alteração do insumo SBC 007506 para o insumo SINAPI 00021059</t>
  </si>
  <si>
    <t>O valor do CPRB foi considerado baseado na Instrução Normativa nº 2053, de 6 de Dezembro de 2021, onde desde Dezembro de 2015 o percentual passa a ser 4,5% e não mais 2,0%. Essa recomendação aplica-se para orçamentos de Construção Civil para os enquadrados nos grupos 412, 432, 433 e 439 da CNAE 2.0.
A edificação objeto desta composição se enquadra no grupo 412:4120-4/00 - CLINICAS, HOSPITAIS, CONSTRUÇÃO OU REFORMA.</t>
  </si>
  <si>
    <t>Utilizada composição do SINAPI para referência de instalação de caixa hidrossanitaria à rede de encaminhamento e insumo 6701002 de cotação visto que nenhum banco referencial possui esse item ou similar.</t>
  </si>
  <si>
    <t>REMOÇÃO DE ENTULHO SEPARADO DE OBRA COM CAÇAMBA METÁLICA - TERRA, ALVENARIA, CONCRETO, ARGAMASSA, MADEIRA, PAPEL, PLÁSTICO OU METAL</t>
  </si>
  <si>
    <t xml:space="preserve"> 1.2 </t>
  </si>
  <si>
    <t xml:space="preserve"> 1.2.1 </t>
  </si>
  <si>
    <t xml:space="preserve"> 1.2.2 </t>
  </si>
  <si>
    <t xml:space="preserve"> 96544 </t>
  </si>
  <si>
    <t>ARMAÇÃO DE BLOCO, VIGA BALDRAME OU SAPATA UTILIZANDO AÇO CA-50 DE 6,3 MM - MONTAGEM. AF_06/2017</t>
  </si>
  <si>
    <t xml:space="preserve"> 96547 </t>
  </si>
  <si>
    <t>ARMAÇÃO DE BLOCO, VIGA BALDRAME OU SAPATA UTILIZANDO AÇO CA-50 DE 12,5 MM - MONTAGEM. AF_06/2017</t>
  </si>
  <si>
    <t xml:space="preserve"> 2.14 </t>
  </si>
  <si>
    <t xml:space="preserve"> 2.15 </t>
  </si>
  <si>
    <t>LAJE E ESCADA</t>
  </si>
  <si>
    <t>PORTA LISA DE MADEIRA, INTERNA, RESISTENTE A UMIDADE "PIM RU", PARA ACABAMENTO REVESTIDO OU EM PINTURA, PARA DIVISÓRIA SANITÁRIA, PADRÃO DIMENSIONAL MÉDIO/PESADO, COM FERRAGENS, COMPLETO - 80 X 190 CM</t>
  </si>
  <si>
    <t>PUXADOR DUPLO EM AÇO INOXIDÁVEL, PARA PORTA DE MADEIRA, ALUMÍNIO OU VIDRO, DE 350 MM</t>
  </si>
  <si>
    <t>TELA DE PROTEÇÃO TIPO MOSQUITEIRA EM AÇO GALVANIZADO, COM REQUADRO EM PERFIS DE FERRO</t>
  </si>
  <si>
    <t xml:space="preserve"> 6.3.3 </t>
  </si>
  <si>
    <t>TORNEIRA CLÍNICA COM VOLANTE TIPO ALAVANCA</t>
  </si>
  <si>
    <t>LAVATÓRIO DE CANTO REF. L101 DECA OU EQUIVALENTE, INCLUSIVE VÁLVULA, SIFÃO E ENGATES CROMADOS, EXCLUSIVE TORNEIRA</t>
  </si>
  <si>
    <t>CONJUNTO MOTOR-BOMBA (CENTRÍFUGA) 3 CV, MULTIESTÁGIO, HMAN= 30 A 45 MCA, Q= 12,4 A 8,4 M³/H</t>
  </si>
  <si>
    <t>TUBO PVC RÍGIDO, TIPO COLETOR ESGOTO, JUNTA ELÁSTICA, DN= 100 MM, INCLUSIVE CONEXÕES</t>
  </si>
  <si>
    <t>RESERVATÓRIO EM POLIETILENO COM TAMPA DE ENCAIXAR - CAPACIDADE DE 10.000 LITROS</t>
  </si>
  <si>
    <t>FILTRO ´Y´ CORPO EM BRONZE, PRESSÃO DE SERVIÇO ATÉ 20,7 BAR (PN 20), DN= 1 1/2´</t>
  </si>
  <si>
    <t>RESERVATÓRIO EM POLIETILENO DE ALTA DENSIDADE (CISTERNA) COM ANTIOXIDANTE E PROTEÇÃO CONTRA RAIOS ULTRAVIOLETA (UV) - CAPACIDADE DE 5.000 LITROS</t>
  </si>
  <si>
    <t>TUBO DE PVC RÍGIDO PXB COM VIROLA E ANEL DE BORRACHA, LINHA ESGOTO SÉRIE REFORÇADA ´R´, DN= 100 MM, INCLUSIVE CONEXÕES</t>
  </si>
  <si>
    <t>TUBO DE PVC RÍGIDO PXB COM VIROLA E ANEL DE BORRACHA, LINHA ESGOTO SÉRIE REFORÇADA ´R´. DN= 150 MM, INCLUSIVE CONEXÕES</t>
  </si>
  <si>
    <t>TUBO DE PVC RÍGIDO PXB COM VIROLA E ANEL DE BORRACHA, LINHA ESGOTO SÉRIE REFORÇADA ´R´, DN= 50 MM, INCLUSIVE CONEXÕES</t>
  </si>
  <si>
    <t>TUBO DE PVC RÍGIDO PXB COM VIROLA E ANEL DE BORRACHA, LINHA ESGOTO SÉRIE REFORÇADA ´R´, DN= 75 MM, INCLUSIVE CONEXÕES</t>
  </si>
  <si>
    <t>TUBO DE PVC RÍGIDO SOLDÁVEL MARROM, DN= 40 MM, (1 1/4´), INCLUSIVE CONEXÕES</t>
  </si>
  <si>
    <t>TUBO DE PVC RÍGIDO BRANCO, PONTAS LISAS, SOLDÁVEL, LINHA ESGOTO SÉRIE NORMAL, DN= 40 MM, INCLUSIVE CONEXÕES</t>
  </si>
  <si>
    <t>TUBO DE PVC RÍGIDO, PONTAS LISAS, SOLDÁVEL, LINHA ESGOTO SÉRIE REFORÇADA ´R´, DN= 40 MM, INCLUSIVE CONEXÕES</t>
  </si>
  <si>
    <t>TUBO DE PVC RÍGIDO SOLDÁVEL MARROM, DN= 75 MM, (2 1/2´), INCLUSIVE CONEXÕES</t>
  </si>
  <si>
    <t xml:space="preserve"> 17.2.52 </t>
  </si>
  <si>
    <t xml:space="preserve"> CPU2136 </t>
  </si>
  <si>
    <t>CAIXA DE SEPARAÇÃO DE GESSO COM REFIL</t>
  </si>
  <si>
    <t>TUBO PVC RÍGIDO, TIPO COLETOR ESGOTO, JUNTA ELÁSTICA, DN= 200 MM, INCLUSIVE CONEXÕES</t>
  </si>
  <si>
    <t>TUBO PVC RÍGIDO, TIPO COLETOR ESGOTO, JUNTA ELÁSTICA, DN= 250 MM, INCLUSIVE CONEXÕES</t>
  </si>
  <si>
    <t>TUBO PVC RÍGIDO, TIPO COLETOR ESGOTO, JUNTA ELÁSTICA, DN= 300 MM, INCLUSIVE CONEXÕES</t>
  </si>
  <si>
    <t>PLACA DE SINALIZAÇÃO EM PVC FOTOLUMINESCENTE (240X120MM), COM INDICAÇÃO DE ROTA DE EVACUAÇÃO E SAÍDA DE EMERGÊNCIA</t>
  </si>
  <si>
    <t>PLACA DE SINALIZAÇÃO EM PVC FOTOLUMINESCENTE (200X200MM), COM INDICAÇÃO DE EQUIPAMENTOS DE ALARME, DETECÇÃO E EXTINÇÃO DE INCÊNDIO</t>
  </si>
  <si>
    <t>PLACA DE SINALIZAÇÃO EM PVC PARA AMBIENTES</t>
  </si>
  <si>
    <t>PLACA DE SINALIZAÇÃO EM PVC, COM INDICAÇÃO DE PROIBIÇÃO NORMATIVA</t>
  </si>
  <si>
    <t>DETECTOR ÓPTICO DE FUMAÇA COM BASE ENDEREÇÁVEL</t>
  </si>
  <si>
    <t>DETECTOR TERMOVELOCIMÉTRICO ENDEREÇÁVEL COM BASE ENDEREÇÁVEL</t>
  </si>
  <si>
    <t>ACIONADOR MANUAL QUEBRA-VIDRO ENDEREÇÁVEL</t>
  </si>
  <si>
    <t>CONJUNTO MOTOR-BOMBA (CENTRÍFUGA) 7,5 CV, MULTIESTÁGIO, HMAN= 30 A 80 MCA, Q= 21,6 A 12,0 M³/H</t>
  </si>
  <si>
    <t>RELÉ DE TEMPO ELETRÔNICO DE 3 ATÉ 30S - 220V - 50/60HZ</t>
  </si>
  <si>
    <t>DISPOSITIVO DE PROTEÇÃO CONTRA SURTO, 1 POLO, SUPORTABILIDADE &lt;= 4 KV, UN ATÉ 240V/415V, IIMP = 60 KA, CURVA DE ENSAIO 10/350µS - CLASSE 1</t>
  </si>
  <si>
    <t>INTERRUPTOR DIFERENCIAL DR 25A, 30MA, 2 MÓDULOS</t>
  </si>
  <si>
    <t>INTERRUPTOR DIFERENCIAL DR 40A, 30MA, 2 MODULOS</t>
  </si>
  <si>
    <t>ELETROCALHA LISA GALVANIZADA A FOGO, 100 X 100 MM, COM ACESSÓRIOS</t>
  </si>
  <si>
    <t>SUPORTE PARA ELETROCALHA, GALVANIZADO A FOGO, 100X100 MM</t>
  </si>
  <si>
    <t>ELETRODUTO GALVANIZADO CONFORME NBR13057 -  1 1/4´ COM ACESSÓRIOS</t>
  </si>
  <si>
    <t>LUMINÁRIA LED RETANGULAR DE SOBREPOR COM DIFUSOR TRANSLÚCIDO, 4000 K, FLUXO LUMINOSO DE 3690 A 4800 LM, POTÊNCIA DE 35 W A 41 W</t>
  </si>
  <si>
    <t xml:space="preserve"> 060496 </t>
  </si>
  <si>
    <t>ARANDELA LED 18W BRANCO FRIO TIPO TARTARUGA</t>
  </si>
  <si>
    <t>LUMINÁRIA LED REDONDA DE SOBREPOR COM DIFUSOR RECUADO TRANSLUCIDO, 4000 K, FLUXO LUMINOSO DE 1900 A 2000 LM, POTÊNCIA DE 17 W A 19 W</t>
  </si>
  <si>
    <t>BLOCO AUTÔNOMO DE ILUMINAÇÃO DE EMERGÊNCIA LED, COM AUTONOMIA MÍNIMA DE 3 HORAS, FLUXO LUMINOSO DE 2.000 ATÉ 3.000 LÚMENS, EQUIPADO COM 2 FARÓIS</t>
  </si>
  <si>
    <t>LUMINÁRIA COM CORPO EM TUBO DE ALUMÍNIO TIPO BALIZADOR PARA USO EXTERNO</t>
  </si>
  <si>
    <t xml:space="preserve"> 19.1.1 </t>
  </si>
  <si>
    <t xml:space="preserve"> 19.1.2 </t>
  </si>
  <si>
    <t>PROTEÇÃO PARA ISOLAMENTO TÉRMICO EM ALUMÍNIO</t>
  </si>
  <si>
    <t xml:space="preserve"> 19.1.3 </t>
  </si>
  <si>
    <t xml:space="preserve"> 19.1.4 </t>
  </si>
  <si>
    <t xml:space="preserve"> 19.1.5 </t>
  </si>
  <si>
    <t xml:space="preserve"> 19.1.6 </t>
  </si>
  <si>
    <t xml:space="preserve"> 19.1.7 </t>
  </si>
  <si>
    <t xml:space="preserve"> 19.1.8 </t>
  </si>
  <si>
    <t>FILTRO ´Y´ CORPO EM BRONZE, PRESSÃO DE SERVIÇO ATÉ 20,7 BAR (PN 20), DN= 2´</t>
  </si>
  <si>
    <t xml:space="preserve"> 19.1.9 </t>
  </si>
  <si>
    <t xml:space="preserve"> 19.1.10 </t>
  </si>
  <si>
    <t xml:space="preserve"> 19.1.11 </t>
  </si>
  <si>
    <t xml:space="preserve"> 19.1.12 </t>
  </si>
  <si>
    <t xml:space="preserve"> 19.1.13 </t>
  </si>
  <si>
    <t xml:space="preserve"> 19.1.14 </t>
  </si>
  <si>
    <t xml:space="preserve"> 19.1.15 </t>
  </si>
  <si>
    <t xml:space="preserve"> 19.1.16 </t>
  </si>
  <si>
    <t xml:space="preserve"> 19.1.17 </t>
  </si>
  <si>
    <t xml:space="preserve"> 19.1.18 </t>
  </si>
  <si>
    <t xml:space="preserve"> 19.1.19 </t>
  </si>
  <si>
    <t xml:space="preserve"> 19.1.20 </t>
  </si>
  <si>
    <t xml:space="preserve"> 19.1.21 </t>
  </si>
  <si>
    <t xml:space="preserve"> 19.1.22 </t>
  </si>
  <si>
    <t xml:space="preserve"> 19.1.23 </t>
  </si>
  <si>
    <t xml:space="preserve"> 19.1.24 </t>
  </si>
  <si>
    <t xml:space="preserve"> 19.1.25 </t>
  </si>
  <si>
    <t xml:space="preserve"> 19.1.26 </t>
  </si>
  <si>
    <t>TUBO DE AÇO CARBONO PRETO SEM COSTURA SCHEDULE 40, DN= 3´ - INCLUSIVE CONEXÕES</t>
  </si>
  <si>
    <t xml:space="preserve"> 19.1.27 </t>
  </si>
  <si>
    <t>TUBO DE AÇO CARBONO PRETO SEM COSTURA SCHEDULE 40, DN= 4´ - INCLUSIVE CONEXÕES</t>
  </si>
  <si>
    <t xml:space="preserve"> 19.1.28 </t>
  </si>
  <si>
    <t xml:space="preserve"> 19.1.29 </t>
  </si>
  <si>
    <t xml:space="preserve"> 19.1.30 </t>
  </si>
  <si>
    <t xml:space="preserve"> 19.1.31 </t>
  </si>
  <si>
    <t xml:space="preserve"> 19.1.32 </t>
  </si>
  <si>
    <t xml:space="preserve"> 19.1.33 </t>
  </si>
  <si>
    <t xml:space="preserve"> 19.1.34 </t>
  </si>
  <si>
    <t xml:space="preserve"> 19.1.35 </t>
  </si>
  <si>
    <t xml:space="preserve"> 19.1.36 </t>
  </si>
  <si>
    <t xml:space="preserve"> 19.1.37 </t>
  </si>
  <si>
    <t xml:space="preserve"> 19.1.38 </t>
  </si>
  <si>
    <t xml:space="preserve"> 19.1.39 </t>
  </si>
  <si>
    <t xml:space="preserve"> 19.1.40 </t>
  </si>
  <si>
    <t xml:space="preserve"> 19.1.41 </t>
  </si>
  <si>
    <t xml:space="preserve"> 19.1.42 </t>
  </si>
  <si>
    <t xml:space="preserve"> 19.1.43 </t>
  </si>
  <si>
    <t xml:space="preserve"> 19.1.44 </t>
  </si>
  <si>
    <t xml:space="preserve"> 19.1.45 </t>
  </si>
  <si>
    <t xml:space="preserve"> 19.2.1 </t>
  </si>
  <si>
    <t xml:space="preserve"> 19.2.2 </t>
  </si>
  <si>
    <t xml:space="preserve"> 19.2.3 </t>
  </si>
  <si>
    <t xml:space="preserve"> CPU2139 </t>
  </si>
  <si>
    <t>Condicionador de ar de expansão indireta do tipo fan coil, com módulo de ventilação, módulo serpentia acoplado e módulo caixa de mistura com filtros. Capacidade nominal de 4,0 TR. Serpentina com 06 filas. Filtragem G0. Ventilador tipo Siroco com vazão de ar de 1.800 m³/h a 60Hz. Pressão Estática de 10mmca.  Tensão elétrica conforme local.  - FORNECIMENTO E INSTALAÇÃO</t>
  </si>
  <si>
    <t xml:space="preserve"> 19.2.4 </t>
  </si>
  <si>
    <t xml:space="preserve"> 19.2.5 </t>
  </si>
  <si>
    <t xml:space="preserve"> CPU2141 </t>
  </si>
  <si>
    <t>Condicionador de ar de expansão indireta do tipo fan coil, com módulo de ventilação, módulo serpentia com aquecimento acoplado e módulo caixa de mistura com filtros. Capacidade nominal de 2,0 TR. Serpentina com 06 filas. Aquecimento de 3,0KW em 02 estágios. Filtragem G4+F8. Ventilador tipo Limit Load com vazão de ar de 1.500 m³/h a 60Hz. Pressão Estática de 60mmca.  Tensão elétrica conforme local.  - FORNECIMENTO E INSTALAÇÃO</t>
  </si>
  <si>
    <t xml:space="preserve"> 19.2.6 </t>
  </si>
  <si>
    <t xml:space="preserve"> CPU2142 </t>
  </si>
  <si>
    <t>Condicionador de ar de expansão indireta do tipo fan coil, com módulo de ventilação, módulo serpentia com aquecimento acoplado e módulo caixa de mistura com filtros. Capacidade nominal de 2,0 TR. Serpentina com 06 filas. Aquecimento de 3,0KW em 02 estágios. Filtragem G4+F8. Ventilador tipo Limit Load com vazão de ar de 1.250 m³/h a 60Hz. Pressão Estática de 60mmca.  Tensão elétrica conforme local. - FORNECIMENTO E INSTALAÇÃO</t>
  </si>
  <si>
    <t xml:space="preserve"> 19.2.7 </t>
  </si>
  <si>
    <t xml:space="preserve"> CPU2143 </t>
  </si>
  <si>
    <t>Condicionador de ar de expansão indireta do tipo fan coil, com módulo de ventilação, módulo serpentia com aquecimento acoplado e módulo caixa de mistura com filtros. Capacidade nominal de 3,0 TR. Serpentina com 06 filas. Aquecimento de 3,0KW em 02 estágios. Filtragem G4+F8. Ventilador tipo Limit Load com vazão de ar de 2.400 m³/h a 60Hz. Pressão Estática de 70mmca.  Tensão elétrica conforme local.  - FORNECIMENTO E INSTALAÇÃO</t>
  </si>
  <si>
    <t xml:space="preserve"> 19.2.8 </t>
  </si>
  <si>
    <t xml:space="preserve"> CPU2144 </t>
  </si>
  <si>
    <t>Condicionador de ar de expansão indireta do tipo fan coil, com módulo de ventilação, módulo serpentia com aquecimento acoplado e módulo caixa de mistura com filtros. Capacidade nominal de 4,0 TR. Serpentina com 06 filas. Aquecimento de 6,0KW em 02 estágios. Filtragem G4+F8. Ventilador tipo Limit Load com vazão de ar de 2.800 m³/h a 60Hz. Pressão Estática de 50mmca.  Tensão elétrica conforme local.  - FORNECIMENTO E INSTALAÇÃO</t>
  </si>
  <si>
    <t xml:space="preserve"> 19.2.9 </t>
  </si>
  <si>
    <t xml:space="preserve"> CPU2145 </t>
  </si>
  <si>
    <t>Condicionador de ar de expansão indireta do tipo fan coil, com módulo de ventilação, módulo serpentia com aquecimento acoplado e módulo caixa de mistura com filtros. Capacidade nominal de 4,0 TR. Serpentina com 06 filas. Aquecimento de 6,0KW em 02 estágios. Filtragem G4+F8. Ventilador tipo Limit Load com vazão de ar de 2.800 m³/h a 60Hz. Pressão Estática de 60mmca.  Tensão elétrica conforme local.  - FORNECIMENTO E INSTALAÇÃO</t>
  </si>
  <si>
    <t xml:space="preserve"> 19.2.10 </t>
  </si>
  <si>
    <t xml:space="preserve"> CPU2146 </t>
  </si>
  <si>
    <t>Condicionador de ar de expansão indireta do tipo fan coil, com módulo de ventilação, módulo serpentia com aquecimento acoplado e módulo caixa de mistura com filtros. Capacidade nominal de 4,0 TR. Serpentina com 06 filas. Aquecimento de 6,0KW em 02 estágios. Filtragem G4+F8. Ventilador tipo Limit Load com vazão de ar de 3.000 m³/h a 60Hz. Pressão Estática de 70mmca.  Tensão elétrica conforme local. - FORNECIMENTO E INSTALAÇÃO</t>
  </si>
  <si>
    <t xml:space="preserve"> 19.2.11 </t>
  </si>
  <si>
    <t xml:space="preserve"> 19.2.12 </t>
  </si>
  <si>
    <t xml:space="preserve"> 19.2.13 </t>
  </si>
  <si>
    <t xml:space="preserve"> 19.2.14 </t>
  </si>
  <si>
    <t xml:space="preserve"> CPU2150 </t>
  </si>
  <si>
    <t>Condicionador de ar de expansão indireta do tipo fan coil, com módulo de ventilação, módulo serpentia com aquecimento acoplado e módulo caixa de mistura com filtros. Capacidade nominal de 8,0 TR. Serpentina com 06 filas. Aquecimento de 9,0KW em 02 estágios. Filtragem G4+F8. Ventilador tipo Limit Load com vazão de ar de 6.000 m³/h a 60Hz. Pressão Estática de 80mmca.  Tensão elétrica conforme local.  - FORNECIMENTO E INSTALAÇÃO</t>
  </si>
  <si>
    <t xml:space="preserve"> 19.2.15 </t>
  </si>
  <si>
    <t xml:space="preserve"> CPU2151 </t>
  </si>
  <si>
    <t>Condicionador de ar de expansão indireta do tipo fan coil, com módulo de ventilação, módulo serpentia com aquecimento acoplado e módulo caixa de mistura com filtros. Capacidade nominal de 14,0 TR. Serpentina com 06 filas. Aquecimento de 12,0KW em 02 estágios. Filtragem G4+F8. Ventilador tipo Limit Load com vazão de ar de 8.400 m³/h a 60Hz. Pressão Estática de 70mmca.  Tensão elétrica conforme local.  - FORNECIMENTO E INSTALAÇÃO</t>
  </si>
  <si>
    <t xml:space="preserve"> 19.2.16 </t>
  </si>
  <si>
    <t xml:space="preserve"> CPU2152 </t>
  </si>
  <si>
    <t>Condicionador de ar de expansão indireta do tipo fancolete hidrônico, modelo Built-in (dutado). Capacidade mínima de 9.000 BTU/h, vazão de água gelada de 0,14 l/min, conexão 3/4", com controle remoto. Tensão elétrica conforme local.  - FORNECIMENTO E INSTALAÇÃO</t>
  </si>
  <si>
    <t xml:space="preserve"> 19.2.17 </t>
  </si>
  <si>
    <t xml:space="preserve"> CPU2153 </t>
  </si>
  <si>
    <t>Condicionador de ar de expansão indireta do tipo fancolete hidrônico, modelo Built-in (dutado). Capacidade mínima de 18.000 BTU/h, vazão de água gelada de 0,26 l/min, conexão 3/4", com controle remoto. Tensão elétrica conforme local.  - FORNECIMENTO E INSTALAÇÃO</t>
  </si>
  <si>
    <t xml:space="preserve"> 19.2.18 </t>
  </si>
  <si>
    <t xml:space="preserve"> CPU2154 </t>
  </si>
  <si>
    <t>Condicionador de ar de expansão indireta do tipo fancolete hidrônico, modelo Built-in (dutado). Capacidade mínima de 24.000 BTU/h, vazão de água gelada de 0,34 l/min, conexão 3/4", com controle remoto. Tensão elétrica conforme local.  - FORNECIMENTO E INSTALAÇÃO</t>
  </si>
  <si>
    <t xml:space="preserve"> 19.2.19 </t>
  </si>
  <si>
    <t xml:space="preserve"> CPU2155 </t>
  </si>
  <si>
    <t>Condicionador de ar de expansão indireta do tipo fancolete hidrônico, modelo Built-in (dutado). Capacidade mínima de 47.800 BTU/h, vazão de água gelada de 0,71 l/min, conexão 3/4", com controle remoto. Tensão elétrica conforme local.  - FORNECIMENTO E INSTALAÇÃO</t>
  </si>
  <si>
    <t xml:space="preserve"> 19.2.20 </t>
  </si>
  <si>
    <t xml:space="preserve"> CPU2156 </t>
  </si>
  <si>
    <t>Condicionador de ar de expansão indireta do tipo fancolete hidrônico, modelo hi-wall. Capacidade mínima de 10.000 BTU/h, vazão de água gelada de 0,13 l/min, conexão 3/4", com controle remoto. Tensão elétrica conforme local - FORNECIMENTO E INSTALAÇÃO</t>
  </si>
  <si>
    <t xml:space="preserve"> 19.2.21 </t>
  </si>
  <si>
    <t xml:space="preserve"> CPU2157 </t>
  </si>
  <si>
    <t>Condicionador de ar de expansão indireta do tipo fancolete hidrônico, modelo hi-wall. Capacidade mínima de 11.500 BTU/h, vazão de água gelada de 0,14 l/min, conexão 3/4", com controle remoto. Tensão elétrica conforme local. - FORNECIMENTO E INSTALAÇÃO</t>
  </si>
  <si>
    <t xml:space="preserve"> 19.2.22 </t>
  </si>
  <si>
    <t xml:space="preserve"> CPU2158 </t>
  </si>
  <si>
    <t>Condicionador de ar de expansão indireta do tipo fancolete hidrônico, modelo hi-wall. Capacidade mínima de 13.000 BTU/h, vazão de água gelada de 0,19 l/min, conexão 3/4", com controle remoto. Tensão elétrica conforme local. - FORNECIMENTO E INSTALAÇÃO</t>
  </si>
  <si>
    <t xml:space="preserve"> 19.2.23 </t>
  </si>
  <si>
    <t xml:space="preserve"> CPU2159 </t>
  </si>
  <si>
    <t>Condicionador de ar de expansão indireta do tipo fancolete hidrônico, modelo hi-wall. Capacidade mínima de 15.000 BTU/h, vazão de água gelada de 0,21 l/min, conexão 3/4", com controle remoto. Tensão elétrica conforme local.  - FORNECIMENTO E INSTALAÇÃO</t>
  </si>
  <si>
    <t xml:space="preserve"> 19.2.24 </t>
  </si>
  <si>
    <t xml:space="preserve"> CPU2160 </t>
  </si>
  <si>
    <t>Condicionador de ar de expansão indireta do tipo fancolete hidrônico, modelo hi-wall. Capacidade mínima de 16.500 BTU/h, vazão de água gelada de 0,24 l/min, conexão 3/4", com controle remoto. Tensão elétrica conforme local.  - FORNECIMENTO E INSTALAÇÃO</t>
  </si>
  <si>
    <t xml:space="preserve"> 19.2.25 </t>
  </si>
  <si>
    <t xml:space="preserve"> CPU2161 </t>
  </si>
  <si>
    <t>Condicionador de ar de expansão indireta do tipo fancolete hidrônico, modelo piso-teto. Capacidade mínima de 18.000 BTU/h, vazão de água gelada de 0,21 l/min, conexão 3/4", com controle remoto. Tensão elétrica conforme local.  - FORNECIMENTO E INSTALAÇÃO</t>
  </si>
  <si>
    <t xml:space="preserve"> 19.2.26 </t>
  </si>
  <si>
    <t xml:space="preserve"> CPU2162 </t>
  </si>
  <si>
    <t>Condicionador de ar de expansão indireta do tipo fancolete hidrônico, modelo piso-teto. Capacidade mínima de 24.000 BTU/h, vazão de água gelada de 0,32 l/min, conexão 3/4", com controle remoto. Tensão elétrica conforme local.  - FORNECIMENTO E INSTALAÇÃO</t>
  </si>
  <si>
    <t xml:space="preserve"> 19.2.27 </t>
  </si>
  <si>
    <t xml:space="preserve"> CPU2163 </t>
  </si>
  <si>
    <t>Condicionador de ar de expansão indireta do tipo fancolete hidrônico, modelo piso-teto. Capacidade mínima de 30.000 BTU/h, vazão de água gelada de 0,42 l/min, conexão 3/4", com controle remoto. Tensão elétrica conforme local.  - FORNECIMENTO E INSTALAÇÃO</t>
  </si>
  <si>
    <t xml:space="preserve"> 19.2.28 </t>
  </si>
  <si>
    <t xml:space="preserve"> CPU2164 </t>
  </si>
  <si>
    <t>Exaustor Centrífugo com vazão de 300m³/h e P.E. de 35mmca, montado em base única com motor elétrico trifásico de no máximo 0,15 KW e 04 pólos, coxins de borracha, protetor de eixos e correias, tela de descarga, ligações com flange, identificação em placa de aluminio.  - FORNECIMENTO E INSTALAÇÃO</t>
  </si>
  <si>
    <t xml:space="preserve"> 19.2.29 </t>
  </si>
  <si>
    <t xml:space="preserve"> CPU2165 </t>
  </si>
  <si>
    <t>Exaustor Centrífugo com vazão de 450m³/h e P.E. de 40mmca, montado em base única com motor elétrico trifásico de no máximo 0,2 KW e 04 pólos, coxins de borracha, protetor de eixos e correias, tela de descarga, ligações com flange, identificação em placa de aluminio.  - FORNECIMENTO E INSTALAÇÃO</t>
  </si>
  <si>
    <t xml:space="preserve"> 19.2.30 </t>
  </si>
  <si>
    <t xml:space="preserve"> CPU2166 </t>
  </si>
  <si>
    <t>Exaustor Centrífugo com vazão de 450m³/h e P.E. de 25mmca, montado em base única com motor elétrico trifásico de no máximo 0,2 KW e 04 pólos, coxins de borracha, protetor de eixos e correias, tela de descarga, ligações com flange, identificação em placa de aluminio.  - FORNECIMENTO E INSTALAÇÃO</t>
  </si>
  <si>
    <t xml:space="preserve"> 19.2.31 </t>
  </si>
  <si>
    <t xml:space="preserve"> CPU2167 </t>
  </si>
  <si>
    <t>Exaustor Centrífugo com vazão de 500m³/h e P.E. de 55mmca, montado em base única com motor elétrico trifásico de no máximo 0,25 KW e 04 pólos, coxins de borracha, protetor de eixos e correias, tela de descarga, ligações com flange, identificação em placa de aluminio.  - FORNECIMENTO E INSTALAÇÃO</t>
  </si>
  <si>
    <t xml:space="preserve"> 19.2.32 </t>
  </si>
  <si>
    <t xml:space="preserve"> CPU2168 </t>
  </si>
  <si>
    <t>Exaustor Centrífugo com vazão de 650m³/h e P.E. de 45mmca, montado em base única com motor elétrico trifásico de no máximo 0,25 KW e 04 pólos, coxins de borracha, protetor de eixos e correias, tela de descarga, ligações com flange, identificação em placa de aluminio.  - FORNECIMENTO E INSTALAÇÃO</t>
  </si>
  <si>
    <t xml:space="preserve"> 19.2.33 </t>
  </si>
  <si>
    <t xml:space="preserve"> CPU2169 </t>
  </si>
  <si>
    <t>Exaustor Centrífugo com vazão de 900m³/h e P.E. de 45mmca, montado em base única com motor elétrico trifásico de no máximo 0,35 KW e 04 pólos, coxins de borracha, protetor de eixos e correias, tela de descarga, ligações com flange, identificação em placa de aluminio.  - FORNECIMENTO E INSTALAÇÃO</t>
  </si>
  <si>
    <t xml:space="preserve"> 19.2.34 </t>
  </si>
  <si>
    <t xml:space="preserve"> CPU2170 </t>
  </si>
  <si>
    <t>Exaustor Centrífugo com vazão de 1.200m³/h e P.E. de 60mmca, montado em base única com motor elétrico trifásico de no máximo 0,75 KW e 04 pólos, coxins de borracha, protetor de eixos e correias, tela de descarga, ligações com flange, identificação em placa de aluminio. - FORNECIMENTO E INSTALAÇÃO</t>
  </si>
  <si>
    <t xml:space="preserve"> 19.2.35 </t>
  </si>
  <si>
    <t xml:space="preserve"> CPU2171 </t>
  </si>
  <si>
    <t>Exaustor Centrífugo com vazão de 1.600m³/h e P.E. de 30mmca, montado em base única com motor elétrico trifásico de no máximo 0,75 KW e 04 pólos, coxins de borracha, protetor de eixos e correias, tela de descarga, ligações com flange, identificação em placa de aluminio. - FORNECIMENTO E INSTALAÇÃO</t>
  </si>
  <si>
    <t xml:space="preserve"> 19.2.36 </t>
  </si>
  <si>
    <t xml:space="preserve"> CPU2172 </t>
  </si>
  <si>
    <t>Exaustor Centrífugo com vazão de 2.950m³/h e P.E. de 45mmca, montado em base única com motor elétrico trifásico de no máximo 1,5 KW e 04 pólos, coxins de borracha, protetor de eixos e correias, tela de descarga, ligações com flange, identificação em placa de aluminio.  - FORNECIMENTO E INSTALAÇÃO</t>
  </si>
  <si>
    <t xml:space="preserve"> 19.2.37 </t>
  </si>
  <si>
    <t xml:space="preserve"> CPU2173 </t>
  </si>
  <si>
    <t>Exaustor Centrífugo com vazão de 3.250m³/h e P.E. de 45mmca, montado em base única com motor elétrico trifásico de no máximo 2,5 KW e 04 pólos, coxins de borracha, protetor de eixos e correias, tela de descarga, ligações com flange, identificação em placa de aluminio.  - FORNECIMENTO E INSTALAÇÃO</t>
  </si>
  <si>
    <t xml:space="preserve"> 19.2.38 </t>
  </si>
  <si>
    <t xml:space="preserve"> CPU2174 </t>
  </si>
  <si>
    <t>Exaustor Centrífugo com vazão de 8.400m³/h e P.E. de 40mmca, montado em base única com motor elétrico trifásico de no máximo 5,0 KW e 04 pólos, coxins de borracha, protetor de eixos e correias, tela de descarga, ligações com flange, identificação em placa de aluminio.  - FORNECIMENTO E INSTALAÇÃO</t>
  </si>
  <si>
    <t xml:space="preserve"> 19.2.39 </t>
  </si>
  <si>
    <t xml:space="preserve"> CPU2175 </t>
  </si>
  <si>
    <t>Caixa de ventilação com vazão de 300m³/h e P.E. de 30mmca, com filtro G4 acoplado, motor elétrico trifásico de no máximo 0,3KW e 04 pólos, tela de aspiração, flanges para montagem dos dutos.  - FORNECIMENTO E INSTALAÇÃO</t>
  </si>
  <si>
    <t xml:space="preserve"> 19.2.40 </t>
  </si>
  <si>
    <t xml:space="preserve"> CPU2176 </t>
  </si>
  <si>
    <t>Caixa de ventilação com vazão de 500m³/h e P.E. de 30mmca, com filtro G4 acoplado, motor elétrico trifásico de no máximo 0,5KW e 04 pólos, tela de aspiração, flanges para montagem dos dutos.  - FORNECIMENTO E INSTALAÇÃO</t>
  </si>
  <si>
    <t xml:space="preserve"> 19.2.41 </t>
  </si>
  <si>
    <t xml:space="preserve"> CPU2177 </t>
  </si>
  <si>
    <t>Caixa de ventilação com vazão de 650m³/h e P.E. de 40mmca, com filtro G4 acoplado, motor elétrico trifásico de no máximo 1,0KW e 04 pólos, tela de aspiração, flanges para montagem dos dutos.  - FORNECIMENTO E INSTALAÇÃO</t>
  </si>
  <si>
    <t xml:space="preserve"> 19.2.42 </t>
  </si>
  <si>
    <t xml:space="preserve"> CPU2178 </t>
  </si>
  <si>
    <t>Caixa de ventilação com vazão de 1.100m³/h e P.E. de 45mmca, com filtro G4 acoplado, motor elétrico trifásico de no máximo 2,0KW e 04 pólos, tela de aspiração, flanges para montagem dos dutos.  - FORNECIMENTO E INSTALAÇÃO</t>
  </si>
  <si>
    <t xml:space="preserve"> CPU2179 </t>
  </si>
  <si>
    <t>Caixa de ventilação com vazão de 1.500m³/h e P.E. de 50mmca, com filtro G4 acoplado, motor elétrico trifásico de no máximo 2,5KW e 04 pólos, tela de aspiração, flanges para montagem dos dutos.  - FORNECIMENTO E INSTALAÇÃO</t>
  </si>
  <si>
    <t xml:space="preserve"> CPU2180 </t>
  </si>
  <si>
    <t>Caixa de ventilação com vazão de 2.200m³/h e P.E. de 45mmca, com filtro G4 acoplado, motor elétrico trifásico de no máximo 2,5KW e 04 pólos, tela de aspiração, flanges para montagem dos dutos.  - FORNECIMENTO E INSTALAÇÃO</t>
  </si>
  <si>
    <t>TOMADA PARA TV, TIPO PINO JACK, COM PLACA</t>
  </si>
  <si>
    <t xml:space="preserve"> 21.19 </t>
  </si>
  <si>
    <t xml:space="preserve"> 11218 </t>
  </si>
  <si>
    <t>Régua p/gás medicinal,em alumínio,dimensões: 850x220x70mm,com: 01 ponto p/ oxigênio, 01 ponto p/ ar comprimido, 01 ponto p/ vácuo, 01 ponto p/ óxido nitroso, 08 tomadas elétricas, mod.Square Line,VTC Vitatec ou similar</t>
  </si>
  <si>
    <t xml:space="preserve"> 21.20 </t>
  </si>
  <si>
    <t xml:space="preserve"> 18.050.0005-A </t>
  </si>
  <si>
    <t>CENTRAL DE AR COMPRIMIDO MEDICINAL,ISENTO DE OLEO,SISTEMA DUPLEX,COM RESERVATORIO HORIZONTAL OU VERTICAL,VAZAO APROX.20M3/H,02 (DOIS) COMPRESSORES COM POTENCIA MEDIA DE APROX.5HP,CAPACIDADE DO RESERVATORIO DE APROX.500 LITROS,INCLUSIVE FILTROS,SECADORES,PAINEL ELETRICO,CONFORME RDC-50 ANVISA/MINISTERIO DA SAUDE E ABNT NBR 12188.FORNEC.E ASSENT.</t>
  </si>
  <si>
    <t xml:space="preserve"> 21.21 </t>
  </si>
  <si>
    <t xml:space="preserve"> 18.050.0050-A </t>
  </si>
  <si>
    <t>CENTRAL DE VACUO MEDICINAL,ISENTO DE OLEO,SISTEMA DUPLEX,C/RESERVATORIO HORIZONTAL,VAZAO APROX.26M3/H,02 (DUAS) MOTO-BOMBAS DE VACUO POTENCIA MEDIA APROX.3HP,CAPAC.RESERVATORIO APROX.400 LITROS,INCL.FILTROS,SECADORES,PAINEL ELETRICO,CONFORME RDC-50 ANVISA/MINISTERIO DA SAUDE E ABNT NBR 12188.FORNECIMENTO E ASSENTAMENTO.</t>
  </si>
  <si>
    <t>PAVIMENTAÇÃO E ACESSIBILIDADE</t>
  </si>
  <si>
    <t xml:space="preserve"> 22.1.2 </t>
  </si>
  <si>
    <t xml:space="preserve"> 080615 </t>
  </si>
  <si>
    <t>PLATAFORMA ELEVAT. TRANSPORTE VERTICAL DESNIVEL DE 2 ATE 4M</t>
  </si>
  <si>
    <t xml:space="preserve"> 23.1 </t>
  </si>
  <si>
    <t>SERVENTE</t>
  </si>
  <si>
    <t>M2/MES</t>
  </si>
  <si>
    <t>M³</t>
  </si>
  <si>
    <t>PEDREIRO</t>
  </si>
  <si>
    <t>LAJE PRÉ-FABRICADA UNIDIRECIONAL EM VIGA TRELIÇADA/LAJOTA EM EPS LT 16 (12 + 4) - SC = 300KGF/M²</t>
  </si>
  <si>
    <t>LAJE PRÉ-FABRICADA UNIDIRECIONAL EM VIGA TRELIÇADA/LAJOTA EM EPS LT 12 (8 + 4) - SC = 200KGF/M²</t>
  </si>
  <si>
    <t>LAJE PRÉ-FABRICADA UNIDIRECIONAL EM VIGA TRELIÇADA/LAJOTA EM EPS LT 20 (16 + 4) - SC = 300KGF/M²</t>
  </si>
  <si>
    <t>LAJE PRÉ-FABRICADA UNIDIRECIONAL EM VIGA TRELIÇADA/LAJOTA EM EPS LT 25 (20 + 5) - SC = 300KGF/M²</t>
  </si>
  <si>
    <t xml:space="preserve"> 00011731 </t>
  </si>
  <si>
    <t>GRELHA FIXA, EM PVC BRANCA, QUADRADA, 150 X 150 MM, PARA RALOS E CAIXAS</t>
  </si>
  <si>
    <t xml:space="preserve"> 6701002 </t>
  </si>
  <si>
    <t>Equipamento para Aquisição Permanente</t>
  </si>
  <si>
    <t xml:space="preserve"> 6701005 </t>
  </si>
  <si>
    <t xml:space="preserve"> 6701007 </t>
  </si>
  <si>
    <t xml:space="preserve"> 6701008 </t>
  </si>
  <si>
    <t xml:space="preserve"> 6701009 </t>
  </si>
  <si>
    <t xml:space="preserve"> 6701010 </t>
  </si>
  <si>
    <t xml:space="preserve"> 6701011 </t>
  </si>
  <si>
    <t xml:space="preserve"> 6701012 </t>
  </si>
  <si>
    <t xml:space="preserve"> 6701016 </t>
  </si>
  <si>
    <t xml:space="preserve"> 6701017 </t>
  </si>
  <si>
    <t xml:space="preserve"> 6701018 </t>
  </si>
  <si>
    <t xml:space="preserve"> 6701019 </t>
  </si>
  <si>
    <t xml:space="preserve"> 6701020 </t>
  </si>
  <si>
    <t xml:space="preserve"> 6701021 </t>
  </si>
  <si>
    <t xml:space="preserve"> 6701022 </t>
  </si>
  <si>
    <t xml:space="preserve"> 6701023 </t>
  </si>
  <si>
    <t xml:space="preserve"> 6701024 </t>
  </si>
  <si>
    <t xml:space="preserve"> 6701025 </t>
  </si>
  <si>
    <t xml:space="preserve"> 6701026 </t>
  </si>
  <si>
    <t xml:space="preserve"> 6701027 </t>
  </si>
  <si>
    <t xml:space="preserve"> 6701028 </t>
  </si>
  <si>
    <t xml:space="preserve"> 6701029 </t>
  </si>
  <si>
    <t xml:space="preserve"> 6701030 </t>
  </si>
  <si>
    <t xml:space="preserve"> 6701031 </t>
  </si>
  <si>
    <t xml:space="preserve"> 6701032 </t>
  </si>
  <si>
    <t xml:space="preserve"> 6701033 </t>
  </si>
  <si>
    <t xml:space="preserve"> 6701034 </t>
  </si>
  <si>
    <t xml:space="preserve"> 6701035 </t>
  </si>
  <si>
    <t xml:space="preserve"> 6701036 </t>
  </si>
  <si>
    <t xml:space="preserve"> 6701037 </t>
  </si>
  <si>
    <t xml:space="preserve"> 6701038 </t>
  </si>
  <si>
    <t xml:space="preserve"> 6701039 </t>
  </si>
  <si>
    <t xml:space="preserve"> 6701040 </t>
  </si>
  <si>
    <t xml:space="preserve"> 6701041 </t>
  </si>
  <si>
    <t xml:space="preserve"> 6701042 </t>
  </si>
  <si>
    <t xml:space="preserve"> 6701043 </t>
  </si>
  <si>
    <t xml:space="preserve"> 6701044 </t>
  </si>
  <si>
    <t xml:space="preserve"> 6701045 </t>
  </si>
  <si>
    <t xml:space="preserve"> 6701046 </t>
  </si>
  <si>
    <t>Laje pré-fabricada unidirecional em viga treliçada/lajota em EPS LT 16 (12 + 4), exceto capa de concreto</t>
  </si>
  <si>
    <t>Laje pré-fabricada unidirecional em viga treliçada/lajota em EPS LT 12 (8 + 4), exceto capa de concreto</t>
  </si>
  <si>
    <t>Laje pré-fabricada unidirecional em viga treliçada/lajota em EPS LT 20 (16 + 4), exceto capa de concreto</t>
  </si>
  <si>
    <t>Laje pré-fabricada unidirecional em viga treliçada/lajota em EPS LT 25 (20 + 5), exceto capa de concreto</t>
  </si>
  <si>
    <t xml:space="preserve"> 92994 </t>
  </si>
  <si>
    <t>CABO DE COBRE FLEXÍVEL ISOLADO, 120 MM², ANTI-CHAMA 0,6/1,0 KV, PARA REDE ENTERRADA DE DISTRIBUIÇÃO DE ENERGIA ELÉTRICA - FORNECIMENTO E INSTALAÇÃO. AF_12/2021</t>
  </si>
  <si>
    <t xml:space="preserve"> 93000 </t>
  </si>
  <si>
    <t>CABO DE COBRE FLEXÍVEL ISOLADO, 240 MM², ANTI-CHAMA 0,6/1,0 KV, PARA REDE ENTERRADA DE DISTRIBUIÇÃO DE ENERGIA ELÉTRICA - FORNECIMENTO E INSTALAÇÃO. AF_12/2021</t>
  </si>
  <si>
    <t xml:space="preserve"> 92998 </t>
  </si>
  <si>
    <t>CABO DE COBRE FLEXÍVEL ISOLADO, 185 MM², ANTI-CHAMA 0,6/1,0 KV, PARA REDE ENTERRADA DE DISTRIBUIÇÃO DE ENERGIA ELÉTRICA - FORNECIMENTO E INSTALAÇÃO. AF_12/2021</t>
  </si>
  <si>
    <t xml:space="preserve"> 92992 </t>
  </si>
  <si>
    <t>CABO DE COBRE FLEXÍVEL ISOLADO, 95 MM², ANTI-CHAMA 0,6/1,0 KV, PARA REDE ENTERRADA DE DISTRIBUIÇÃO DE ENERGIA ELÉTRICA - FORNECIMENTO E INSTALAÇÃO. AF_12/2021</t>
  </si>
  <si>
    <t xml:space="preserve"> 91932 </t>
  </si>
  <si>
    <t>CABO DE COBRE FLEXÍVEL ISOLADO, 10 MM², ANTI-CHAMA 450/750 V, PARA CIRCUITOS TERMINAIS - FORNECIMENTO E INSTALAÇÃO. AF_03/2023</t>
  </si>
  <si>
    <t xml:space="preserve"> 061465 </t>
  </si>
  <si>
    <t>CAIXA DE PASSAGEM ELETRICA 60x60x50cm COM TAMPAO FERRO FUNDIDO</t>
  </si>
  <si>
    <t xml:space="preserve"> 92019 </t>
  </si>
  <si>
    <t>TOMADA BAIXA DE EMBUTIR (4 MÓDULOS), 2P+T 10 A, INCLUINDO SUPORTE E PLACA - FORNECIMENTO E INSTALAÇÃO. AF_03/2023</t>
  </si>
  <si>
    <t xml:space="preserve"> 064035 </t>
  </si>
  <si>
    <t>DISJUNTOR DIN TRIPOLAR 100A CURVA C STECK</t>
  </si>
  <si>
    <t xml:space="preserve"> 93656 </t>
  </si>
  <si>
    <t>DISJUNTOR MONOPOLAR TIPO DIN, CORRENTE NOMINAL DE 25A - FORNECIMENTO E INSTALAÇÃO. AF_10/2020</t>
  </si>
  <si>
    <t xml:space="preserve"> 93664 </t>
  </si>
  <si>
    <t>DISJUNTOR BIPOLAR TIPO DIN, CORRENTE NOMINAL DE 32A - FORNECIMENTO E INSTALAÇÃO. AF_10/2020</t>
  </si>
  <si>
    <t xml:space="preserve"> 37.13.780 </t>
  </si>
  <si>
    <t>DISJUNTOR EM CAIXA MOLDADA, TÉRMICO E MAGNÉTICO AJUSTÁVEIS, TRIPOLAR 1600/690 V, FAIXA DE AJUSTE DE 1000 ATÉ 1600 A</t>
  </si>
  <si>
    <t xml:space="preserve"> 37.13.770 </t>
  </si>
  <si>
    <t>DISJUNTOR EM CAIXA MOLDADA, TÉRMICO E MAGNÉTICO AJUSTÁVEIS, TRIPOLAR 1250/690 V, FAIXA DE AJUSTE DE 800 ATÉ 1250 A</t>
  </si>
  <si>
    <t xml:space="preserve"> 101899 </t>
  </si>
  <si>
    <t>DISJUNTOR TERMOMAGNÉTICO TRIPOLAR , CORRENTE NOMINAL DE 600A - FORNECIMENTO E INSTALAÇÃO. AF_10/2020</t>
  </si>
  <si>
    <t xml:space="preserve"> 064818 </t>
  </si>
  <si>
    <t>DISPOSITIVO DIFERENCIAL DR ALTA SENSIB.(30mA)TETRAPOLAR 125A</t>
  </si>
  <si>
    <t xml:space="preserve"> 38.21.320 </t>
  </si>
  <si>
    <t>ELETROCALHA LISA GALVANIZADA A FOGO, 150 X 100 MM, COM ACESSÓRIOS</t>
  </si>
  <si>
    <t xml:space="preserve"> 061129 </t>
  </si>
  <si>
    <t>ELETROCALHA LISA TIPO ""U"" 150x75 CHAPA 18 SEM TAMPA</t>
  </si>
  <si>
    <t xml:space="preserve"> 063541 </t>
  </si>
  <si>
    <t>ELETROCALHA LISA TIPO ""U"" 300X75 CHAPA 18 SEM TAMPA</t>
  </si>
  <si>
    <t xml:space="preserve"> 12488 </t>
  </si>
  <si>
    <t>Suporte vertical 150 x 150 mm para fixação de eletrocalha metálica (ref.: mopa ou similar)</t>
  </si>
  <si>
    <t xml:space="preserve"> 12574 </t>
  </si>
  <si>
    <t>Suporte vertical  200 x 150 mm  para fixação de eletrocalha metálica ( ref.: Mopa ou similar)</t>
  </si>
  <si>
    <t xml:space="preserve"> 18.1.106 </t>
  </si>
  <si>
    <t xml:space="preserve"> 18.1.107 </t>
  </si>
  <si>
    <t xml:space="preserve"> 18.1.108 </t>
  </si>
  <si>
    <t xml:space="preserve"> 101879 </t>
  </si>
  <si>
    <t>QUADRO DE DISTRIBUIÇÃO DE ENERGIA EM CHAPA DE AÇO GALVANIZADO, DE EMBUTIR, COM BARRAMENTO TRIFÁSICO, PARA 24 DISJUNTORES DIN 100A - FORNECIMENTO E INSTALAÇÃO. AF_10/2020</t>
  </si>
  <si>
    <t xml:space="preserve"> 18.1.109 </t>
  </si>
  <si>
    <t xml:space="preserve"> 18.1.110 </t>
  </si>
  <si>
    <t xml:space="preserve"> 18.1.111 </t>
  </si>
  <si>
    <t xml:space="preserve"> 18.1.112 </t>
  </si>
  <si>
    <t xml:space="preserve"> 18.1.113 </t>
  </si>
  <si>
    <t xml:space="preserve"> 064204 </t>
  </si>
  <si>
    <t>QUADRO DISTRIBUICAO EMBUTIR PARA 60 SEM BARRAMENTO TIGRE</t>
  </si>
  <si>
    <t xml:space="preserve"> 19.1.46 </t>
  </si>
  <si>
    <t xml:space="preserve"> 102622 </t>
  </si>
  <si>
    <t>CAIXA D´ÁGUA EM POLIETILENO, 500 LITROS (INCLUSOS TUBOS, CONEXÕES E TORNEIRA DE BÓIA) - FORNECIMENTO E INSTALAÇÃO. AF_06/2021</t>
  </si>
  <si>
    <t xml:space="preserve"> 61.10.001 </t>
  </si>
  <si>
    <t>RESFRIADORA DE LÍQUIDOS (CHILLER), COM COMPRESSOR E CONDENSAÇÃO À AR, CAPACIDADE DE 120 TR</t>
  </si>
  <si>
    <t xml:space="preserve"> 43.10.250 </t>
  </si>
  <si>
    <t>CONJUNTO MOTOR-BOMBA (CENTRÍFUGA) 15 CV, MONOESTÁGIO, HMAN= 30 A 60 MCA, Q= 82 A 20 M³/H</t>
  </si>
  <si>
    <t xml:space="preserve"> 61.10.100 </t>
  </si>
  <si>
    <t>TRATAMENTO DE AR (FAN-COIL) TIPO AIR HANDLING UNIT DE CONCEPÇÃO MODULAR, CAPACIDADE DE 10 TR</t>
  </si>
  <si>
    <t xml:space="preserve"> 61.10.101 </t>
  </si>
  <si>
    <t>TRATAMENTO DE AR (FAN-COIL) TIPO AIR HANDLING UNIT DE CONCEPÇÃO MODULAR, CAPACIDADE DE 6 TR</t>
  </si>
  <si>
    <t xml:space="preserve"> 20.3 </t>
  </si>
  <si>
    <t xml:space="preserve"> 062571 </t>
  </si>
  <si>
    <t>SAIDA PARA ELETRODUTO MG2982 HORIZONTAL</t>
  </si>
  <si>
    <t xml:space="preserve"> 20.4 </t>
  </si>
  <si>
    <t xml:space="preserve"> 15.018.0822-0 </t>
  </si>
  <si>
    <t>COTOVELO RETO,PARA ELETROCALHA PERFURADA OU LISA,100X100MM.FORNECIMENTO E COLOCACAO</t>
  </si>
  <si>
    <t xml:space="preserve"> 20.5 </t>
  </si>
  <si>
    <t xml:space="preserve"> 061108 </t>
  </si>
  <si>
    <t>ELETROCALHA PERFURADA TIPO ""U"" 100X100 CHAPA 22 SEM TAMPA</t>
  </si>
  <si>
    <t xml:space="preserve"> 20.6 </t>
  </si>
  <si>
    <t xml:space="preserve"> 20.7 </t>
  </si>
  <si>
    <t xml:space="preserve"> 15.018.0952-0 </t>
  </si>
  <si>
    <t>TERMINAL DE FECHAMENTO LISO,PARA ELETROCALHA PERFURADA OU LISA,100X100MM.FORNECIMENTO E COLOCACAO</t>
  </si>
  <si>
    <t>Condicionador de ar de expansão indireta do tipo fan coil, com módulo de ventilação, módulo serpentia acoplado e módulo caixa de mistura com filtros. Capacidade nominal de 4,0 TR. Serpentina com 06 filas. Filtragem G0. Ventilador tipo Siroco com vazão de ar de 1.800 m³/h a 60Hz. Pressão Estática de 10mmca. Tensão elétrica conforme local. - FORNECIMENTO E INSTALAÇÃO</t>
  </si>
  <si>
    <t>Condicionador de ar de expansão indireta do tipo fan coil, com módulo de ventilação, módulo serpentia com aquecimento acoplado e módulo caixa de mistura com filtros. Capacidade nominal de 2,0 TR. Serpentina com 06 filas. Aquecimento de 3,0KW em 02 estágios. Filtragem G4+F8. Ventilador tipo Limit Load com vazão de ar de 1.500 m³/h a 60Hz. Pressão Estática de 60mmca. Tensão elétrica conforme local. - FORNECIMENTO E INSTALAÇÃO</t>
  </si>
  <si>
    <t>Condicionador de ar de expansão indireta do tipo fan coil, com módulo de ventilação, módulo serpentia com aquecimento acoplado e módulo caixa de mistura com filtros. Capacidade nominal de 2,0 TR. Serpentina com 06 filas. Aquecimento de 3,0KW em 02 estágios. Filtragem G4+F8. Ventilador tipo Limit Load com vazão de ar de 1.250 m³/h a 60Hz. Pressão Estática de 60mmca. Tensão elétrica conforme local. - FORNECIMENTO E INSTALAÇÃO</t>
  </si>
  <si>
    <t>Condicionador de ar de expansão indireta do tipo fan coil, com módulo de ventilação, módulo serpentia com aquecimento acoplado e módulo caixa de mistura com filtros. Capacidade nominal de 3,0 TR. Serpentina com 06 filas. Aquecimento de 3,0KW em 02 estágios. Filtragem G4+F8. Ventilador tipo Limit Load com vazão de ar de 2.400 m³/h a 60Hz. Pressão Estática de 70mmca. Tensão elétrica conforme local. - FORNECIMENTO E INSTALAÇÃO</t>
  </si>
  <si>
    <t>Condicionador de ar de expansão indireta do tipo fan coil, com módulo de ventilação, módulo serpentia com aquecimento acoplado e módulo caixa de mistura com filtros. Capacidade nominal de 4,0 TR. Serpentina com 06 filas. Aquecimento de 6,0KW em 02 estágios. Filtragem G4+F8. Ventilador tipo Limit Load com vazão de ar de 2.800 m³/h a 60Hz. Pressão Estática de 50mmca. Tensão elétrica conforme local. - FORNECIMENTO E INSTALAÇÃO</t>
  </si>
  <si>
    <t>Condicionador de ar de expansão indireta do tipo fan coil, com módulo de ventilação, módulo serpentia com aquecimento acoplado e módulo caixa de mistura com filtros. Capacidade nominal de 4,0 TR. Serpentina com 06 filas. Aquecimento de 6,0KW em 02 estágios. Filtragem G4+F8. Ventilador tipo Limit Load com vazão de ar de 2.800 m³/h a 60Hz. Pressão Estática de 60mmca. Tensão elétrica conforme local. - FORNECIMENTO E INSTALAÇÃO</t>
  </si>
  <si>
    <t>Condicionador de ar de expansão indireta do tipo fan coil, com módulo de ventilação, módulo serpentia com aquecimento acoplado e módulo caixa de mistura com filtros. Capacidade nominal de 4,0 TR. Serpentina com 06 filas. Aquecimento de 6,0KW em 02 estágios. Filtragem G4+F8. Ventilador tipo Limit Load com vazão de ar de 3.000 m³/h a 60Hz. Pressão Estática de 70mmca. Tensão elétrica conforme local. - FORNECIMENTO E INSTALAÇÃO</t>
  </si>
  <si>
    <t>Condicionador de ar de expansão indireta do tipo fan coil, com módulo de ventilação, módulo serpentia com aquecimento acoplado e módulo caixa de mistura com filtros. Capacidade nominal de 8,0 TR. Serpentina com 06 filas. Aquecimento de 9,0KW em 02 estágios. Filtragem G4+F8. Ventilador tipo Limit Load com vazão de ar de 6.000 m³/h a 60Hz. Pressão Estática de 80mmca. Tensão elétrica conforme local. - FORNECIMENTO E INSTALAÇÃO</t>
  </si>
  <si>
    <t>Condicionador de ar de expansão indireta do tipo fan coil, com módulo de ventilação, módulo serpentia com aquecimento acoplado e módulo caixa de mistura com filtros. Capacidade nominal de 14,0 TR. Serpentina com 06 filas. Aquecimento de 12,0KW em 02 estágios. Filtragem G4+F8. Ventilador tipo Limit Load com vazão de ar de 8.400 m³/h a 60Hz. Pressão Estática de 70mmca. Tensão elétrica conforme local. - FORNECIMENTO E INSTALAÇÃO</t>
  </si>
  <si>
    <t>Condicionador de ar de expansão indireta do tipo fancolete hidrônico, modelo Built-in (dutado). Capacidade mínima de 9.000 BTU/h, vazão de água gelada de 0,14 l/min, conexão 3/4", com controle remoto. Tensão elétrica conforme local. - FORNECIMENTO E INSTALAÇÃO</t>
  </si>
  <si>
    <t>Condicionador de ar de expansão indireta do tipo fancolete hidrônico, modelo Built-in (dutado). Capacidade mínima de 18.000 BTU/h, vazão de água gelada de 0,26 l/min, conexão 3/4", com controle remoto. Tensão elétrica conforme local. - FORNECIMENTO E INSTALAÇÃO</t>
  </si>
  <si>
    <t>Condicionador de ar de expansão indireta do tipo fancolete hidrônico, modelo Built-in (dutado). Capacidade mínima de 24.000 BTU/h, vazão de água gelada de 0,34 l/min, conexão 3/4", com controle remoto. Tensão elétrica conforme local. - FORNECIMENTO E INSTALAÇÃO</t>
  </si>
  <si>
    <t>Condicionador de ar de expansão indireta do tipo fancolete hidrônico, modelo Built-in (dutado). Capacidade mínima de 47.800 BTU/h, vazão de água gelada de 0,71 l/min, conexão 3/4", com controle remoto. Tensão elétrica conforme local. - FORNECIMENTO E INSTALAÇÃO</t>
  </si>
  <si>
    <t>Condicionador de ar de expansão indireta do tipo fancolete hidrônico, modelo hi-wall. Capacidade mínima de 15.000 BTU/h, vazão de água gelada de 0,21 l/min, conexão 3/4", com controle remoto. Tensão elétrica conforme local. - FORNECIMENTO E INSTALAÇÃO</t>
  </si>
  <si>
    <t>Condicionador de ar de expansão indireta do tipo fancolete hidrônico, modelo hi-wall. Capacidade mínima de 16.500 BTU/h, vazão de água gelada de 0,24 l/min, conexão 3/4", com controle remoto. Tensão elétrica conforme local. - FORNECIMENTO E INSTALAÇÃO</t>
  </si>
  <si>
    <t>Condicionador de ar de expansão indireta do tipo fancolete hidrônico, modelo piso-teto. Capacidade mínima de 18.000 BTU/h, vazão de água gelada de 0,21 l/min, conexão 3/4", com controle remoto. Tensão elétrica conforme local. - FORNECIMENTO E INSTALAÇÃO</t>
  </si>
  <si>
    <t>Condicionador de ar de expansão indireta do tipo fancolete hidrônico, modelo piso-teto. Capacidade mínima de 24.000 BTU/h, vazão de água gelada de 0,32 l/min, conexão 3/4", com controle remoto. Tensão elétrica conforme local. - FORNECIMENTO E INSTALAÇÃO</t>
  </si>
  <si>
    <t>Condicionador de ar de expansão indireta do tipo fancolete hidrônico, modelo piso-teto. Capacidade mínima de 30.000 BTU/h, vazão de água gelada de 0,42 l/min, conexão 3/4", com controle remoto. Tensão elétrica conforme local. - FORNECIMENTO E INSTALAÇÃO</t>
  </si>
  <si>
    <t>Exaustor Centrífugo com vazão de 300m³/h e P.E. de 35mmca, montado em base única com motor elétrico trifásico de no máximo 0,15 KW e 04 pólos, coxins de borracha, protetor de eixos e correias, tela de descarga, ligações com flange, identificação em placa de aluminio. - FORNECIMENTO E INSTALAÇÃO</t>
  </si>
  <si>
    <t>Exaustor Centrífugo com vazão de 450m³/h e P.E. de 40mmca, montado em base única com motor elétrico trifásico de no máximo 0,2 KW e 04 pólos, coxins de borracha, protetor de eixos e correias, tela de descarga, ligações com flange, identificação em placa de aluminio. - FORNECIMENTO E INSTALAÇÃO</t>
  </si>
  <si>
    <t>Exaustor Centrífugo com vazão de 450m³/h e P.E. de 25mmca, montado em base única com motor elétrico trifásico de no máximo 0,2 KW e 04 pólos, coxins de borracha, protetor de eixos e correias, tela de descarga, ligações com flange, identificação em placa de aluminio. - FORNECIMENTO E INSTALAÇÃO</t>
  </si>
  <si>
    <t>Exaustor Centrífugo com vazão de 500m³/h e P.E. de 55mmca, montado em base única com motor elétrico trifásico de no máximo 0,25 KW e 04 pólos, coxins de borracha, protetor de eixos e correias, tela de descarga, ligações com flange, identificação em placa de aluminio. - FORNECIMENTO E INSTALAÇÃO</t>
  </si>
  <si>
    <t>Exaustor Centrífugo com vazão de 650m³/h e P.E. de 45mmca, montado em base única com motor elétrico trifásico de no máximo 0,25 KW e 04 pólos, coxins de borracha, protetor de eixos e correias, tela de descarga, ligações com flange, identificação em placa de aluminio. - FORNECIMENTO E INSTALAÇÃO</t>
  </si>
  <si>
    <t>Exaustor Centrífugo com vazão de 900m³/h e P.E. de 45mmca, montado em base única com motor elétrico trifásico de no máximo 0,35 KW e 04 pólos, coxins de borracha, protetor de eixos e correias, tela de descarga, ligações com flange, identificação em placa de aluminio. - FORNECIMENTO E INSTALAÇÃO</t>
  </si>
  <si>
    <t>Exaustor Centrífugo com vazão de 2.950m³/h e P.E. de 45mmca, montado em base única com motor elétrico trifásico de no máximo 1,5 KW e 04 pólos, coxins de borracha, protetor de eixos e correias, tela de descarga, ligações com flange, identificação em placa de aluminio. - FORNECIMENTO E INSTALAÇÃO</t>
  </si>
  <si>
    <t>Exaustor Centrífugo com vazão de 3.250m³/h e P.E. de 45mmca, montado em base única com motor elétrico trifásico de no máximo 2,5 KW e 04 pólos, coxins de borracha, protetor de eixos e correias, tela de descarga, ligações com flange, identificação em placa de aluminio. - FORNECIMENTO E INSTALAÇÃO</t>
  </si>
  <si>
    <t>Exaustor Centrífugo com vazão de 8.400m³/h e P.E. de 40mmca, montado em base única com motor elétrico trifásico de no máximo 5,0 KW e 04 pólos, coxins de borracha, protetor de eixos e correias, tela de descarga, ligações com flange, identificação em placa de aluminio. - FORNECIMENTO E INSTALAÇÃO</t>
  </si>
  <si>
    <t>Caixa de ventilação com vazão de 300m³/h e P.E. de 30mmca, com filtro G4 acoplado, motor elétrico trifásico de no máximo 0,3KW e 04 pólos, tela de aspiração, flanges para montagem dos dutos. - FORNECIMENTO E INSTALAÇÃO</t>
  </si>
  <si>
    <t>Caixa de ventilação com vazão de 500m³/h e P.E. de 30mmca, com filtro G4 acoplado, motor elétrico trifásico de no máximo 0,5KW e 04 pólos, tela de aspiração, flanges para montagem dos dutos. - FORNECIMENTO E INSTALAÇÃO</t>
  </si>
  <si>
    <t>Caixa de ventilação com vazão de 650m³/h e P.E. de 40mmca, com filtro G4 acoplado, motor elétrico trifásico de no máximo 1,0KW e 04 pólos, tela de aspiração, flanges para montagem dos dutos. - FORNECIMENTO E INSTALAÇÃO</t>
  </si>
  <si>
    <t>Caixa de ventilação com vazão de 1.100m³/h e P.E. de 45mmca, com filtro G4 acoplado, motor elétrico trifásico de no máximo 2,0KW e 04 pólos, tela de aspiração, flanges para montagem dos dutos. - FORNECIMENTO E INSTALAÇÃO</t>
  </si>
  <si>
    <t>Caixa de ventilação com vazão de 1.500m³/h e P.E. de 50mmca, com filtro G4 acoplado, motor elétrico trifásico de no máximo 2,5KW e 04 pólos, tela de aspiração, flanges para montagem dos dutos. - FORNECIMENTO E INSTALAÇÃO</t>
  </si>
  <si>
    <t>Caixa de ventilação com vazão de 2.200m³/h e P.E. de 45mmca, com filtro G4 acoplado, motor elétrico trifásico de no máximo 2,5KW e 04 pólos, tela de aspiração, flanges para montagem dos dutos. - FORNECIMENTO E INSTALAÇÃO</t>
  </si>
  <si>
    <t>Composição conforme a média das cotações recebidas. Vide memorial de cotações.</t>
  </si>
  <si>
    <t>SINAPI 97063 + INSUMO SINAPI 20193</t>
  </si>
  <si>
    <t>Junção do insumo de locação de andaime m2xmês com a montagem e desmontagem do andaime em m2, sendo coeficiente de 0,416 que corresponde à 1m2 em proporção à área do andaime informado no insumo.</t>
  </si>
  <si>
    <t>03</t>
  </si>
  <si>
    <t>Estão exclusos do escopo: Calçada externa, piso intertravado, administração local, movimentação de terra, bate-macas, protetores de parede e portas, pingadeiras, mobiliário e equipamentos.</t>
  </si>
  <si>
    <t xml:space="preserve"> 02.02.150 </t>
  </si>
  <si>
    <t>LOCAÇÃO DE CONTAINER TIPO DEPÓSITO - ÁREA MÍNIMA DE 13,80 M²</t>
  </si>
  <si>
    <t>unxmês</t>
  </si>
  <si>
    <t xml:space="preserve"> 02.02.130 </t>
  </si>
  <si>
    <t>LOCAÇÃO DE CONTAINER TIPO ESCRITÓRIO COM 1 VASO SANITÁRIO, 1 LAVATÓRIO E 1 PONTO PARA CHUVEIRO - ÁREA MÍNIMA DE 13,80 M²</t>
  </si>
  <si>
    <t xml:space="preserve"> 02.02.160 </t>
  </si>
  <si>
    <t>LOCAÇÃO DE CONTAINER TIPO GUARITA - ÁREA MÍNIMA DE 4,60 M²</t>
  </si>
  <si>
    <t xml:space="preserve"> 02.02.140 </t>
  </si>
  <si>
    <t>LOCAÇÃO DE CONTAINER TIPO SANITÁRIO COM 2 VASOS SANITÁRIOS, 2 LAVATÓRIOS, 2 MICTÓRIOS E 4 PONTOS PARA CHUVEIRO - ÁREA MÍNIMA DE 13,80 M²</t>
  </si>
  <si>
    <t xml:space="preserve"> 93214 </t>
  </si>
  <si>
    <t>EXECUÇÃO DE RESERVATÓRIO ELEVADO DE ÁGUA (1000 LITROS) EM CANTEIRO DE OBRA, APOIADO EM ESTRUTURA DE MADEIRA. AF_02/2016_PA</t>
  </si>
  <si>
    <t xml:space="preserve"> 1.4 </t>
  </si>
  <si>
    <t>ADMINISTRAÇÃO LOCAL</t>
  </si>
  <si>
    <t xml:space="preserve"> 1.4.1 </t>
  </si>
  <si>
    <t xml:space="preserve"> 93565 </t>
  </si>
  <si>
    <t>ENGENHEIRO CIVIL DE OBRA JUNIOR COM ENCARGOS COMPLEMENTARES</t>
  </si>
  <si>
    <t xml:space="preserve"> 1.4.2 </t>
  </si>
  <si>
    <t xml:space="preserve"> 93572 </t>
  </si>
  <si>
    <t>ENCARREGADO GERAL DE OBRAS COM ENCARGOS COMPLEMENTARES</t>
  </si>
  <si>
    <t xml:space="preserve"> 1.4.3 </t>
  </si>
  <si>
    <t xml:space="preserve"> 101460 </t>
  </si>
  <si>
    <t>VIGIA DIURNO COM ENCARGOS COMPLEMENTARES</t>
  </si>
  <si>
    <t xml:space="preserve"> 1.4.4 </t>
  </si>
  <si>
    <t xml:space="preserve"> 88326 </t>
  </si>
  <si>
    <t>VIGIA NOTURNO COM ENCARGOS COMPLEMENTARES</t>
  </si>
  <si>
    <t>PORTA CAMARAO 4 FOLHAS ARTICULADA FRISADA C/ FERRAGENS</t>
  </si>
  <si>
    <t xml:space="preserve"> 4895 </t>
  </si>
  <si>
    <t>Visor plumbífero com moldura, esp=60mm (nacional)</t>
  </si>
  <si>
    <t xml:space="preserve"> 9961 </t>
  </si>
  <si>
    <t>Telhamento com telha metálica em chapa de aço galvanizado natural ondulada e=0,5mm</t>
  </si>
  <si>
    <t xml:space="preserve"> 16.2 </t>
  </si>
  <si>
    <t xml:space="preserve"> 111700 </t>
  </si>
  <si>
    <t>ESCADA MARINHEIRO PERFIL 1.1/2"" DE ACO COM GUARDA CORPO</t>
  </si>
  <si>
    <t xml:space="preserve"> 19.2.43 </t>
  </si>
  <si>
    <t xml:space="preserve"> 61.10.012 </t>
  </si>
  <si>
    <t>RESFRIADORA DE LÍQUIDOS (CHILLER), COM COMPRESSOR E CONDENSAÇÃO À AR, CAPACIDADE DE 80 TR</t>
  </si>
  <si>
    <t>Policlínica - Área Construída: 3.213,00 m²</t>
  </si>
  <si>
    <t>SINAPI 101915 + COTAÇÃO</t>
  </si>
  <si>
    <t>Utilizada para o coeficiente de instalação do material a composição de referência SINAPI 101915 por ser um processo similar e não possuir nenhum específico para esse item em demais bancos de dados e incluído insumo 6701001 conforme cotação pelo painel de preços do Governo Federal.</t>
  </si>
  <si>
    <t>09/05/2024</t>
  </si>
  <si>
    <t xml:space="preserve"> 5.1.1.12 </t>
  </si>
  <si>
    <t xml:space="preserve"> 110015 </t>
  </si>
  <si>
    <t>PORTA COMPLETA MADEIRA 1 FL.1,20x2,10m-INTERNA</t>
  </si>
  <si>
    <t xml:space="preserve"> 15.2.15 </t>
  </si>
  <si>
    <t xml:space="preserve"> CPU2181 </t>
  </si>
  <si>
    <t>PISTOLA DE ÁGUA OU AR, COM JOGO DE BICO EM AÇO E INOX PARA DIFERENTES INSTRUMENTAIS MÉDICOS, COM MANGUEIRA EM ESPIRAL FLEXÍVEL E ENGATE RÁPIDO. ADAPTADORES PARA REDE DE ÁGUA OU AR E MANGUEIRA.</t>
  </si>
  <si>
    <t xml:space="preserve"> 15.3.6 </t>
  </si>
  <si>
    <t xml:space="preserve"> 100858 </t>
  </si>
  <si>
    <t>MICTÓRIO SIFONADO LOUÇA BRANCA  PADRÃO MÉDIO  FORNECIMENTO E INSTALAÇÃO. AF_01/2020</t>
  </si>
  <si>
    <t xml:space="preserve"> C2270 </t>
  </si>
  <si>
    <t>SIFÃO CROMADO 1 1/4" X 2" (INSTALADO)</t>
  </si>
  <si>
    <t xml:space="preserve"> 104350 </t>
  </si>
  <si>
    <t>JUNÇÃO DE REDUÇÃO INVERTIDA, PVC, SÉRIE NORMAL, ESGOTO PREDIAL, DN 75 X 50 MM, JUNTA ELÁSTICA, FORNECIDO E INSTALADO EM PRUMADA DE ESGOTO SANITÁRIO OU VENTILAÇÃO. AF_08/2022</t>
  </si>
  <si>
    <t xml:space="preserve"> 17.2.53 </t>
  </si>
  <si>
    <t xml:space="preserve"> 6701001 </t>
  </si>
  <si>
    <t xml:space="preserve">CPOS/CDHU 02.02.150 </t>
  </si>
  <si>
    <t xml:space="preserve">CPOS/CDHU 02.02.130 </t>
  </si>
  <si>
    <t xml:space="preserve">CPOS/CDHU 02.02.160 </t>
  </si>
  <si>
    <t xml:space="preserve">CPOS/CDHU 02.02.140 </t>
  </si>
  <si>
    <t xml:space="preserve">CPOS/CDHU 05.07.040 </t>
  </si>
  <si>
    <t xml:space="preserve">SBC 012689 </t>
  </si>
  <si>
    <t xml:space="preserve">SBC 021101 </t>
  </si>
  <si>
    <t xml:space="preserve">Próprio CPU2096 </t>
  </si>
  <si>
    <t xml:space="preserve">SBC 000128 </t>
  </si>
  <si>
    <t xml:space="preserve">Próprio CPU2097 </t>
  </si>
  <si>
    <t xml:space="preserve">Próprio CPU2098 </t>
  </si>
  <si>
    <t xml:space="preserve">Próprio CPU2100 </t>
  </si>
  <si>
    <t xml:space="preserve">Próprio CPU2101 </t>
  </si>
  <si>
    <t xml:space="preserve">Próprio CPU2102 </t>
  </si>
  <si>
    <t xml:space="preserve">Próprio CPU2103 </t>
  </si>
  <si>
    <t xml:space="preserve">Próprio CPU2104 </t>
  </si>
  <si>
    <t xml:space="preserve">Próprio CPU1942 </t>
  </si>
  <si>
    <t xml:space="preserve">Próprio CPU1943 </t>
  </si>
  <si>
    <t xml:space="preserve">CPOS/CDHU 23.13.040 </t>
  </si>
  <si>
    <t xml:space="preserve">SBC 110473 </t>
  </si>
  <si>
    <t xml:space="preserve">SBC 110606 </t>
  </si>
  <si>
    <t xml:space="preserve">SEINFRA C1963 </t>
  </si>
  <si>
    <t xml:space="preserve">SEINFRA C1961 </t>
  </si>
  <si>
    <t xml:space="preserve">Próprio CPU2037 </t>
  </si>
  <si>
    <t xml:space="preserve">Próprio CPU1972 </t>
  </si>
  <si>
    <t xml:space="preserve">Próprio CPU2012 </t>
  </si>
  <si>
    <t xml:space="preserve">SBC 110015 </t>
  </si>
  <si>
    <t xml:space="preserve">SBC 112634 </t>
  </si>
  <si>
    <t xml:space="preserve">ORSE 4895 </t>
  </si>
  <si>
    <t xml:space="preserve">SBC 112635 </t>
  </si>
  <si>
    <t xml:space="preserve">ORSE 13096 </t>
  </si>
  <si>
    <t xml:space="preserve">ORSE 12098 </t>
  </si>
  <si>
    <t xml:space="preserve">ORSE 13110 </t>
  </si>
  <si>
    <t xml:space="preserve">CPOS/CDHU 28.20.650 </t>
  </si>
  <si>
    <t xml:space="preserve">CPOS/CDHU 24.03.200 </t>
  </si>
  <si>
    <t xml:space="preserve">ORSE 10003 </t>
  </si>
  <si>
    <t xml:space="preserve">SBC 112597 </t>
  </si>
  <si>
    <t xml:space="preserve">ORSE 9961 </t>
  </si>
  <si>
    <t xml:space="preserve">EMOP 16.011.0005-A </t>
  </si>
  <si>
    <t xml:space="preserve">ORSE 9077 </t>
  </si>
  <si>
    <t xml:space="preserve">ORSE 9681 </t>
  </si>
  <si>
    <t xml:space="preserve">ORSE 2180 </t>
  </si>
  <si>
    <t xml:space="preserve">ORSE 10168 </t>
  </si>
  <si>
    <t xml:space="preserve">ORSE 10380 </t>
  </si>
  <si>
    <t xml:space="preserve">ORSE 11233 </t>
  </si>
  <si>
    <t xml:space="preserve">ORSE 12623 </t>
  </si>
  <si>
    <t xml:space="preserve">ORSE 12183 </t>
  </si>
  <si>
    <t xml:space="preserve">ORSE 12492 </t>
  </si>
  <si>
    <t xml:space="preserve">CAERN 1070262 </t>
  </si>
  <si>
    <t xml:space="preserve">SBC 190036 </t>
  </si>
  <si>
    <t xml:space="preserve">EMOP 18.016.0060-0 </t>
  </si>
  <si>
    <t xml:space="preserve">ORSE 9676 </t>
  </si>
  <si>
    <t xml:space="preserve">CPOS/CDHU 44.03.300 </t>
  </si>
  <si>
    <t xml:space="preserve">ORSE 9503 </t>
  </si>
  <si>
    <t xml:space="preserve">ORSE 13113 </t>
  </si>
  <si>
    <t xml:space="preserve">SBC 062048 </t>
  </si>
  <si>
    <t xml:space="preserve">Próprio CPU2105 </t>
  </si>
  <si>
    <t xml:space="preserve">Próprio CPU2095 </t>
  </si>
  <si>
    <t xml:space="preserve">ORSE 2087 </t>
  </si>
  <si>
    <t xml:space="preserve">IOPES 170124 </t>
  </si>
  <si>
    <t xml:space="preserve">ORSE 7967 </t>
  </si>
  <si>
    <t xml:space="preserve">SBC 111700 </t>
  </si>
  <si>
    <t xml:space="preserve">CPOS/CDHU 43.10.454 </t>
  </si>
  <si>
    <t xml:space="preserve">ORSE 10324 </t>
  </si>
  <si>
    <t xml:space="preserve">ORSE 8218 </t>
  </si>
  <si>
    <t xml:space="preserve">ORSE 12646 </t>
  </si>
  <si>
    <t xml:space="preserve">ORSE 10900 </t>
  </si>
  <si>
    <t xml:space="preserve">CPOS/CDHU 48.02.207 </t>
  </si>
  <si>
    <t xml:space="preserve">ORSE 12829 </t>
  </si>
  <si>
    <t xml:space="preserve">CPOS/CDHU 47.20.320 </t>
  </si>
  <si>
    <t xml:space="preserve">SEINFRA C0448 </t>
  </si>
  <si>
    <t xml:space="preserve">CPOS/CDHU 48.02.300 </t>
  </si>
  <si>
    <t xml:space="preserve">SEINFRA C2270 </t>
  </si>
  <si>
    <t xml:space="preserve">Próprio CPU2136 </t>
  </si>
  <si>
    <t xml:space="preserve">CPOS/CDHU 46.03.050 </t>
  </si>
  <si>
    <t xml:space="preserve">CPOS/CDHU 46.03.060 </t>
  </si>
  <si>
    <t xml:space="preserve">CPOS/CDHU 46.03.038 </t>
  </si>
  <si>
    <t xml:space="preserve">CPOS/CDHU 46.03.040 </t>
  </si>
  <si>
    <t xml:space="preserve">CPOS/CDHU 46.01.040 </t>
  </si>
  <si>
    <t xml:space="preserve">CPOS/CDHU 46.02.010 </t>
  </si>
  <si>
    <t xml:space="preserve">CPOS/CDHU 46.03.080 </t>
  </si>
  <si>
    <t xml:space="preserve">ORSE 1595 </t>
  </si>
  <si>
    <t xml:space="preserve">CPOS/CDHU 46.05.020 </t>
  </si>
  <si>
    <t xml:space="preserve">CPOS/CDHU 46.01.070 </t>
  </si>
  <si>
    <t xml:space="preserve">CPOS/CDHU 46.05.050 </t>
  </si>
  <si>
    <t xml:space="preserve">CPOS/CDHU 46.05.060 </t>
  </si>
  <si>
    <t xml:space="preserve">CPOS/CDHU 46.05.070 </t>
  </si>
  <si>
    <t xml:space="preserve">Próprio CPU2094 </t>
  </si>
  <si>
    <t xml:space="preserve">Próprio CPU2092 </t>
  </si>
  <si>
    <t xml:space="preserve">Próprio CPU2093 </t>
  </si>
  <si>
    <t xml:space="preserve">ORSE 12889 </t>
  </si>
  <si>
    <t xml:space="preserve">CPOS/CDHU 97.02.195 </t>
  </si>
  <si>
    <t xml:space="preserve">ORSE 12888 </t>
  </si>
  <si>
    <t xml:space="preserve">CPOS/CDHU 97.02.193 </t>
  </si>
  <si>
    <t xml:space="preserve">CPOS/CDHU 97.02.210 </t>
  </si>
  <si>
    <t xml:space="preserve">ORSE 11853 </t>
  </si>
  <si>
    <t xml:space="preserve">ORSE 12895 </t>
  </si>
  <si>
    <t xml:space="preserve">CPOS/CDHU 97.02.198 </t>
  </si>
  <si>
    <t xml:space="preserve">CPOS/CDHU 50.05.430 </t>
  </si>
  <si>
    <t xml:space="preserve">CPOS/CDHU 50.05.210 </t>
  </si>
  <si>
    <t xml:space="preserve">ORSE 11820 </t>
  </si>
  <si>
    <t xml:space="preserve">ORSE 10446 </t>
  </si>
  <si>
    <t xml:space="preserve">CPOS/CDHU 50.05.450 </t>
  </si>
  <si>
    <t xml:space="preserve">CPOS/CDHU 43.10.480 </t>
  </si>
  <si>
    <t xml:space="preserve">SBC 052534 </t>
  </si>
  <si>
    <t xml:space="preserve">SBC 055700 </t>
  </si>
  <si>
    <t xml:space="preserve">ORSE 9925 </t>
  </si>
  <si>
    <t xml:space="preserve">SBC 063445 </t>
  </si>
  <si>
    <t xml:space="preserve">SBC 063444 </t>
  </si>
  <si>
    <t xml:space="preserve">SBC 040395 </t>
  </si>
  <si>
    <t xml:space="preserve">SBC 063111 </t>
  </si>
  <si>
    <t xml:space="preserve">SBC 078583 </t>
  </si>
  <si>
    <t xml:space="preserve">SBC 062690 </t>
  </si>
  <si>
    <t xml:space="preserve">SBC 061426 </t>
  </si>
  <si>
    <t xml:space="preserve">SBC 061461 </t>
  </si>
  <si>
    <t xml:space="preserve">SBC 061462 </t>
  </si>
  <si>
    <t xml:space="preserve">SBC 061465 </t>
  </si>
  <si>
    <t xml:space="preserve">SBC 059208 </t>
  </si>
  <si>
    <t xml:space="preserve">SBC 062568 </t>
  </si>
  <si>
    <t xml:space="preserve">SBC 070483 </t>
  </si>
  <si>
    <t xml:space="preserve">CPOS/CDHU 40.11.240 </t>
  </si>
  <si>
    <t xml:space="preserve">SBC 064035 </t>
  </si>
  <si>
    <t xml:space="preserve">CPOS/CDHU 37.13.780 </t>
  </si>
  <si>
    <t xml:space="preserve">CPOS/CDHU 37.13.770 </t>
  </si>
  <si>
    <t xml:space="preserve">SBC 064564 </t>
  </si>
  <si>
    <t xml:space="preserve">SBC 064563 </t>
  </si>
  <si>
    <t xml:space="preserve">CPOS/CDHU 37.24.042 </t>
  </si>
  <si>
    <t xml:space="preserve">IOPES 151350 </t>
  </si>
  <si>
    <t xml:space="preserve">IOPES 151357 </t>
  </si>
  <si>
    <t xml:space="preserve">SBC 064818 </t>
  </si>
  <si>
    <t xml:space="preserve">SBC 064816 </t>
  </si>
  <si>
    <t xml:space="preserve">ORSE 13149 </t>
  </si>
  <si>
    <t xml:space="preserve">SBC 063612 </t>
  </si>
  <si>
    <t xml:space="preserve">SBC 063746 </t>
  </si>
  <si>
    <t xml:space="preserve">SBC 059412 </t>
  </si>
  <si>
    <t xml:space="preserve">CPOS/CDHU 38.21.310 </t>
  </si>
  <si>
    <t xml:space="preserve">CPOS/CDHU 38.21.320 </t>
  </si>
  <si>
    <t xml:space="preserve">SBC 061129 </t>
  </si>
  <si>
    <t xml:space="preserve">SBC 063541 </t>
  </si>
  <si>
    <t xml:space="preserve">ORSE 12488 </t>
  </si>
  <si>
    <t xml:space="preserve">ORSE 12574 </t>
  </si>
  <si>
    <t xml:space="preserve">SBC 063743 </t>
  </si>
  <si>
    <t xml:space="preserve">SBC 063617 </t>
  </si>
  <si>
    <t xml:space="preserve">CPOS/CDHU 38.04.080 </t>
  </si>
  <si>
    <t xml:space="preserve">ORSE 8662 </t>
  </si>
  <si>
    <t xml:space="preserve">ORSE 12225 </t>
  </si>
  <si>
    <t xml:space="preserve">SBC 064203 </t>
  </si>
  <si>
    <t xml:space="preserve">ORSE 12233 </t>
  </si>
  <si>
    <t xml:space="preserve">SBC 064204 </t>
  </si>
  <si>
    <t xml:space="preserve">CPOS/CDHU 50.05.312 </t>
  </si>
  <si>
    <t xml:space="preserve">CPOS/CDHU 41.11.090 </t>
  </si>
  <si>
    <t xml:space="preserve">SBC 060496 </t>
  </si>
  <si>
    <t xml:space="preserve">CPOS/CDHU 41.31.040 </t>
  </si>
  <si>
    <t xml:space="preserve">SBC 060509 </t>
  </si>
  <si>
    <t xml:space="preserve">CPOS/CDHU 41.31.087 </t>
  </si>
  <si>
    <t xml:space="preserve">ORSE 12807 </t>
  </si>
  <si>
    <t xml:space="preserve">ORSE 11273 </t>
  </si>
  <si>
    <t xml:space="preserve">SBC 078206 </t>
  </si>
  <si>
    <t xml:space="preserve">SBC 078212 </t>
  </si>
  <si>
    <t xml:space="preserve">SBC 070199 </t>
  </si>
  <si>
    <t xml:space="preserve">CPOS/CDHU 32.11.150 </t>
  </si>
  <si>
    <t xml:space="preserve">SBC 190891 </t>
  </si>
  <si>
    <t xml:space="preserve">SBC 070970 </t>
  </si>
  <si>
    <t xml:space="preserve">CPOS/CDHU 47.20.330 </t>
  </si>
  <si>
    <t xml:space="preserve">SBC 070607 </t>
  </si>
  <si>
    <t xml:space="preserve">SBC 070450 </t>
  </si>
  <si>
    <t xml:space="preserve">SBC 070356 </t>
  </si>
  <si>
    <t xml:space="preserve">SBC 070147 </t>
  </si>
  <si>
    <t xml:space="preserve">SBC 070128 </t>
  </si>
  <si>
    <t xml:space="preserve">SBC 070082 </t>
  </si>
  <si>
    <t xml:space="preserve">SBC 070144 </t>
  </si>
  <si>
    <t xml:space="preserve">ORSE 11393 </t>
  </si>
  <si>
    <t xml:space="preserve">ORSE 11391 </t>
  </si>
  <si>
    <t xml:space="preserve">ORSE 11394 </t>
  </si>
  <si>
    <t xml:space="preserve">ORSE 11395 </t>
  </si>
  <si>
    <t xml:space="preserve">CPOS/CDHU 46.21.060 </t>
  </si>
  <si>
    <t xml:space="preserve">CPOS/CDHU 46.21.080 </t>
  </si>
  <si>
    <t xml:space="preserve">SBC 070667 </t>
  </si>
  <si>
    <t xml:space="preserve">SBC 070668 </t>
  </si>
  <si>
    <t xml:space="preserve">SBC 070669 </t>
  </si>
  <si>
    <t xml:space="preserve">SBC 070662 </t>
  </si>
  <si>
    <t xml:space="preserve">SBC 070665 </t>
  </si>
  <si>
    <t xml:space="preserve">EMOP 15.005.0280-0 </t>
  </si>
  <si>
    <t xml:space="preserve">EMOP 15.005.0253-0 </t>
  </si>
  <si>
    <t xml:space="preserve">SBC 070230 </t>
  </si>
  <si>
    <t xml:space="preserve">SBC 070359 </t>
  </si>
  <si>
    <t xml:space="preserve">SBC 070373 </t>
  </si>
  <si>
    <t xml:space="preserve">SBC 073422 </t>
  </si>
  <si>
    <t xml:space="preserve">SBC 073423 </t>
  </si>
  <si>
    <t xml:space="preserve">SBC 070492 </t>
  </si>
  <si>
    <t xml:space="preserve">SBC 070493 </t>
  </si>
  <si>
    <t xml:space="preserve">SBC 070339 </t>
  </si>
  <si>
    <t xml:space="preserve">ORSE 11392 </t>
  </si>
  <si>
    <t xml:space="preserve">SBC 070198 </t>
  </si>
  <si>
    <t xml:space="preserve">CPOS/CDHU 61.10.001 </t>
  </si>
  <si>
    <t xml:space="preserve">CPOS/CDHU 61.10.012 </t>
  </si>
  <si>
    <t xml:space="preserve">CPOS/CDHU 43.10.250 </t>
  </si>
  <si>
    <t xml:space="preserve">Próprio CPU2139 </t>
  </si>
  <si>
    <t xml:space="preserve">CPOS/CDHU 61.10.100 </t>
  </si>
  <si>
    <t xml:space="preserve">Próprio CPU2141 </t>
  </si>
  <si>
    <t xml:space="preserve">Próprio CPU2142 </t>
  </si>
  <si>
    <t xml:space="preserve">Próprio CPU2143 </t>
  </si>
  <si>
    <t xml:space="preserve">Próprio CPU2144 </t>
  </si>
  <si>
    <t xml:space="preserve">Próprio CPU2145 </t>
  </si>
  <si>
    <t xml:space="preserve">Próprio CPU2146 </t>
  </si>
  <si>
    <t xml:space="preserve">CPOS/CDHU 61.10.101 </t>
  </si>
  <si>
    <t xml:space="preserve">Próprio CPU2150 </t>
  </si>
  <si>
    <t xml:space="preserve">Próprio CPU2151 </t>
  </si>
  <si>
    <t xml:space="preserve">Próprio CPU2152 </t>
  </si>
  <si>
    <t xml:space="preserve">Próprio CPU2153 </t>
  </si>
  <si>
    <t xml:space="preserve">Próprio CPU2154 </t>
  </si>
  <si>
    <t xml:space="preserve">Próprio CPU2155 </t>
  </si>
  <si>
    <t xml:space="preserve">Próprio CPU2156 </t>
  </si>
  <si>
    <t xml:space="preserve">Próprio CPU2157 </t>
  </si>
  <si>
    <t xml:space="preserve">Próprio CPU2158 </t>
  </si>
  <si>
    <t xml:space="preserve">Próprio CPU2159 </t>
  </si>
  <si>
    <t xml:space="preserve">Próprio CPU2160 </t>
  </si>
  <si>
    <t xml:space="preserve">Próprio CPU2161 </t>
  </si>
  <si>
    <t xml:space="preserve">Próprio CPU2162 </t>
  </si>
  <si>
    <t xml:space="preserve">Próprio CPU2163 </t>
  </si>
  <si>
    <t xml:space="preserve">Próprio CPU2164 </t>
  </si>
  <si>
    <t xml:space="preserve">Próprio CPU2165 </t>
  </si>
  <si>
    <t xml:space="preserve">Próprio CPU2166 </t>
  </si>
  <si>
    <t xml:space="preserve">Próprio CPU2167 </t>
  </si>
  <si>
    <t xml:space="preserve">Próprio CPU2168 </t>
  </si>
  <si>
    <t xml:space="preserve">Próprio CPU2169 </t>
  </si>
  <si>
    <t xml:space="preserve">Próprio CPU2170 </t>
  </si>
  <si>
    <t xml:space="preserve">Próprio CPU2171 </t>
  </si>
  <si>
    <t xml:space="preserve">Próprio CPU2172 </t>
  </si>
  <si>
    <t xml:space="preserve">Próprio CPU2173 </t>
  </si>
  <si>
    <t xml:space="preserve">Próprio CPU2174 </t>
  </si>
  <si>
    <t xml:space="preserve">Próprio CPU2175 </t>
  </si>
  <si>
    <t xml:space="preserve">Próprio CPU2176 </t>
  </si>
  <si>
    <t xml:space="preserve">Próprio CPU2177 </t>
  </si>
  <si>
    <t xml:space="preserve">Próprio CPU2178 </t>
  </si>
  <si>
    <t xml:space="preserve">Próprio CPU2179 </t>
  </si>
  <si>
    <t xml:space="preserve">Próprio CPU2180 </t>
  </si>
  <si>
    <t xml:space="preserve">CPOS/CDHU 69.20.340 </t>
  </si>
  <si>
    <t xml:space="preserve">SBC 062571 </t>
  </si>
  <si>
    <t xml:space="preserve">EMOP 15.018.0822-0 </t>
  </si>
  <si>
    <t xml:space="preserve">SBC 061108 </t>
  </si>
  <si>
    <t xml:space="preserve">CPOS/CDHU 38.23.110 </t>
  </si>
  <si>
    <t xml:space="preserve">EMOP 15.018.0952-0 </t>
  </si>
  <si>
    <t xml:space="preserve">ORSE 7835 </t>
  </si>
  <si>
    <t xml:space="preserve">ORSE 8734 </t>
  </si>
  <si>
    <t xml:space="preserve">EMOP 18.050.0100-0 </t>
  </si>
  <si>
    <t xml:space="preserve">ORSE 12313 </t>
  </si>
  <si>
    <t xml:space="preserve">ORSE 11218 </t>
  </si>
  <si>
    <t xml:space="preserve">EMOP 18.050.0005-A </t>
  </si>
  <si>
    <t xml:space="preserve">EMOP 18.050.0050-A </t>
  </si>
  <si>
    <t xml:space="preserve">SBC 080615 </t>
  </si>
  <si>
    <t xml:space="preserve">ORSE 12043 </t>
  </si>
  <si>
    <t xml:space="preserve">ORSE 2451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</si>
</sst>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[$-416]mmmm\-yy"/>
    <numFmt numFmtId="165" formatCode="_-* #,##0.00_-;\-* #,##0.00_-;_-* &quot;-&quot;??_-;_-@"/>
    <numFmt numFmtId="166" formatCode="_-&quot;R$&quot;\ * #,##0.00_-;\-&quot;R$&quot;\ * #,##0.00_-;_-&quot;R$&quot;\ * &quot;-&quot;??_-;_-@"/>
    <numFmt numFmtId="167" formatCode="&quot;R$&quot;\ #,##0.00"/>
    <numFmt numFmtId="168" formatCode="#,##0.00\ %"/>
    <numFmt numFmtId="169" formatCode="#,##0.0000000"/>
  </numFmts>
  <fonts count="33" x14ac:knownFonts="1">
    <font>
      <sz val="11"/>
      <color theme="1"/>
      <name val="Arial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6"/>
      <color theme="1"/>
      <name val="Arial"/>
      <family val="2"/>
    </font>
    <font>
      <b/>
      <sz val="17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0"/>
      <name val="Arial"/>
      <family val="2"/>
    </font>
    <font>
      <sz val="12"/>
      <color rgb="FF000000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0"/>
      <color theme="0"/>
      <name val="Arial"/>
      <family val="2"/>
    </font>
    <font>
      <b/>
      <sz val="10"/>
      <color rgb="FFFFFFFF"/>
      <name val="Arial"/>
      <family val="2"/>
    </font>
    <font>
      <sz val="11"/>
      <color theme="1"/>
      <name val="Arial"/>
      <family val="2"/>
      <scheme val="minor"/>
    </font>
    <font>
      <sz val="10"/>
      <color rgb="FF000000"/>
      <name val="Arial"/>
      <family val="1"/>
    </font>
    <font>
      <b/>
      <sz val="10"/>
      <name val="Arial"/>
      <family val="1"/>
    </font>
    <font>
      <sz val="10"/>
      <name val="Arial"/>
      <family val="1"/>
    </font>
    <font>
      <b/>
      <sz val="11"/>
      <name val="Arial"/>
      <family val="1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2"/>
      <color theme="1"/>
      <name val="Arial"/>
      <family val="2"/>
    </font>
    <font>
      <sz val="8"/>
      <name val="Arial"/>
      <family val="2"/>
      <scheme val="minor"/>
    </font>
    <font>
      <b/>
      <sz val="11"/>
      <color rgb="FF000000"/>
      <name val="Arial"/>
      <family val="1"/>
    </font>
    <font>
      <sz val="11"/>
      <color rgb="FF000000"/>
      <name val="Arial"/>
      <family val="1"/>
    </font>
    <font>
      <sz val="10"/>
      <color theme="1"/>
      <name val="Arial"/>
      <family val="2"/>
    </font>
    <font>
      <sz val="11"/>
      <name val="Arial"/>
      <family val="1"/>
    </font>
    <font>
      <b/>
      <sz val="12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51F3A"/>
        <bgColor rgb="FF151F3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8ECF6"/>
      </patternFill>
    </fill>
    <fill>
      <patternFill patternType="solid">
        <fgColor rgb="FFDFF0D8"/>
      </patternFill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EFEFEF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9" fillId="0" borderId="0" applyFont="0" applyFill="0" applyBorder="0" applyAlignment="0" applyProtection="0"/>
  </cellStyleXfs>
  <cellXfs count="35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49" fontId="9" fillId="0" borderId="4" xfId="0" applyNumberFormat="1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6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49" fontId="10" fillId="0" borderId="2" xfId="0" applyNumberFormat="1" applyFont="1" applyBorder="1" applyAlignment="1">
      <alignment vertical="center"/>
    </xf>
    <xf numFmtId="49" fontId="10" fillId="0" borderId="3" xfId="0" applyNumberFormat="1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left" vertical="center" wrapText="1"/>
    </xf>
    <xf numFmtId="49" fontId="12" fillId="0" borderId="1" xfId="0" applyNumberFormat="1" applyFont="1" applyBorder="1" applyAlignment="1">
      <alignment vertical="center"/>
    </xf>
    <xf numFmtId="164" fontId="12" fillId="0" borderId="11" xfId="0" applyNumberFormat="1" applyFont="1" applyBorder="1" applyAlignment="1">
      <alignment horizontal="left" vertical="center"/>
    </xf>
    <xf numFmtId="49" fontId="10" fillId="0" borderId="9" xfId="0" applyNumberFormat="1" applyFont="1" applyBorder="1" applyAlignment="1">
      <alignment vertical="center"/>
    </xf>
    <xf numFmtId="49" fontId="10" fillId="0" borderId="12" xfId="0" applyNumberFormat="1" applyFont="1" applyBorder="1" applyAlignment="1">
      <alignment vertical="center"/>
    </xf>
    <xf numFmtId="10" fontId="12" fillId="0" borderId="11" xfId="0" applyNumberFormat="1" applyFont="1" applyBorder="1" applyAlignment="1">
      <alignment horizontal="left" vertical="center"/>
    </xf>
    <xf numFmtId="4" fontId="12" fillId="0" borderId="11" xfId="0" applyNumberFormat="1" applyFont="1" applyBorder="1" applyAlignment="1">
      <alignment horizontal="left" vertical="center"/>
    </xf>
    <xf numFmtId="49" fontId="10" fillId="0" borderId="11" xfId="0" applyNumberFormat="1" applyFont="1" applyBorder="1" applyAlignment="1">
      <alignment vertical="center"/>
    </xf>
    <xf numFmtId="0" fontId="6" fillId="0" borderId="10" xfId="0" applyFont="1" applyBorder="1" applyAlignment="1">
      <alignment horizontal="right" vertical="center" wrapText="1"/>
    </xf>
    <xf numFmtId="0" fontId="6" fillId="0" borderId="0" xfId="0" applyFont="1" applyAlignment="1">
      <alignment horizontal="right" vertical="center"/>
    </xf>
    <xf numFmtId="49" fontId="10" fillId="0" borderId="0" xfId="0" applyNumberFormat="1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49" fontId="10" fillId="0" borderId="2" xfId="0" applyNumberFormat="1" applyFont="1" applyBorder="1" applyAlignment="1">
      <alignment wrapText="1"/>
    </xf>
    <xf numFmtId="0" fontId="10" fillId="0" borderId="2" xfId="0" applyFont="1" applyBorder="1"/>
    <xf numFmtId="0" fontId="10" fillId="0" borderId="3" xfId="0" applyFont="1" applyBorder="1"/>
    <xf numFmtId="0" fontId="10" fillId="0" borderId="4" xfId="0" applyFont="1" applyBorder="1"/>
    <xf numFmtId="0" fontId="10" fillId="0" borderId="0" xfId="0" applyFont="1"/>
    <xf numFmtId="0" fontId="10" fillId="0" borderId="5" xfId="0" applyFont="1" applyBorder="1"/>
    <xf numFmtId="0" fontId="10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5" fontId="3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5" fontId="6" fillId="0" borderId="0" xfId="0" applyNumberFormat="1" applyFont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49" fontId="1" fillId="0" borderId="4" xfId="0" applyNumberFormat="1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>
      <alignment horizontal="left" vertical="center" wrapText="1"/>
    </xf>
    <xf numFmtId="49" fontId="1" fillId="0" borderId="5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49" fontId="8" fillId="0" borderId="5" xfId="0" applyNumberFormat="1" applyFont="1" applyBorder="1" applyAlignment="1">
      <alignment horizontal="left" vertical="center"/>
    </xf>
    <xf numFmtId="0" fontId="1" fillId="0" borderId="7" xfId="0" applyFont="1" applyBorder="1"/>
    <xf numFmtId="0" fontId="1" fillId="0" borderId="8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 wrapText="1"/>
    </xf>
    <xf numFmtId="10" fontId="13" fillId="2" borderId="10" xfId="0" applyNumberFormat="1" applyFont="1" applyFill="1" applyBorder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66" fontId="6" fillId="0" borderId="12" xfId="0" applyNumberFormat="1" applyFont="1" applyBorder="1" applyAlignment="1">
      <alignment horizontal="center" vertical="center"/>
    </xf>
    <xf numFmtId="166" fontId="10" fillId="0" borderId="12" xfId="0" applyNumberFormat="1" applyFont="1" applyBorder="1" applyAlignment="1">
      <alignment horizontal="center" vertical="center"/>
    </xf>
    <xf numFmtId="10" fontId="10" fillId="0" borderId="10" xfId="0" applyNumberFormat="1" applyFont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166" fontId="13" fillId="2" borderId="10" xfId="0" applyNumberFormat="1" applyFont="1" applyFill="1" applyBorder="1" applyAlignment="1">
      <alignment horizontal="center" vertical="center"/>
    </xf>
    <xf numFmtId="166" fontId="1" fillId="0" borderId="0" xfId="0" applyNumberFormat="1" applyFont="1"/>
    <xf numFmtId="0" fontId="2" fillId="0" borderId="1" xfId="0" quotePrefix="1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66" fontId="6" fillId="0" borderId="0" xfId="0" applyNumberFormat="1" applyFont="1" applyAlignment="1">
      <alignment vertical="center"/>
    </xf>
    <xf numFmtId="0" fontId="6" fillId="0" borderId="6" xfId="0" applyFont="1" applyBorder="1" applyAlignment="1">
      <alignment horizontal="left" vertical="center"/>
    </xf>
    <xf numFmtId="0" fontId="10" fillId="0" borderId="1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166" fontId="15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4" fontId="6" fillId="0" borderId="0" xfId="0" applyNumberFormat="1" applyFont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0" fontId="8" fillId="0" borderId="2" xfId="0" applyFont="1" applyBorder="1" applyAlignment="1">
      <alignment vertical="center" wrapText="1"/>
    </xf>
    <xf numFmtId="4" fontId="1" fillId="0" borderId="2" xfId="0" applyNumberFormat="1" applyFont="1" applyBorder="1" applyAlignment="1">
      <alignment vertical="center"/>
    </xf>
    <xf numFmtId="165" fontId="8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8" fillId="0" borderId="0" xfId="0" applyFont="1" applyAlignment="1">
      <alignment vertical="center" wrapText="1"/>
    </xf>
    <xf numFmtId="4" fontId="1" fillId="0" borderId="0" xfId="0" applyNumberFormat="1" applyFont="1" applyAlignment="1">
      <alignment vertical="center"/>
    </xf>
    <xf numFmtId="10" fontId="1" fillId="0" borderId="0" xfId="0" applyNumberFormat="1" applyFont="1" applyAlignment="1">
      <alignment horizontal="left" vertical="center"/>
    </xf>
    <xf numFmtId="165" fontId="8" fillId="0" borderId="0" xfId="0" applyNumberFormat="1" applyFont="1" applyAlignment="1">
      <alignment vertical="center"/>
    </xf>
    <xf numFmtId="0" fontId="1" fillId="0" borderId="5" xfId="0" applyFont="1" applyBorder="1" applyAlignment="1">
      <alignment vertical="center"/>
    </xf>
    <xf numFmtId="4" fontId="8" fillId="0" borderId="0" xfId="0" applyNumberFormat="1" applyFont="1" applyAlignment="1">
      <alignment vertical="center"/>
    </xf>
    <xf numFmtId="49" fontId="1" fillId="0" borderId="4" xfId="0" applyNumberFormat="1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8" fillId="0" borderId="5" xfId="0" applyNumberFormat="1" applyFont="1" applyBorder="1" applyAlignment="1">
      <alignment vertical="center"/>
    </xf>
    <xf numFmtId="49" fontId="1" fillId="0" borderId="6" xfId="0" applyNumberFormat="1" applyFont="1" applyBorder="1" applyAlignment="1">
      <alignment horizontal="left" vertical="center"/>
    </xf>
    <xf numFmtId="0" fontId="8" fillId="0" borderId="7" xfId="0" applyFont="1" applyBorder="1" applyAlignment="1">
      <alignment vertical="center" wrapText="1"/>
    </xf>
    <xf numFmtId="4" fontId="1" fillId="0" borderId="7" xfId="0" applyNumberFormat="1" applyFont="1" applyBorder="1" applyAlignment="1">
      <alignment vertical="center"/>
    </xf>
    <xf numFmtId="165" fontId="8" fillId="0" borderId="7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49" fontId="1" fillId="0" borderId="8" xfId="0" applyNumberFormat="1" applyFont="1" applyBorder="1" applyAlignment="1">
      <alignment vertical="center"/>
    </xf>
    <xf numFmtId="165" fontId="6" fillId="0" borderId="0" xfId="0" applyNumberFormat="1" applyFont="1" applyAlignment="1">
      <alignment horizontal="center" vertical="center" wrapText="1"/>
    </xf>
    <xf numFmtId="10" fontId="6" fillId="0" borderId="0" xfId="0" applyNumberFormat="1" applyFont="1" applyAlignment="1">
      <alignment horizontal="center" vertical="center" wrapText="1"/>
    </xf>
    <xf numFmtId="4" fontId="14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4" fontId="6" fillId="0" borderId="0" xfId="0" applyNumberFormat="1" applyFont="1" applyAlignment="1">
      <alignment vertical="center"/>
    </xf>
    <xf numFmtId="0" fontId="6" fillId="3" borderId="17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right" vertical="center" wrapText="1"/>
    </xf>
    <xf numFmtId="49" fontId="10" fillId="3" borderId="16" xfId="0" applyNumberFormat="1" applyFont="1" applyFill="1" applyBorder="1" applyAlignment="1">
      <alignment horizontal="center" vertical="center" wrapText="1"/>
    </xf>
    <xf numFmtId="0" fontId="10" fillId="3" borderId="16" xfId="0" applyFont="1" applyFill="1" applyBorder="1" applyAlignment="1">
      <alignment horizontal="center" vertical="center" wrapText="1"/>
    </xf>
    <xf numFmtId="4" fontId="6" fillId="3" borderId="16" xfId="0" applyNumberFormat="1" applyFont="1" applyFill="1" applyBorder="1" applyAlignment="1">
      <alignment horizontal="center" vertical="center" wrapText="1"/>
    </xf>
    <xf numFmtId="4" fontId="10" fillId="0" borderId="7" xfId="0" applyNumberFormat="1" applyFont="1" applyBorder="1" applyAlignment="1">
      <alignment horizontal="center" vertical="center" wrapText="1"/>
    </xf>
    <xf numFmtId="165" fontId="10" fillId="3" borderId="16" xfId="0" applyNumberFormat="1" applyFont="1" applyFill="1" applyBorder="1" applyAlignment="1">
      <alignment horizontal="center" vertical="center" wrapText="1"/>
    </xf>
    <xf numFmtId="167" fontId="10" fillId="3" borderId="16" xfId="0" applyNumberFormat="1" applyFont="1" applyFill="1" applyBorder="1" applyAlignment="1">
      <alignment horizontal="center" vertical="center" wrapText="1"/>
    </xf>
    <xf numFmtId="10" fontId="10" fillId="3" borderId="16" xfId="0" applyNumberFormat="1" applyFont="1" applyFill="1" applyBorder="1" applyAlignment="1">
      <alignment horizontal="center" vertical="center" wrapText="1"/>
    </xf>
    <xf numFmtId="10" fontId="6" fillId="0" borderId="0" xfId="0" applyNumberFormat="1" applyFont="1" applyAlignment="1">
      <alignment vertical="center"/>
    </xf>
    <xf numFmtId="0" fontId="10" fillId="3" borderId="17" xfId="0" applyFont="1" applyFill="1" applyBorder="1" applyAlignment="1">
      <alignment horizontal="center" vertical="center"/>
    </xf>
    <xf numFmtId="4" fontId="10" fillId="0" borderId="0" xfId="0" applyNumberFormat="1" applyFont="1" applyAlignment="1">
      <alignment vertical="center"/>
    </xf>
    <xf numFmtId="167" fontId="6" fillId="3" borderId="17" xfId="0" applyNumberFormat="1" applyFont="1" applyFill="1" applyBorder="1" applyAlignment="1">
      <alignment horizontal="center" vertical="center"/>
    </xf>
    <xf numFmtId="167" fontId="14" fillId="0" borderId="0" xfId="0" applyNumberFormat="1" applyFont="1" applyAlignment="1">
      <alignment horizontal="center" vertical="center"/>
    </xf>
    <xf numFmtId="167" fontId="6" fillId="0" borderId="0" xfId="0" applyNumberFormat="1" applyFont="1" applyAlignment="1">
      <alignment vertical="center"/>
    </xf>
    <xf numFmtId="4" fontId="14" fillId="0" borderId="0" xfId="0" applyNumberFormat="1" applyFont="1" applyAlignment="1">
      <alignment vertical="center"/>
    </xf>
    <xf numFmtId="0" fontId="11" fillId="3" borderId="17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8" fillId="4" borderId="10" xfId="0" applyFont="1" applyFill="1" applyBorder="1" applyAlignment="1">
      <alignment horizontal="left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5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6" fillId="0" borderId="33" xfId="0" applyFont="1" applyBorder="1" applyAlignment="1">
      <alignment horizontal="center" vertical="center"/>
    </xf>
    <xf numFmtId="0" fontId="6" fillId="0" borderId="33" xfId="0" applyFont="1" applyBorder="1" applyAlignment="1">
      <alignment horizontal="left" vertical="center"/>
    </xf>
    <xf numFmtId="0" fontId="6" fillId="0" borderId="34" xfId="0" applyFont="1" applyBorder="1" applyAlignment="1">
      <alignment horizontal="center" vertical="center"/>
    </xf>
    <xf numFmtId="0" fontId="6" fillId="0" borderId="34" xfId="0" applyFont="1" applyBorder="1" applyAlignment="1">
      <alignment horizontal="left" vertical="center"/>
    </xf>
    <xf numFmtId="10" fontId="6" fillId="0" borderId="34" xfId="0" applyNumberFormat="1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5" xfId="0" applyFont="1" applyBorder="1" applyAlignment="1">
      <alignment horizontal="left" vertical="center"/>
    </xf>
    <xf numFmtId="10" fontId="10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4" fillId="0" borderId="0" xfId="0" applyFont="1"/>
    <xf numFmtId="0" fontId="6" fillId="0" borderId="0" xfId="0" applyFont="1" applyAlignment="1">
      <alignment vertical="top" wrapText="1"/>
    </xf>
    <xf numFmtId="0" fontId="6" fillId="0" borderId="4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5" xfId="0" applyFont="1" applyBorder="1" applyAlignment="1">
      <alignment wrapText="1"/>
    </xf>
    <xf numFmtId="0" fontId="10" fillId="5" borderId="10" xfId="0" applyFont="1" applyFill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10" fontId="6" fillId="0" borderId="36" xfId="0" applyNumberFormat="1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10" fontId="6" fillId="0" borderId="35" xfId="0" applyNumberFormat="1" applyFont="1" applyBorder="1" applyAlignment="1">
      <alignment horizontal="center" vertical="center"/>
    </xf>
    <xf numFmtId="0" fontId="10" fillId="5" borderId="38" xfId="0" applyFont="1" applyFill="1" applyBorder="1" applyAlignment="1">
      <alignment horizontal="center" vertical="center"/>
    </xf>
    <xf numFmtId="10" fontId="10" fillId="5" borderId="10" xfId="0" applyNumberFormat="1" applyFont="1" applyFill="1" applyBorder="1" applyAlignment="1">
      <alignment horizontal="center" vertical="center"/>
    </xf>
    <xf numFmtId="0" fontId="10" fillId="5" borderId="39" xfId="0" applyFont="1" applyFill="1" applyBorder="1" applyAlignment="1">
      <alignment horizontal="center" vertical="center"/>
    </xf>
    <xf numFmtId="10" fontId="10" fillId="5" borderId="39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top" wrapText="1"/>
    </xf>
    <xf numFmtId="49" fontId="1" fillId="0" borderId="0" xfId="0" applyNumberFormat="1" applyFont="1"/>
    <xf numFmtId="0" fontId="17" fillId="2" borderId="39" xfId="0" applyFont="1" applyFill="1" applyBorder="1" applyAlignment="1">
      <alignment horizontal="center" vertical="center" wrapText="1"/>
    </xf>
    <xf numFmtId="49" fontId="18" fillId="2" borderId="39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10" xfId="0" applyFont="1" applyBorder="1" applyAlignment="1">
      <alignment horizontal="center" vertical="center"/>
    </xf>
    <xf numFmtId="49" fontId="11" fillId="0" borderId="10" xfId="0" applyNumberFormat="1" applyFont="1" applyBorder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 wrapText="1"/>
    </xf>
    <xf numFmtId="49" fontId="11" fillId="0" borderId="0" xfId="0" applyNumberFormat="1" applyFont="1" applyAlignment="1">
      <alignment vertical="center" wrapText="1"/>
    </xf>
    <xf numFmtId="0" fontId="5" fillId="0" borderId="12" xfId="0" applyFont="1" applyBorder="1"/>
    <xf numFmtId="0" fontId="20" fillId="7" borderId="20" xfId="0" applyFont="1" applyFill="1" applyBorder="1" applyAlignment="1">
      <alignment horizontal="left" vertical="top" wrapText="1"/>
    </xf>
    <xf numFmtId="0" fontId="20" fillId="7" borderId="20" xfId="0" applyFont="1" applyFill="1" applyBorder="1" applyAlignment="1">
      <alignment horizontal="right" vertical="top" wrapText="1"/>
    </xf>
    <xf numFmtId="0" fontId="20" fillId="7" borderId="20" xfId="0" applyFont="1" applyFill="1" applyBorder="1" applyAlignment="1">
      <alignment horizontal="center" vertical="top" wrapText="1"/>
    </xf>
    <xf numFmtId="4" fontId="20" fillId="7" borderId="20" xfId="0" applyNumberFormat="1" applyFont="1" applyFill="1" applyBorder="1" applyAlignment="1">
      <alignment horizontal="right" vertical="top" wrapText="1"/>
    </xf>
    <xf numFmtId="0" fontId="23" fillId="8" borderId="20" xfId="0" applyFont="1" applyFill="1" applyBorder="1" applyAlignment="1">
      <alignment horizontal="left" vertical="top" wrapText="1"/>
    </xf>
    <xf numFmtId="0" fontId="23" fillId="8" borderId="20" xfId="0" applyFont="1" applyFill="1" applyBorder="1" applyAlignment="1">
      <alignment horizontal="right" vertical="top" wrapText="1"/>
    </xf>
    <xf numFmtId="0" fontId="23" fillId="8" borderId="20" xfId="0" applyFont="1" applyFill="1" applyBorder="1" applyAlignment="1">
      <alignment horizontal="center" vertical="top" wrapText="1"/>
    </xf>
    <xf numFmtId="169" fontId="20" fillId="7" borderId="20" xfId="0" applyNumberFormat="1" applyFont="1" applyFill="1" applyBorder="1" applyAlignment="1">
      <alignment horizontal="right" vertical="top" wrapText="1"/>
    </xf>
    <xf numFmtId="0" fontId="22" fillId="9" borderId="20" xfId="0" applyFont="1" applyFill="1" applyBorder="1" applyAlignment="1">
      <alignment horizontal="left" vertical="top" wrapText="1"/>
    </xf>
    <xf numFmtId="0" fontId="22" fillId="9" borderId="20" xfId="0" applyFont="1" applyFill="1" applyBorder="1" applyAlignment="1">
      <alignment horizontal="right" vertical="top" wrapText="1"/>
    </xf>
    <xf numFmtId="0" fontId="22" fillId="9" borderId="20" xfId="0" applyFont="1" applyFill="1" applyBorder="1" applyAlignment="1">
      <alignment horizontal="center" vertical="top" wrapText="1"/>
    </xf>
    <xf numFmtId="169" fontId="22" fillId="9" borderId="20" xfId="0" applyNumberFormat="1" applyFont="1" applyFill="1" applyBorder="1" applyAlignment="1">
      <alignment horizontal="right" vertical="top" wrapText="1"/>
    </xf>
    <xf numFmtId="4" fontId="22" fillId="9" borderId="20" xfId="0" applyNumberFormat="1" applyFont="1" applyFill="1" applyBorder="1" applyAlignment="1">
      <alignment horizontal="right" vertical="top" wrapText="1"/>
    </xf>
    <xf numFmtId="0" fontId="22" fillId="8" borderId="0" xfId="0" applyFont="1" applyFill="1" applyAlignment="1">
      <alignment horizontal="right" vertical="top" wrapText="1"/>
    </xf>
    <xf numFmtId="4" fontId="22" fillId="8" borderId="0" xfId="0" applyNumberFormat="1" applyFont="1" applyFill="1" applyAlignment="1">
      <alignment horizontal="right" vertical="top" wrapText="1"/>
    </xf>
    <xf numFmtId="0" fontId="20" fillId="7" borderId="31" xfId="0" applyFont="1" applyFill="1" applyBorder="1" applyAlignment="1">
      <alignment horizontal="left" vertical="top" wrapText="1"/>
    </xf>
    <xf numFmtId="0" fontId="22" fillId="10" borderId="20" xfId="0" applyFont="1" applyFill="1" applyBorder="1" applyAlignment="1">
      <alignment horizontal="left" vertical="top" wrapText="1"/>
    </xf>
    <xf numFmtId="0" fontId="22" fillId="10" borderId="20" xfId="0" applyFont="1" applyFill="1" applyBorder="1" applyAlignment="1">
      <alignment horizontal="right" vertical="top" wrapText="1"/>
    </xf>
    <xf numFmtId="0" fontId="22" fillId="10" borderId="20" xfId="0" applyFont="1" applyFill="1" applyBorder="1" applyAlignment="1">
      <alignment horizontal="center" vertical="top" wrapText="1"/>
    </xf>
    <xf numFmtId="169" fontId="22" fillId="10" borderId="20" xfId="0" applyNumberFormat="1" applyFont="1" applyFill="1" applyBorder="1" applyAlignment="1">
      <alignment horizontal="right" vertical="top" wrapText="1"/>
    </xf>
    <xf numFmtId="4" fontId="22" fillId="10" borderId="20" xfId="0" applyNumberFormat="1" applyFont="1" applyFill="1" applyBorder="1" applyAlignment="1">
      <alignment horizontal="right" vertical="top" wrapText="1"/>
    </xf>
    <xf numFmtId="0" fontId="8" fillId="0" borderId="22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43" fontId="6" fillId="0" borderId="0" xfId="1" applyFont="1" applyAlignment="1">
      <alignment horizontal="center" vertical="center"/>
    </xf>
    <xf numFmtId="43" fontId="8" fillId="0" borderId="2" xfId="1" applyFont="1" applyBorder="1" applyAlignment="1">
      <alignment vertical="center"/>
    </xf>
    <xf numFmtId="43" fontId="1" fillId="0" borderId="0" xfId="1" applyFont="1" applyAlignment="1">
      <alignment vertical="center"/>
    </xf>
    <xf numFmtId="43" fontId="8" fillId="0" borderId="0" xfId="1" applyFont="1" applyAlignment="1">
      <alignment vertical="center"/>
    </xf>
    <xf numFmtId="43" fontId="8" fillId="0" borderId="7" xfId="1" applyFont="1" applyBorder="1" applyAlignment="1">
      <alignment vertical="center"/>
    </xf>
    <xf numFmtId="43" fontId="6" fillId="0" borderId="0" xfId="1" applyFont="1" applyAlignment="1">
      <alignment vertical="center"/>
    </xf>
    <xf numFmtId="43" fontId="10" fillId="3" borderId="16" xfId="1" applyFont="1" applyFill="1" applyBorder="1" applyAlignment="1">
      <alignment horizontal="center" vertical="center" wrapText="1"/>
    </xf>
    <xf numFmtId="0" fontId="10" fillId="3" borderId="29" xfId="0" applyFont="1" applyFill="1" applyBorder="1" applyAlignment="1">
      <alignment horizontal="center" vertical="center" wrapText="1"/>
    </xf>
    <xf numFmtId="0" fontId="24" fillId="0" borderId="4" xfId="0" applyFont="1" applyBorder="1" applyAlignment="1">
      <alignment horizontal="left" vertical="center"/>
    </xf>
    <xf numFmtId="0" fontId="25" fillId="0" borderId="4" xfId="0" applyFont="1" applyBorder="1" applyAlignment="1">
      <alignment vertical="center"/>
    </xf>
    <xf numFmtId="0" fontId="21" fillId="8" borderId="0" xfId="0" applyFont="1" applyFill="1" applyAlignment="1">
      <alignment vertical="top" wrapText="1"/>
    </xf>
    <xf numFmtId="49" fontId="26" fillId="0" borderId="1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43" fontId="0" fillId="0" borderId="0" xfId="1" applyFont="1" applyAlignment="1">
      <alignment vertical="center"/>
    </xf>
    <xf numFmtId="0" fontId="6" fillId="0" borderId="29" xfId="0" applyFont="1" applyBorder="1" applyAlignment="1">
      <alignment horizontal="center" vertical="center"/>
    </xf>
    <xf numFmtId="0" fontId="8" fillId="0" borderId="22" xfId="0" applyFont="1" applyBorder="1" applyAlignment="1">
      <alignment horizontal="left" vertical="center"/>
    </xf>
    <xf numFmtId="49" fontId="1" fillId="0" borderId="26" xfId="0" applyNumberFormat="1" applyFont="1" applyBorder="1" applyAlignment="1">
      <alignment horizontal="left" vertical="center"/>
    </xf>
    <xf numFmtId="0" fontId="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49" fontId="11" fillId="0" borderId="11" xfId="0" applyNumberFormat="1" applyFont="1" applyBorder="1" applyAlignment="1">
      <alignment horizontal="center" vertical="center" wrapText="1"/>
    </xf>
    <xf numFmtId="49" fontId="11" fillId="4" borderId="11" xfId="0" applyNumberFormat="1" applyFont="1" applyFill="1" applyBorder="1" applyAlignment="1">
      <alignment horizontal="center" vertical="center" wrapText="1"/>
    </xf>
    <xf numFmtId="4" fontId="1" fillId="0" borderId="0" xfId="0" applyNumberFormat="1" applyFont="1"/>
    <xf numFmtId="0" fontId="28" fillId="6" borderId="20" xfId="0" applyFont="1" applyFill="1" applyBorder="1" applyAlignment="1">
      <alignment horizontal="left" vertical="top" wrapText="1"/>
    </xf>
    <xf numFmtId="0" fontId="28" fillId="6" borderId="20" xfId="0" applyFont="1" applyFill="1" applyBorder="1" applyAlignment="1">
      <alignment horizontal="right" vertical="top" wrapText="1"/>
    </xf>
    <xf numFmtId="4" fontId="28" fillId="6" borderId="20" xfId="0" applyNumberFormat="1" applyFont="1" applyFill="1" applyBorder="1" applyAlignment="1">
      <alignment horizontal="right" vertical="top" wrapText="1"/>
    </xf>
    <xf numFmtId="168" fontId="28" fillId="6" borderId="20" xfId="0" applyNumberFormat="1" applyFont="1" applyFill="1" applyBorder="1" applyAlignment="1">
      <alignment horizontal="right" vertical="top" wrapText="1"/>
    </xf>
    <xf numFmtId="0" fontId="29" fillId="7" borderId="20" xfId="0" applyFont="1" applyFill="1" applyBorder="1" applyAlignment="1">
      <alignment horizontal="left" vertical="top" wrapText="1"/>
    </xf>
    <xf numFmtId="0" fontId="29" fillId="7" borderId="20" xfId="0" applyFont="1" applyFill="1" applyBorder="1" applyAlignment="1">
      <alignment horizontal="right" vertical="top" wrapText="1"/>
    </xf>
    <xf numFmtId="0" fontId="29" fillId="7" borderId="20" xfId="0" applyFont="1" applyFill="1" applyBorder="1" applyAlignment="1">
      <alignment horizontal="center" vertical="top" wrapText="1"/>
    </xf>
    <xf numFmtId="4" fontId="29" fillId="7" borderId="20" xfId="0" applyNumberFormat="1" applyFont="1" applyFill="1" applyBorder="1" applyAlignment="1">
      <alignment horizontal="right" vertical="top" wrapText="1"/>
    </xf>
    <xf numFmtId="168" fontId="29" fillId="7" borderId="20" xfId="0" applyNumberFormat="1" applyFont="1" applyFill="1" applyBorder="1" applyAlignment="1">
      <alignment horizontal="right" vertical="top" wrapText="1"/>
    </xf>
    <xf numFmtId="49" fontId="30" fillId="0" borderId="11" xfId="0" applyNumberFormat="1" applyFont="1" applyBorder="1" applyAlignment="1">
      <alignment horizontal="center" vertical="center" wrapText="1"/>
    </xf>
    <xf numFmtId="0" fontId="23" fillId="8" borderId="0" xfId="0" applyFont="1" applyFill="1" applyAlignment="1">
      <alignment horizontal="right" vertical="top" wrapText="1"/>
    </xf>
    <xf numFmtId="0" fontId="31" fillId="8" borderId="0" xfId="0" applyFont="1" applyFill="1" applyAlignment="1">
      <alignment horizontal="center" vertical="top" wrapText="1"/>
    </xf>
    <xf numFmtId="0" fontId="31" fillId="8" borderId="0" xfId="0" applyFont="1" applyFill="1" applyAlignment="1">
      <alignment horizontal="left" vertical="top" wrapText="1"/>
    </xf>
    <xf numFmtId="49" fontId="30" fillId="0" borderId="10" xfId="0" applyNumberFormat="1" applyFont="1" applyBorder="1" applyAlignment="1">
      <alignment horizontal="center" vertical="center" wrapText="1"/>
    </xf>
    <xf numFmtId="49" fontId="26" fillId="0" borderId="11" xfId="0" applyNumberFormat="1" applyFont="1" applyBorder="1" applyAlignment="1">
      <alignment vertical="center"/>
    </xf>
    <xf numFmtId="49" fontId="32" fillId="0" borderId="11" xfId="0" applyNumberFormat="1" applyFont="1" applyBorder="1" applyAlignment="1">
      <alignment vertical="center"/>
    </xf>
    <xf numFmtId="10" fontId="6" fillId="0" borderId="33" xfId="0" applyNumberFormat="1" applyFont="1" applyBorder="1" applyAlignment="1">
      <alignment horizontal="center" vertical="center"/>
    </xf>
    <xf numFmtId="0" fontId="21" fillId="8" borderId="0" xfId="0" applyFont="1" applyFill="1" applyAlignment="1">
      <alignment horizontal="center" vertical="top" wrapText="1"/>
    </xf>
    <xf numFmtId="43" fontId="28" fillId="6" borderId="20" xfId="1" applyFont="1" applyFill="1" applyBorder="1" applyAlignment="1">
      <alignment horizontal="right" vertical="top" wrapText="1"/>
    </xf>
    <xf numFmtId="43" fontId="29" fillId="7" borderId="20" xfId="1" applyFont="1" applyFill="1" applyBorder="1" applyAlignment="1">
      <alignment horizontal="right" vertical="top" wrapText="1"/>
    </xf>
    <xf numFmtId="43" fontId="23" fillId="8" borderId="0" xfId="1" applyFont="1" applyFill="1" applyAlignment="1">
      <alignment horizontal="right" vertical="top" wrapText="1"/>
    </xf>
    <xf numFmtId="43" fontId="31" fillId="8" borderId="0" xfId="1" applyFont="1" applyFill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0" fillId="0" borderId="0" xfId="0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10" fillId="0" borderId="11" xfId="0" applyFont="1" applyBorder="1" applyAlignment="1">
      <alignment horizontal="left" vertical="center" wrapText="1"/>
    </xf>
    <xf numFmtId="0" fontId="5" fillId="0" borderId="9" xfId="0" applyFont="1" applyBorder="1"/>
    <xf numFmtId="0" fontId="5" fillId="0" borderId="12" xfId="0" applyFont="1" applyBorder="1"/>
    <xf numFmtId="0" fontId="10" fillId="0" borderId="4" xfId="0" applyFont="1" applyBorder="1" applyAlignment="1">
      <alignment horizontal="center"/>
    </xf>
    <xf numFmtId="49" fontId="10" fillId="0" borderId="4" xfId="0" applyNumberFormat="1" applyFont="1" applyBorder="1" applyAlignment="1">
      <alignment horizontal="center"/>
    </xf>
    <xf numFmtId="49" fontId="6" fillId="0" borderId="4" xfId="0" applyNumberFormat="1" applyFont="1" applyBorder="1" applyAlignment="1">
      <alignment horizontal="center" vertical="top"/>
    </xf>
    <xf numFmtId="0" fontId="13" fillId="2" borderId="11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left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left" vertical="center" wrapText="1"/>
    </xf>
    <xf numFmtId="0" fontId="23" fillId="8" borderId="0" xfId="0" applyFont="1" applyFill="1" applyAlignment="1">
      <alignment horizontal="right" vertical="top" wrapText="1"/>
    </xf>
    <xf numFmtId="0" fontId="23" fillId="8" borderId="0" xfId="0" applyFont="1" applyFill="1" applyAlignment="1">
      <alignment horizontal="left" vertical="top" wrapText="1"/>
    </xf>
    <xf numFmtId="4" fontId="23" fillId="8" borderId="0" xfId="0" applyNumberFormat="1" applyFont="1" applyFill="1" applyAlignment="1">
      <alignment horizontal="right" vertical="top" wrapText="1"/>
    </xf>
    <xf numFmtId="0" fontId="8" fillId="4" borderId="18" xfId="0" applyFont="1" applyFill="1" applyBorder="1" applyAlignment="1">
      <alignment horizontal="right" vertical="center" wrapText="1"/>
    </xf>
    <xf numFmtId="0" fontId="5" fillId="0" borderId="19" xfId="0" applyFont="1" applyBorder="1" applyAlignment="1">
      <alignment vertical="center"/>
    </xf>
    <xf numFmtId="0" fontId="8" fillId="4" borderId="11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8" fillId="4" borderId="18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center" vertical="center" wrapText="1"/>
    </xf>
    <xf numFmtId="43" fontId="8" fillId="4" borderId="18" xfId="1" applyFont="1" applyFill="1" applyBorder="1" applyAlignment="1">
      <alignment horizontal="right" vertical="center" wrapText="1"/>
    </xf>
    <xf numFmtId="43" fontId="5" fillId="0" borderId="19" xfId="1" applyFont="1" applyBorder="1" applyAlignment="1">
      <alignment vertical="center"/>
    </xf>
    <xf numFmtId="0" fontId="22" fillId="10" borderId="20" xfId="0" applyFont="1" applyFill="1" applyBorder="1" applyAlignment="1">
      <alignment horizontal="left" vertical="top" wrapText="1"/>
    </xf>
    <xf numFmtId="0" fontId="22" fillId="8" borderId="0" xfId="0" applyFont="1" applyFill="1" applyAlignment="1">
      <alignment horizontal="right" vertical="top" wrapText="1"/>
    </xf>
    <xf numFmtId="0" fontId="22" fillId="9" borderId="20" xfId="0" applyFont="1" applyFill="1" applyBorder="1" applyAlignment="1">
      <alignment horizontal="left" vertical="top" wrapText="1"/>
    </xf>
    <xf numFmtId="0" fontId="23" fillId="8" borderId="20" xfId="0" applyFont="1" applyFill="1" applyBorder="1" applyAlignment="1">
      <alignment horizontal="left" vertical="top" wrapText="1"/>
    </xf>
    <xf numFmtId="0" fontId="20" fillId="7" borderId="20" xfId="0" applyFont="1" applyFill="1" applyBorder="1" applyAlignment="1">
      <alignment horizontal="left" vertical="top" wrapText="1"/>
    </xf>
    <xf numFmtId="0" fontId="5" fillId="0" borderId="22" xfId="0" applyFont="1" applyBorder="1"/>
    <xf numFmtId="0" fontId="5" fillId="0" borderId="29" xfId="0" applyFont="1" applyBorder="1"/>
    <xf numFmtId="0" fontId="8" fillId="4" borderId="26" xfId="0" applyFont="1" applyFill="1" applyBorder="1" applyAlignment="1">
      <alignment horizontal="center" wrapText="1"/>
    </xf>
    <xf numFmtId="0" fontId="5" fillId="0" borderId="25" xfId="0" applyFont="1" applyBorder="1"/>
    <xf numFmtId="0" fontId="5" fillId="0" borderId="26" xfId="0" applyFont="1" applyBorder="1"/>
    <xf numFmtId="0" fontId="6" fillId="0" borderId="1" xfId="0" applyFont="1" applyBorder="1" applyAlignment="1">
      <alignment horizontal="center" wrapText="1"/>
    </xf>
    <xf numFmtId="49" fontId="6" fillId="0" borderId="4" xfId="0" applyNumberFormat="1" applyFont="1" applyBorder="1" applyAlignment="1">
      <alignment horizontal="center"/>
    </xf>
    <xf numFmtId="0" fontId="13" fillId="2" borderId="32" xfId="0" applyFont="1" applyFill="1" applyBorder="1" applyAlignment="1">
      <alignment horizontal="center" vertical="center"/>
    </xf>
    <xf numFmtId="0" fontId="5" fillId="0" borderId="19" xfId="0" applyFont="1" applyBorder="1"/>
    <xf numFmtId="0" fontId="13" fillId="2" borderId="32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6" fillId="0" borderId="42" xfId="0" applyFont="1" applyBorder="1" applyAlignment="1">
      <alignment horizontal="left" vertical="center"/>
    </xf>
    <xf numFmtId="0" fontId="6" fillId="0" borderId="43" xfId="0" applyFont="1" applyBorder="1" applyAlignment="1">
      <alignment horizontal="left" vertical="center"/>
    </xf>
    <xf numFmtId="0" fontId="5" fillId="0" borderId="14" xfId="0" applyFont="1" applyBorder="1"/>
    <xf numFmtId="0" fontId="6" fillId="0" borderId="40" xfId="0" applyFont="1" applyBorder="1" applyAlignment="1">
      <alignment horizontal="left" vertical="center"/>
    </xf>
    <xf numFmtId="0" fontId="6" fillId="0" borderId="4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10" fillId="5" borderId="21" xfId="0" applyFont="1" applyFill="1" applyBorder="1" applyAlignment="1">
      <alignment horizontal="center" vertical="center"/>
    </xf>
    <xf numFmtId="0" fontId="10" fillId="5" borderId="23" xfId="0" applyFont="1" applyFill="1" applyBorder="1" applyAlignment="1">
      <alignment horizontal="center" vertical="center"/>
    </xf>
    <xf numFmtId="0" fontId="10" fillId="5" borderId="28" xfId="0" applyFont="1" applyFill="1" applyBorder="1" applyAlignment="1">
      <alignment horizontal="center" vertical="center"/>
    </xf>
    <xf numFmtId="0" fontId="10" fillId="5" borderId="30" xfId="0" applyFont="1" applyFill="1" applyBorder="1" applyAlignment="1">
      <alignment horizontal="center" vertical="center"/>
    </xf>
    <xf numFmtId="0" fontId="10" fillId="5" borderId="18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0" fillId="5" borderId="44" xfId="0" applyFont="1" applyFill="1" applyBorder="1" applyAlignment="1">
      <alignment horizontal="center" vertical="center"/>
    </xf>
    <xf numFmtId="0" fontId="10" fillId="5" borderId="45" xfId="0" applyFont="1" applyFill="1" applyBorder="1" applyAlignment="1">
      <alignment horizontal="center" vertical="center"/>
    </xf>
    <xf numFmtId="0" fontId="11" fillId="0" borderId="46" xfId="0" applyFont="1" applyBorder="1" applyAlignment="1">
      <alignment horizontal="left" vertical="center" wrapText="1"/>
    </xf>
    <xf numFmtId="0" fontId="11" fillId="0" borderId="47" xfId="0" applyFont="1" applyBorder="1" applyAlignment="1">
      <alignment horizontal="left" vertical="center" wrapText="1"/>
    </xf>
    <xf numFmtId="0" fontId="11" fillId="0" borderId="48" xfId="0" applyFont="1" applyBorder="1" applyAlignment="1">
      <alignment horizontal="left" vertical="center" wrapText="1"/>
    </xf>
    <xf numFmtId="0" fontId="18" fillId="2" borderId="24" xfId="0" applyFont="1" applyFill="1" applyBorder="1" applyAlignment="1">
      <alignment horizontal="center" vertical="center" wrapText="1"/>
    </xf>
    <xf numFmtId="0" fontId="18" fillId="2" borderId="26" xfId="0" applyFont="1" applyFill="1" applyBorder="1" applyAlignment="1">
      <alignment horizontal="center" vertical="center" wrapText="1"/>
    </xf>
    <xf numFmtId="0" fontId="18" fillId="2" borderId="27" xfId="0" applyFont="1" applyFill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image" Target="../media/image3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1028700</xdr:colOff>
      <xdr:row>2</xdr:row>
      <xdr:rowOff>76200</xdr:rowOff>
    </xdr:from>
    <xdr:ext cx="198120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1</xdr:row>
      <xdr:rowOff>104775</xdr:rowOff>
    </xdr:from>
    <xdr:ext cx="1866900" cy="9810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1152525</xdr:colOff>
      <xdr:row>2</xdr:row>
      <xdr:rowOff>95250</xdr:rowOff>
    </xdr:from>
    <xdr:ext cx="198120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1</xdr:row>
      <xdr:rowOff>114300</xdr:rowOff>
    </xdr:from>
    <xdr:ext cx="1866900" cy="9810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1085850</xdr:colOff>
      <xdr:row>2</xdr:row>
      <xdr:rowOff>66675</xdr:rowOff>
    </xdr:from>
    <xdr:ext cx="198120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</xdr:row>
      <xdr:rowOff>66675</xdr:rowOff>
    </xdr:from>
    <xdr:ext cx="1866900" cy="9810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1085850</xdr:colOff>
      <xdr:row>2</xdr:row>
      <xdr:rowOff>66675</xdr:rowOff>
    </xdr:from>
    <xdr:ext cx="198120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</xdr:row>
      <xdr:rowOff>66675</xdr:rowOff>
    </xdr:from>
    <xdr:ext cx="1866900" cy="9810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4267200</xdr:colOff>
      <xdr:row>17</xdr:row>
      <xdr:rowOff>0</xdr:rowOff>
    </xdr:from>
    <xdr:ext cx="66675" cy="2381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5317425" y="3665700"/>
          <a:ext cx="57150" cy="22860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  <xdr:oneCellAnchor>
    <xdr:from>
      <xdr:col>2</xdr:col>
      <xdr:colOff>2638425</xdr:colOff>
      <xdr:row>15</xdr:row>
      <xdr:rowOff>9525</xdr:rowOff>
    </xdr:from>
    <xdr:ext cx="5038725" cy="942975"/>
    <xdr:pic>
      <xdr:nvPicPr>
        <xdr:cNvPr id="2" name="image3.jpg" descr="Resultado de imagem para COMPOSIÇÃO BDI FORMULA TCU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157441</xdr:colOff>
      <xdr:row>2</xdr:row>
      <xdr:rowOff>95250</xdr:rowOff>
    </xdr:from>
    <xdr:ext cx="1981200" cy="647700"/>
    <xdr:pic>
      <xdr:nvPicPr>
        <xdr:cNvPr id="4" name="image1.png">
          <a:extLst>
            <a:ext uri="{FF2B5EF4-FFF2-40B4-BE49-F238E27FC236}">
              <a16:creationId xmlns:a16="http://schemas.microsoft.com/office/drawing/2014/main" id="{F70BCFE4-97F2-4B89-BF14-87FE863A4DC7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135159" y="579344"/>
          <a:ext cx="198120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1</xdr:row>
      <xdr:rowOff>114300</xdr:rowOff>
    </xdr:from>
    <xdr:ext cx="1866900" cy="981075"/>
    <xdr:pic>
      <xdr:nvPicPr>
        <xdr:cNvPr id="5" name="image2.png">
          <a:extLst>
            <a:ext uri="{FF2B5EF4-FFF2-40B4-BE49-F238E27FC236}">
              <a16:creationId xmlns:a16="http://schemas.microsoft.com/office/drawing/2014/main" id="{BF248BD4-D449-4749-936C-5274AFAC35D4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05765" y="289560"/>
          <a:ext cx="1866900" cy="9810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157441</xdr:colOff>
      <xdr:row>2</xdr:row>
      <xdr:rowOff>95250</xdr:rowOff>
    </xdr:from>
    <xdr:ext cx="198120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BD6A7730-9F53-40D3-A364-6FB462FE37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566361" y="582930"/>
          <a:ext cx="198120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1</xdr:row>
      <xdr:rowOff>114300</xdr:rowOff>
    </xdr:from>
    <xdr:ext cx="1866900" cy="981075"/>
    <xdr:pic>
      <xdr:nvPicPr>
        <xdr:cNvPr id="3" name="image2.png">
          <a:extLst>
            <a:ext uri="{FF2B5EF4-FFF2-40B4-BE49-F238E27FC236}">
              <a16:creationId xmlns:a16="http://schemas.microsoft.com/office/drawing/2014/main" id="{7CB9CCC9-EA9B-402F-BDEF-FBA96F55AC0E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05765" y="365760"/>
          <a:ext cx="1866900" cy="9810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1917661</xdr:colOff>
      <xdr:row>2</xdr:row>
      <xdr:rowOff>62592</xdr:rowOff>
    </xdr:from>
    <xdr:ext cx="198120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9F1EB20B-11E8-4461-913B-7750F73FDC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16090" y="476249"/>
          <a:ext cx="198120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1</xdr:row>
      <xdr:rowOff>114300</xdr:rowOff>
    </xdr:from>
    <xdr:ext cx="1866900" cy="981075"/>
    <xdr:pic>
      <xdr:nvPicPr>
        <xdr:cNvPr id="3" name="image2.png">
          <a:extLst>
            <a:ext uri="{FF2B5EF4-FFF2-40B4-BE49-F238E27FC236}">
              <a16:creationId xmlns:a16="http://schemas.microsoft.com/office/drawing/2014/main" id="{5F9AC3AD-BFF6-40F2-BECF-DB20F987628D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05765" y="365760"/>
          <a:ext cx="1866900" cy="9810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8D8D8"/>
    <pageSetUpPr fitToPage="1"/>
  </sheetPr>
  <dimension ref="A1:Z1000"/>
  <sheetViews>
    <sheetView showGridLines="0" tabSelected="1" zoomScale="70" zoomScaleNormal="70" workbookViewId="0">
      <selection activeCell="C22" sqref="C22"/>
    </sheetView>
  </sheetViews>
  <sheetFormatPr defaultColWidth="12.59765625" defaultRowHeight="15" customHeight="1" x14ac:dyDescent="0.25"/>
  <cols>
    <col min="1" max="1" width="3.19921875" customWidth="1"/>
    <col min="2" max="4" width="40" customWidth="1"/>
    <col min="5" max="5" width="44.3984375" customWidth="1"/>
    <col min="6" max="6" width="3.19921875" customWidth="1"/>
    <col min="7" max="11" width="7.59765625" customWidth="1"/>
    <col min="12" max="12" width="9.09765625" bestFit="1" customWidth="1"/>
    <col min="13" max="22" width="7.59765625" customWidth="1"/>
  </cols>
  <sheetData>
    <row r="1" spans="1:26" ht="15" customHeight="1" x14ac:dyDescent="0.25">
      <c r="A1" s="1"/>
      <c r="B1" s="2"/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 x14ac:dyDescent="0.35">
      <c r="A2" s="3"/>
      <c r="B2" s="262" t="s">
        <v>0</v>
      </c>
      <c r="C2" s="263"/>
      <c r="D2" s="263"/>
      <c r="E2" s="26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1"/>
      <c r="X2" s="1"/>
      <c r="Y2" s="1"/>
      <c r="Z2" s="1"/>
    </row>
    <row r="3" spans="1:26" ht="18.75" customHeight="1" x14ac:dyDescent="0.35">
      <c r="A3" s="3"/>
      <c r="B3" s="265"/>
      <c r="C3" s="266"/>
      <c r="D3" s="266"/>
      <c r="E3" s="267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1"/>
      <c r="X3" s="1"/>
      <c r="Y3" s="1"/>
      <c r="Z3" s="1"/>
    </row>
    <row r="4" spans="1:26" ht="18.75" customHeight="1" x14ac:dyDescent="0.35">
      <c r="A4" s="3"/>
      <c r="B4" s="265"/>
      <c r="C4" s="266"/>
      <c r="D4" s="266"/>
      <c r="E4" s="267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1"/>
      <c r="X4" s="1"/>
      <c r="Y4" s="1"/>
      <c r="Z4" s="1"/>
    </row>
    <row r="5" spans="1:26" ht="18.75" customHeight="1" x14ac:dyDescent="0.35">
      <c r="A5" s="3"/>
      <c r="B5" s="265"/>
      <c r="C5" s="266"/>
      <c r="D5" s="266"/>
      <c r="E5" s="267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1"/>
      <c r="X5" s="1"/>
      <c r="Y5" s="1"/>
      <c r="Z5" s="1"/>
    </row>
    <row r="6" spans="1:26" ht="18.75" customHeight="1" x14ac:dyDescent="0.35">
      <c r="A6" s="3"/>
      <c r="B6" s="268"/>
      <c r="C6" s="269"/>
      <c r="D6" s="269"/>
      <c r="E6" s="270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1"/>
      <c r="X6" s="1"/>
      <c r="Y6" s="1"/>
      <c r="Z6" s="1"/>
    </row>
    <row r="7" spans="1:26" ht="15" customHeight="1" x14ac:dyDescent="0.25">
      <c r="A7" s="1"/>
      <c r="B7" s="4"/>
      <c r="C7" s="4"/>
      <c r="D7" s="4"/>
      <c r="E7" s="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25">
      <c r="A8" s="1"/>
      <c r="B8" s="5" t="s">
        <v>1</v>
      </c>
      <c r="C8" s="6"/>
      <c r="D8" s="6"/>
      <c r="E8" s="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25">
      <c r="A9" s="1"/>
      <c r="B9" s="8" t="str">
        <f>C15</f>
        <v>Policlínica - Área Construída: 3.213,00 m²</v>
      </c>
      <c r="C9" s="9"/>
      <c r="D9" s="9"/>
      <c r="E9" s="10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25">
      <c r="A10" s="1"/>
      <c r="B10" s="11"/>
      <c r="C10" s="9"/>
      <c r="D10" s="9"/>
      <c r="E10" s="10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25">
      <c r="A11" s="1"/>
      <c r="B11" s="12" t="s">
        <v>2</v>
      </c>
      <c r="C11" s="9"/>
      <c r="D11" s="9"/>
      <c r="E11" s="10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25">
      <c r="A12" s="1"/>
      <c r="B12" s="227" t="s">
        <v>1848</v>
      </c>
      <c r="C12" s="9"/>
      <c r="D12" s="9"/>
      <c r="E12" s="10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25">
      <c r="A13" s="1"/>
      <c r="B13" s="13"/>
      <c r="C13" s="14"/>
      <c r="D13" s="14"/>
      <c r="E13" s="1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25">
      <c r="A14" s="1"/>
      <c r="B14" s="16"/>
      <c r="C14" s="17"/>
      <c r="D14" s="18"/>
      <c r="E14" s="17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0" customHeight="1" x14ac:dyDescent="0.25">
      <c r="A15" s="1"/>
      <c r="B15" s="19" t="s">
        <v>3</v>
      </c>
      <c r="C15" s="229" t="s">
        <v>2314</v>
      </c>
      <c r="D15" s="20"/>
      <c r="E15" s="2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0" customHeight="1" x14ac:dyDescent="0.25">
      <c r="A16" s="22"/>
      <c r="B16" s="19" t="s">
        <v>4</v>
      </c>
      <c r="C16" s="271" t="s">
        <v>5</v>
      </c>
      <c r="D16" s="272"/>
      <c r="E16" s="273"/>
      <c r="F16" s="2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0" customHeight="1" x14ac:dyDescent="0.25">
      <c r="A17" s="22"/>
      <c r="B17" s="19" t="s">
        <v>6</v>
      </c>
      <c r="C17" s="24" t="s">
        <v>7</v>
      </c>
      <c r="D17" s="20"/>
      <c r="E17" s="21"/>
      <c r="F17" s="22"/>
      <c r="G17" s="1"/>
      <c r="H17" s="1"/>
      <c r="I17" s="1"/>
      <c r="J17" s="228"/>
      <c r="K17" s="228"/>
      <c r="L17" s="228"/>
      <c r="M17" s="228"/>
      <c r="N17" s="228"/>
      <c r="O17" s="228"/>
      <c r="P17" s="228"/>
      <c r="Q17" s="228"/>
      <c r="R17" s="1"/>
      <c r="S17" s="1"/>
      <c r="T17" s="1"/>
      <c r="U17" s="1"/>
      <c r="V17" s="1"/>
      <c r="W17" s="1"/>
      <c r="X17" s="1"/>
      <c r="Y17" s="1"/>
      <c r="Z17" s="1"/>
    </row>
    <row r="18" spans="1:26" ht="30" customHeight="1" x14ac:dyDescent="0.25">
      <c r="A18" s="1"/>
      <c r="B18" s="19" t="s">
        <v>8</v>
      </c>
      <c r="C18" s="25">
        <v>45231</v>
      </c>
      <c r="D18" s="26"/>
      <c r="E18" s="27"/>
      <c r="F18" s="1"/>
      <c r="G18" s="1"/>
      <c r="H18" s="1"/>
      <c r="I18" s="1"/>
      <c r="J18" s="228"/>
      <c r="K18" s="228"/>
      <c r="L18" s="228"/>
      <c r="M18" s="228"/>
      <c r="N18" s="228"/>
      <c r="O18" s="228"/>
      <c r="P18" s="228"/>
      <c r="Q18" s="228"/>
      <c r="R18" s="1"/>
      <c r="S18" s="1"/>
      <c r="T18" s="1"/>
      <c r="U18" s="1"/>
      <c r="V18" s="1"/>
      <c r="W18" s="1"/>
      <c r="X18" s="1"/>
      <c r="Y18" s="1"/>
      <c r="Z18" s="1"/>
    </row>
    <row r="19" spans="1:26" ht="30" customHeight="1" x14ac:dyDescent="0.25">
      <c r="A19" s="1"/>
      <c r="B19" s="19" t="s">
        <v>9</v>
      </c>
      <c r="C19" s="28">
        <f>'BDI DESONERADO'!E36</f>
        <v>0.24875249461101823</v>
      </c>
      <c r="D19" s="26"/>
      <c r="E19" s="27"/>
      <c r="F19" s="1"/>
      <c r="G19" s="1"/>
      <c r="H19" s="1"/>
      <c r="I19" s="1"/>
      <c r="J19" s="228"/>
      <c r="K19" s="228"/>
      <c r="L19" s="228"/>
      <c r="M19" s="228"/>
      <c r="N19" s="228"/>
      <c r="O19" s="228"/>
      <c r="P19" s="228"/>
      <c r="Q19" s="228"/>
      <c r="R19" s="1"/>
      <c r="S19" s="1"/>
      <c r="T19" s="1"/>
      <c r="U19" s="1"/>
      <c r="V19" s="1"/>
      <c r="W19" s="1"/>
      <c r="X19" s="1"/>
      <c r="Y19" s="1"/>
      <c r="Z19" s="1"/>
    </row>
    <row r="20" spans="1:26" ht="30" customHeight="1" x14ac:dyDescent="0.25">
      <c r="A20" s="1"/>
      <c r="B20" s="19" t="s">
        <v>10</v>
      </c>
      <c r="C20" s="28">
        <f>'BDI DESONERADO'!F36</f>
        <v>0.16857590555253088</v>
      </c>
      <c r="D20" s="26"/>
      <c r="E20" s="27"/>
      <c r="F20" s="1"/>
      <c r="G20" s="1"/>
      <c r="H20" s="1"/>
      <c r="I20" s="1"/>
      <c r="J20" s="228"/>
      <c r="K20" s="228"/>
      <c r="L20" s="228"/>
      <c r="M20" s="228"/>
      <c r="N20" s="228"/>
      <c r="O20" s="228"/>
      <c r="P20" s="228"/>
      <c r="Q20" s="228"/>
      <c r="R20" s="1"/>
      <c r="S20" s="1"/>
      <c r="T20" s="1"/>
      <c r="U20" s="1"/>
      <c r="V20" s="1"/>
      <c r="W20" s="1"/>
      <c r="X20" s="1"/>
      <c r="Y20" s="1"/>
      <c r="Z20" s="1"/>
    </row>
    <row r="21" spans="1:26" ht="30" customHeight="1" x14ac:dyDescent="0.25">
      <c r="A21" s="1"/>
      <c r="B21" s="19" t="s">
        <v>11</v>
      </c>
      <c r="C21" s="29">
        <v>3213</v>
      </c>
      <c r="D21" s="26"/>
      <c r="E21" s="2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0" customHeight="1" x14ac:dyDescent="0.25">
      <c r="A22" s="1"/>
      <c r="B22" s="19" t="s">
        <v>12</v>
      </c>
      <c r="C22" s="255" t="s">
        <v>2317</v>
      </c>
      <c r="D22" s="26"/>
      <c r="E22" s="2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0" customHeight="1" x14ac:dyDescent="0.25">
      <c r="A23" s="1"/>
      <c r="B23" s="19" t="s">
        <v>13</v>
      </c>
      <c r="C23" s="254" t="s">
        <v>2276</v>
      </c>
      <c r="D23" s="26"/>
      <c r="E23" s="2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0" customHeight="1" x14ac:dyDescent="0.25">
      <c r="A24" s="1"/>
      <c r="B24" s="31" t="s">
        <v>14</v>
      </c>
      <c r="C24" s="30" t="s">
        <v>15</v>
      </c>
      <c r="D24" s="26"/>
      <c r="E24" s="27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0" customHeight="1" x14ac:dyDescent="0.25">
      <c r="A25" s="1"/>
      <c r="B25" s="19" t="s">
        <v>16</v>
      </c>
      <c r="C25" s="30" t="s">
        <v>17</v>
      </c>
      <c r="D25" s="26"/>
      <c r="E25" s="27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32"/>
      <c r="C26" s="33"/>
      <c r="D26" s="33"/>
      <c r="E26" s="3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3">
      <c r="A27" s="1"/>
      <c r="B27" s="34"/>
      <c r="C27" s="35"/>
      <c r="D27" s="36"/>
      <c r="E27" s="3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3">
      <c r="A28" s="1"/>
      <c r="B28" s="38"/>
      <c r="C28" s="39"/>
      <c r="D28" s="39"/>
      <c r="E28" s="4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3">
      <c r="A29" s="1"/>
      <c r="B29" s="38"/>
      <c r="C29" s="39"/>
      <c r="D29" s="39"/>
      <c r="E29" s="4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3">
      <c r="A30" s="1"/>
      <c r="B30" s="38"/>
      <c r="C30" s="39"/>
      <c r="D30" s="39"/>
      <c r="E30" s="4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3">
      <c r="A31" s="1"/>
      <c r="B31" s="274" t="s">
        <v>18</v>
      </c>
      <c r="C31" s="266"/>
      <c r="D31" s="266"/>
      <c r="E31" s="267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3">
      <c r="A32" s="1"/>
      <c r="B32" s="275" t="str">
        <f t="shared" ref="B32:B33" si="0">C24</f>
        <v>Thaís Ferreira Pellaquim</v>
      </c>
      <c r="C32" s="266"/>
      <c r="D32" s="266"/>
      <c r="E32" s="267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x14ac:dyDescent="0.25">
      <c r="A33" s="1"/>
      <c r="B33" s="276" t="str">
        <f t="shared" si="0"/>
        <v>Engenheira Civil  - CREA MG 247749/D</v>
      </c>
      <c r="C33" s="266"/>
      <c r="D33" s="266"/>
      <c r="E33" s="267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x14ac:dyDescent="0.25">
      <c r="A34" s="1"/>
      <c r="B34" s="41"/>
      <c r="C34" s="42"/>
      <c r="D34" s="42"/>
      <c r="E34" s="4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2"/>
      <c r="C35" s="22"/>
      <c r="D35" s="22"/>
      <c r="E35" s="2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39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E6"/>
    <mergeCell ref="C16:E16"/>
    <mergeCell ref="B31:E31"/>
    <mergeCell ref="B32:E32"/>
    <mergeCell ref="B33:E33"/>
  </mergeCells>
  <printOptions horizontalCentered="1"/>
  <pageMargins left="0.7" right="0.7" top="0.75" bottom="0.75" header="0.3" footer="0.3"/>
  <pageSetup paperSize="9" scale="4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FBFBF"/>
    <pageSetUpPr fitToPage="1"/>
  </sheetPr>
  <dimension ref="A1:Z997"/>
  <sheetViews>
    <sheetView showGridLines="0" zoomScale="70" zoomScaleNormal="70" workbookViewId="0">
      <selection activeCell="C22" sqref="C22"/>
    </sheetView>
  </sheetViews>
  <sheetFormatPr defaultColWidth="12.59765625" defaultRowHeight="15" customHeight="1" x14ac:dyDescent="0.25"/>
  <cols>
    <col min="1" max="1" width="3.19921875" customWidth="1"/>
    <col min="2" max="2" width="13.19921875" customWidth="1"/>
    <col min="3" max="3" width="70.09765625" customWidth="1"/>
    <col min="4" max="5" width="28.69921875" customWidth="1"/>
    <col min="6" max="6" width="18.19921875" customWidth="1"/>
    <col min="7" max="7" width="3.19921875" customWidth="1"/>
    <col min="8" max="8" width="18.19921875" customWidth="1"/>
    <col min="9" max="9" width="16.59765625" customWidth="1"/>
    <col min="11" max="11" width="17.69921875" customWidth="1"/>
    <col min="12" max="12" width="19" customWidth="1"/>
    <col min="13" max="13" width="13.69921875" customWidth="1"/>
    <col min="14" max="14" width="2.69921875" customWidth="1"/>
    <col min="15" max="15" width="13.69921875" customWidth="1"/>
  </cols>
  <sheetData>
    <row r="1" spans="1:26" ht="13.8" x14ac:dyDescent="0.25">
      <c r="A1" s="44"/>
      <c r="B1" s="2"/>
      <c r="C1" s="22"/>
      <c r="D1" s="22"/>
      <c r="E1" s="22"/>
      <c r="F1" s="22"/>
      <c r="G1" s="44"/>
      <c r="H1" s="44"/>
      <c r="I1" s="45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1:26" ht="18.75" customHeight="1" x14ac:dyDescent="0.25">
      <c r="A2" s="46"/>
      <c r="B2" s="262" t="s">
        <v>19</v>
      </c>
      <c r="C2" s="263"/>
      <c r="D2" s="263"/>
      <c r="E2" s="263"/>
      <c r="F2" s="264"/>
      <c r="G2" s="46"/>
      <c r="H2" s="47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4"/>
      <c r="W2" s="44"/>
      <c r="X2" s="44"/>
      <c r="Y2" s="44"/>
      <c r="Z2" s="1"/>
    </row>
    <row r="3" spans="1:26" ht="18.75" customHeight="1" x14ac:dyDescent="0.25">
      <c r="A3" s="46"/>
      <c r="B3" s="265"/>
      <c r="C3" s="266"/>
      <c r="D3" s="266"/>
      <c r="E3" s="266"/>
      <c r="F3" s="267"/>
      <c r="G3" s="46"/>
      <c r="H3" s="47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4"/>
      <c r="W3" s="44"/>
      <c r="X3" s="44"/>
      <c r="Y3" s="44"/>
      <c r="Z3" s="1"/>
    </row>
    <row r="4" spans="1:26" ht="18.75" customHeight="1" x14ac:dyDescent="0.25">
      <c r="A4" s="46"/>
      <c r="B4" s="265"/>
      <c r="C4" s="266"/>
      <c r="D4" s="266"/>
      <c r="E4" s="266"/>
      <c r="F4" s="267"/>
      <c r="G4" s="46"/>
      <c r="H4" s="47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4"/>
      <c r="W4" s="44"/>
      <c r="X4" s="44"/>
      <c r="Y4" s="44"/>
      <c r="Z4" s="1"/>
    </row>
    <row r="5" spans="1:26" ht="18.75" customHeight="1" x14ac:dyDescent="0.25">
      <c r="A5" s="46"/>
      <c r="B5" s="265"/>
      <c r="C5" s="266"/>
      <c r="D5" s="266"/>
      <c r="E5" s="266"/>
      <c r="F5" s="267"/>
      <c r="G5" s="46"/>
      <c r="H5" s="47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4"/>
      <c r="W5" s="44"/>
      <c r="X5" s="44"/>
      <c r="Y5" s="44"/>
      <c r="Z5" s="1"/>
    </row>
    <row r="6" spans="1:26" ht="18.75" customHeight="1" x14ac:dyDescent="0.25">
      <c r="A6" s="46"/>
      <c r="B6" s="268"/>
      <c r="C6" s="269"/>
      <c r="D6" s="269"/>
      <c r="E6" s="269"/>
      <c r="F6" s="270"/>
      <c r="G6" s="46"/>
      <c r="H6" s="47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4"/>
      <c r="W6" s="44"/>
      <c r="X6" s="44"/>
      <c r="Y6" s="44"/>
      <c r="Z6" s="1"/>
    </row>
    <row r="7" spans="1:26" ht="15" customHeight="1" x14ac:dyDescent="0.25">
      <c r="A7" s="48"/>
      <c r="B7" s="4"/>
      <c r="C7" s="4"/>
      <c r="D7" s="4"/>
      <c r="E7" s="4"/>
      <c r="F7" s="4"/>
      <c r="G7" s="48"/>
      <c r="H7" s="49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1"/>
    </row>
    <row r="8" spans="1:26" ht="15" customHeight="1" x14ac:dyDescent="0.25">
      <c r="A8" s="48"/>
      <c r="B8" s="50" t="str">
        <f>'DADOS GERAIS'!B8</f>
        <v>Secretaria de Atenção Especializada à Saúde</v>
      </c>
      <c r="C8" s="51"/>
      <c r="D8" s="52" t="s">
        <v>20</v>
      </c>
      <c r="E8" s="52" t="s">
        <v>21</v>
      </c>
      <c r="F8" s="53" t="str">
        <f>'DADOS GERAIS'!$B$22</f>
        <v>Data:</v>
      </c>
      <c r="G8" s="48"/>
      <c r="H8" s="49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1"/>
    </row>
    <row r="9" spans="1:26" ht="15" customHeight="1" x14ac:dyDescent="0.25">
      <c r="A9" s="48"/>
      <c r="B9" s="54" t="str">
        <f>'DADOS GERAIS'!B9</f>
        <v>Policlínica - Área Construída: 3.213,00 m²</v>
      </c>
      <c r="C9" s="55"/>
      <c r="D9" s="56">
        <f>'DADOS GERAIS'!C19</f>
        <v>0.24875249461101823</v>
      </c>
      <c r="E9" s="56">
        <f>'ENCARGOS SOCIAIS'!F56</f>
        <v>0.47570000000000001</v>
      </c>
      <c r="F9" s="57" t="str">
        <f>'DADOS GERAIS'!$C$22</f>
        <v>09/05/2024</v>
      </c>
      <c r="G9" s="48"/>
      <c r="H9" s="49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1"/>
    </row>
    <row r="10" spans="1:26" ht="15" customHeight="1" x14ac:dyDescent="0.25">
      <c r="A10" s="48"/>
      <c r="B10" s="58"/>
      <c r="C10" s="55"/>
      <c r="D10" s="1"/>
      <c r="E10" s="1"/>
      <c r="F10" s="59"/>
      <c r="G10" s="48"/>
      <c r="H10" s="49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1"/>
    </row>
    <row r="11" spans="1:26" ht="15" customHeight="1" x14ac:dyDescent="0.25">
      <c r="A11" s="48"/>
      <c r="B11" s="60" t="str">
        <f>'DADOS GERAIS'!B11</f>
        <v>Bancos:</v>
      </c>
      <c r="C11" s="55"/>
      <c r="D11" s="61" t="s">
        <v>22</v>
      </c>
      <c r="E11" s="61" t="s">
        <v>23</v>
      </c>
      <c r="F11" s="59" t="str">
        <f>'DADOS GERAIS'!$B$23</f>
        <v>Revisão:</v>
      </c>
      <c r="G11" s="48"/>
      <c r="H11" s="49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1"/>
    </row>
    <row r="12" spans="1:26" ht="15" customHeight="1" x14ac:dyDescent="0.25">
      <c r="A12" s="48"/>
      <c r="B12" s="281" t="str">
        <f>'DADOS GERAIS'!B12</f>
        <v>SINAPI (11/2023) - CPOS/CDHU (11/2023) - SBC (11/2023) - ORSE (11/2023) - SEINFRA (028) - IOPES (11/2023) - CAERN (11/2023) - EMOP (11/2023)</v>
      </c>
      <c r="C12" s="282"/>
      <c r="D12" s="56">
        <f>'DADOS GERAIS'!C20</f>
        <v>0.16857590555253088</v>
      </c>
      <c r="E12" s="56">
        <f>'ENCARGOS SOCIAIS'!E56</f>
        <v>0.85555179999999986</v>
      </c>
      <c r="F12" s="62" t="str">
        <f>'DADOS GERAIS'!$C$23</f>
        <v>03</v>
      </c>
      <c r="G12" s="48"/>
      <c r="H12" s="49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1"/>
    </row>
    <row r="13" spans="1:26" ht="15" customHeight="1" x14ac:dyDescent="0.25">
      <c r="A13" s="48"/>
      <c r="B13" s="283"/>
      <c r="C13" s="284"/>
      <c r="D13" s="63"/>
      <c r="E13" s="63"/>
      <c r="F13" s="64"/>
      <c r="G13" s="48"/>
      <c r="H13" s="49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1"/>
    </row>
    <row r="14" spans="1:26" ht="15" customHeight="1" x14ac:dyDescent="0.25">
      <c r="A14" s="48"/>
      <c r="B14" s="65"/>
      <c r="C14" s="4"/>
      <c r="D14" s="4"/>
      <c r="E14" s="4"/>
      <c r="F14" s="4"/>
      <c r="G14" s="48"/>
      <c r="H14" s="1"/>
      <c r="I14" s="1"/>
      <c r="J14" s="1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1"/>
    </row>
    <row r="15" spans="1:26" ht="15" customHeight="1" x14ac:dyDescent="0.25">
      <c r="A15" s="66"/>
      <c r="B15" s="67" t="s">
        <v>24</v>
      </c>
      <c r="C15" s="68" t="s">
        <v>25</v>
      </c>
      <c r="D15" s="69"/>
      <c r="E15" s="69" t="s">
        <v>26</v>
      </c>
      <c r="F15" s="70" t="s">
        <v>27</v>
      </c>
      <c r="G15" s="44"/>
      <c r="H15" s="71"/>
      <c r="I15" s="1"/>
      <c r="J15" s="1"/>
      <c r="K15" s="1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26" ht="15" customHeight="1" x14ac:dyDescent="0.25">
      <c r="A16" s="66"/>
      <c r="B16" s="72"/>
      <c r="C16" s="73"/>
      <c r="D16" s="73"/>
      <c r="E16" s="72"/>
      <c r="F16" s="72"/>
      <c r="G16" s="44"/>
      <c r="H16" s="48"/>
      <c r="I16" s="1"/>
      <c r="J16" s="1"/>
      <c r="K16" s="1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 ht="15" customHeight="1" x14ac:dyDescent="0.25">
      <c r="A17" s="48"/>
      <c r="B17" s="74">
        <v>1</v>
      </c>
      <c r="C17" s="23" t="str">
        <f t="array" ref="C17">INDEX('ORC. SINTÉTICO'!$E:$E,MATCH($B17,'ORC. SINTÉTICO'!$B:$B,0))</f>
        <v>SERVIÇOS PRELIMINARES E INDIRETOS</v>
      </c>
      <c r="D17" s="75"/>
      <c r="E17" s="76">
        <f t="array" ref="E17">INDEX('ORC. SINTÉTICO'!$N:$N,MATCH($B17,'ORC. SINTÉTICO'!$B:$B,0))</f>
        <v>0</v>
      </c>
      <c r="F17" s="77" t="str">
        <f t="shared" ref="F17:F39" si="0">IFERROR(E17/$E$41,"-")</f>
        <v>-</v>
      </c>
      <c r="G17" s="44"/>
      <c r="H17" s="48"/>
      <c r="I17" s="1"/>
      <c r="J17" s="1"/>
      <c r="K17" s="1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4"/>
      <c r="Y17" s="44"/>
      <c r="Z17" s="44"/>
    </row>
    <row r="18" spans="1:26" ht="15" customHeight="1" x14ac:dyDescent="0.25">
      <c r="A18" s="48"/>
      <c r="B18" s="74">
        <v>2</v>
      </c>
      <c r="C18" s="23" t="str">
        <f t="array" ref="C18">INDEX('ORC. SINTÉTICO'!$E:$E,MATCH($B18,'ORC. SINTÉTICO'!$B:$B,0))</f>
        <v>FUNDAÇÃO</v>
      </c>
      <c r="D18" s="75"/>
      <c r="E18" s="76">
        <f t="array" ref="E18">INDEX('ORC. SINTÉTICO'!$N:$N,MATCH($B18,'ORC. SINTÉTICO'!$B:$B,0))</f>
        <v>0</v>
      </c>
      <c r="F18" s="77" t="str">
        <f t="shared" si="0"/>
        <v>-</v>
      </c>
      <c r="G18" s="44"/>
      <c r="H18" s="48"/>
      <c r="I18" s="1"/>
      <c r="J18" s="1"/>
      <c r="K18" s="1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4"/>
      <c r="Y18" s="44"/>
      <c r="Z18" s="44"/>
    </row>
    <row r="19" spans="1:26" ht="15" customHeight="1" x14ac:dyDescent="0.25">
      <c r="A19" s="48"/>
      <c r="B19" s="74">
        <v>3</v>
      </c>
      <c r="C19" s="23" t="str">
        <f t="array" ref="C19">INDEX('ORC. SINTÉTICO'!$E:$E,MATCH($B19,'ORC. SINTÉTICO'!$B:$B,0))</f>
        <v>ESTRUTURA</v>
      </c>
      <c r="D19" s="75"/>
      <c r="E19" s="76">
        <f t="array" ref="E19">INDEX('ORC. SINTÉTICO'!$N:$N,MATCH($B19,'ORC. SINTÉTICO'!$B:$B,0))</f>
        <v>0</v>
      </c>
      <c r="F19" s="77" t="str">
        <f t="shared" si="0"/>
        <v>-</v>
      </c>
      <c r="G19" s="44"/>
      <c r="H19" s="48"/>
      <c r="I19" s="1"/>
      <c r="J19" s="1"/>
      <c r="K19" s="1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4"/>
      <c r="Y19" s="44"/>
      <c r="Z19" s="44"/>
    </row>
    <row r="20" spans="1:26" ht="15" customHeight="1" x14ac:dyDescent="0.25">
      <c r="A20" s="48"/>
      <c r="B20" s="74">
        <v>4</v>
      </c>
      <c r="C20" s="23" t="str">
        <f t="array" ref="C20">INDEX('ORC. SINTÉTICO'!$E:$E,MATCH($B20,'ORC. SINTÉTICO'!$B:$B,0))</f>
        <v>ALVENARIA, VEDAÇÕES E DIVISÓRIAS</v>
      </c>
      <c r="D20" s="78"/>
      <c r="E20" s="76">
        <f t="array" ref="E20">INDEX('ORC. SINTÉTICO'!$N:$N,MATCH($B20,'ORC. SINTÉTICO'!$B:$B,0))</f>
        <v>0</v>
      </c>
      <c r="F20" s="77" t="str">
        <f t="shared" si="0"/>
        <v>-</v>
      </c>
      <c r="G20" s="44"/>
      <c r="H20" s="48"/>
      <c r="I20" s="1"/>
      <c r="J20" s="1"/>
      <c r="K20" s="1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4"/>
      <c r="Y20" s="44"/>
      <c r="Z20" s="44"/>
    </row>
    <row r="21" spans="1:26" ht="15" customHeight="1" x14ac:dyDescent="0.25">
      <c r="A21" s="48"/>
      <c r="B21" s="74">
        <v>5</v>
      </c>
      <c r="C21" s="23" t="str">
        <f t="array" ref="C21">INDEX('ORC. SINTÉTICO'!$E:$E,MATCH($B21,'ORC. SINTÉTICO'!$B:$B,0))</f>
        <v>ESQUADRIAS</v>
      </c>
      <c r="D21" s="75"/>
      <c r="E21" s="76">
        <f t="array" ref="E21">INDEX('ORC. SINTÉTICO'!$N:$N,MATCH($B21,'ORC. SINTÉTICO'!$B:$B,0))</f>
        <v>0</v>
      </c>
      <c r="F21" s="77" t="str">
        <f t="shared" si="0"/>
        <v>-</v>
      </c>
      <c r="G21" s="44"/>
      <c r="H21" s="48"/>
      <c r="I21" s="1"/>
      <c r="J21" s="1"/>
      <c r="K21" s="1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4"/>
      <c r="Y21" s="44"/>
      <c r="Z21" s="44"/>
    </row>
    <row r="22" spans="1:26" ht="15" customHeight="1" x14ac:dyDescent="0.25">
      <c r="A22" s="48"/>
      <c r="B22" s="74">
        <v>6</v>
      </c>
      <c r="C22" s="23" t="str">
        <f t="array" ref="C22">INDEX('ORC. SINTÉTICO'!$E:$E,MATCH($B22,'ORC. SINTÉTICO'!$B:$B,0))</f>
        <v>COBERTURA</v>
      </c>
      <c r="D22" s="75"/>
      <c r="E22" s="76">
        <f t="array" ref="E22">INDEX('ORC. SINTÉTICO'!$N:$N,MATCH($B22,'ORC. SINTÉTICO'!$B:$B,0))</f>
        <v>0</v>
      </c>
      <c r="F22" s="77" t="str">
        <f t="shared" si="0"/>
        <v>-</v>
      </c>
      <c r="G22" s="44"/>
      <c r="H22" s="48"/>
      <c r="I22" s="1"/>
      <c r="J22" s="1"/>
      <c r="K22" s="1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4"/>
      <c r="Y22" s="44"/>
      <c r="Z22" s="44"/>
    </row>
    <row r="23" spans="1:26" ht="15" customHeight="1" x14ac:dyDescent="0.25">
      <c r="A23" s="48"/>
      <c r="B23" s="74">
        <v>7</v>
      </c>
      <c r="C23" s="23" t="str">
        <f t="array" ref="C23">INDEX('ORC. SINTÉTICO'!$E:$E,MATCH($B23,'ORC. SINTÉTICO'!$B:$B,0))</f>
        <v>IMPERMEABILIZAÇÃO</v>
      </c>
      <c r="D23" s="78"/>
      <c r="E23" s="76">
        <f t="array" ref="E23">INDEX('ORC. SINTÉTICO'!$N:$N,MATCH($B23,'ORC. SINTÉTICO'!$B:$B,0))</f>
        <v>0</v>
      </c>
      <c r="F23" s="77" t="str">
        <f t="shared" si="0"/>
        <v>-</v>
      </c>
      <c r="G23" s="44"/>
      <c r="H23" s="48"/>
      <c r="I23" s="1"/>
      <c r="J23" s="1"/>
      <c r="K23" s="1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4"/>
      <c r="Y23" s="44"/>
      <c r="Z23" s="44"/>
    </row>
    <row r="24" spans="1:26" ht="15" customHeight="1" x14ac:dyDescent="0.25">
      <c r="A24" s="48"/>
      <c r="B24" s="74">
        <v>8</v>
      </c>
      <c r="C24" s="23" t="str">
        <f t="array" ref="C24">INDEX('ORC. SINTÉTICO'!$E:$E,MATCH($B24,'ORC. SINTÉTICO'!$B:$B,0))</f>
        <v>REVESTIMENTO DE PAREDE</v>
      </c>
      <c r="D24" s="75"/>
      <c r="E24" s="76">
        <f t="array" ref="E24">INDEX('ORC. SINTÉTICO'!$N:$N,MATCH($B24,'ORC. SINTÉTICO'!$B:$B,0))</f>
        <v>0</v>
      </c>
      <c r="F24" s="77" t="str">
        <f t="shared" si="0"/>
        <v>-</v>
      </c>
      <c r="G24" s="44"/>
      <c r="H24" s="48"/>
      <c r="I24" s="1"/>
      <c r="J24" s="1"/>
      <c r="K24" s="1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4"/>
      <c r="Y24" s="44"/>
      <c r="Z24" s="44"/>
    </row>
    <row r="25" spans="1:26" ht="15" customHeight="1" x14ac:dyDescent="0.25">
      <c r="A25" s="48"/>
      <c r="B25" s="74">
        <v>9</v>
      </c>
      <c r="C25" s="23" t="str">
        <f t="array" ref="C25">INDEX('ORC. SINTÉTICO'!$E:$E,MATCH($B25,'ORC. SINTÉTICO'!$B:$B,0))</f>
        <v>REVESTIMENTO DE PISO INTERNO</v>
      </c>
      <c r="D25" s="75"/>
      <c r="E25" s="76">
        <f t="array" ref="E25">INDEX('ORC. SINTÉTICO'!$N:$N,MATCH($B25,'ORC. SINTÉTICO'!$B:$B,0))</f>
        <v>0</v>
      </c>
      <c r="F25" s="77" t="str">
        <f t="shared" si="0"/>
        <v>-</v>
      </c>
      <c r="G25" s="44"/>
      <c r="H25" s="48"/>
      <c r="I25" s="1"/>
      <c r="J25" s="1"/>
      <c r="K25" s="1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4"/>
      <c r="Y25" s="44"/>
      <c r="Z25" s="44"/>
    </row>
    <row r="26" spans="1:26" ht="15" customHeight="1" x14ac:dyDescent="0.25">
      <c r="A26" s="48"/>
      <c r="B26" s="74">
        <v>10</v>
      </c>
      <c r="C26" s="23" t="str">
        <f t="array" ref="C26">INDEX('ORC. SINTÉTICO'!$E:$E,MATCH($B26,'ORC. SINTÉTICO'!$B:$B,0))</f>
        <v>REVESTIMENTO DE PISO EXTERNO</v>
      </c>
      <c r="D26" s="75"/>
      <c r="E26" s="76">
        <f t="array" ref="E26">INDEX('ORC. SINTÉTICO'!$N:$N,MATCH($B26,'ORC. SINTÉTICO'!$B:$B,0))</f>
        <v>0</v>
      </c>
      <c r="F26" s="77" t="str">
        <f t="shared" si="0"/>
        <v>-</v>
      </c>
      <c r="G26" s="44"/>
      <c r="H26" s="48"/>
      <c r="I26" s="1"/>
      <c r="J26" s="1"/>
      <c r="K26" s="1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4"/>
      <c r="Y26" s="44"/>
      <c r="Z26" s="44"/>
    </row>
    <row r="27" spans="1:26" ht="15" customHeight="1" x14ac:dyDescent="0.25">
      <c r="A27" s="48"/>
      <c r="B27" s="74">
        <v>11</v>
      </c>
      <c r="C27" s="23" t="str">
        <f t="array" ref="C27">INDEX('ORC. SINTÉTICO'!$E:$E,MATCH($B27,'ORC. SINTÉTICO'!$B:$B,0))</f>
        <v>REVESTIMENTO DE TETO</v>
      </c>
      <c r="D27" s="75"/>
      <c r="E27" s="76">
        <f t="array" ref="E27">INDEX('ORC. SINTÉTICO'!$N:$N,MATCH($B27,'ORC. SINTÉTICO'!$B:$B,0))</f>
        <v>0</v>
      </c>
      <c r="F27" s="77" t="str">
        <f t="shared" si="0"/>
        <v>-</v>
      </c>
      <c r="G27" s="44"/>
      <c r="H27" s="48"/>
      <c r="I27" s="1"/>
      <c r="J27" s="1"/>
      <c r="K27" s="1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4"/>
      <c r="Y27" s="44"/>
      <c r="Z27" s="44"/>
    </row>
    <row r="28" spans="1:26" ht="15" customHeight="1" x14ac:dyDescent="0.25">
      <c r="A28" s="48"/>
      <c r="B28" s="74">
        <v>12</v>
      </c>
      <c r="C28" s="23" t="str">
        <f t="array" ref="C28">INDEX('ORC. SINTÉTICO'!$E:$E,MATCH($B28,'ORC. SINTÉTICO'!$B:$B,0))</f>
        <v>FACHADA</v>
      </c>
      <c r="D28" s="75"/>
      <c r="E28" s="76">
        <f t="array" ref="E28">INDEX('ORC. SINTÉTICO'!$N:$N,MATCH($B28,'ORC. SINTÉTICO'!$B:$B,0))</f>
        <v>0</v>
      </c>
      <c r="F28" s="77" t="str">
        <f t="shared" si="0"/>
        <v>-</v>
      </c>
      <c r="G28" s="44"/>
      <c r="H28" s="48"/>
      <c r="I28" s="1"/>
      <c r="J28" s="1"/>
      <c r="K28" s="1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4"/>
      <c r="Y28" s="44"/>
      <c r="Z28" s="44"/>
    </row>
    <row r="29" spans="1:26" ht="15" customHeight="1" x14ac:dyDescent="0.25">
      <c r="A29" s="48"/>
      <c r="B29" s="74">
        <v>13</v>
      </c>
      <c r="C29" s="23" t="str">
        <f t="array" ref="C29">INDEX('ORC. SINTÉTICO'!$E:$E,MATCH($B29,'ORC. SINTÉTICO'!$B:$B,0))</f>
        <v>PINTURA</v>
      </c>
      <c r="D29" s="75"/>
      <c r="E29" s="76">
        <f t="array" ref="E29">INDEX('ORC. SINTÉTICO'!$N:$N,MATCH($B29,'ORC. SINTÉTICO'!$B:$B,0))</f>
        <v>0</v>
      </c>
      <c r="F29" s="77" t="str">
        <f t="shared" si="0"/>
        <v>-</v>
      </c>
      <c r="G29" s="44"/>
      <c r="H29" s="48"/>
      <c r="I29" s="1"/>
      <c r="J29" s="1"/>
      <c r="K29" s="1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4"/>
      <c r="Y29" s="44"/>
      <c r="Z29" s="44"/>
    </row>
    <row r="30" spans="1:26" ht="15" customHeight="1" x14ac:dyDescent="0.25">
      <c r="A30" s="48"/>
      <c r="B30" s="74">
        <v>14</v>
      </c>
      <c r="C30" s="23" t="str">
        <f t="array" ref="C30">INDEX('ORC. SINTÉTICO'!$E:$E,MATCH($B30,'ORC. SINTÉTICO'!$B:$B,0))</f>
        <v>MARMORARIA</v>
      </c>
      <c r="D30" s="75"/>
      <c r="E30" s="76">
        <f t="array" ref="E30">INDEX('ORC. SINTÉTICO'!$N:$N,MATCH($B30,'ORC. SINTÉTICO'!$B:$B,0))</f>
        <v>0</v>
      </c>
      <c r="F30" s="77" t="str">
        <f t="shared" si="0"/>
        <v>-</v>
      </c>
      <c r="G30" s="44"/>
      <c r="H30" s="48"/>
      <c r="I30" s="1"/>
      <c r="J30" s="1"/>
      <c r="K30" s="1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4"/>
      <c r="Y30" s="44"/>
      <c r="Z30" s="44"/>
    </row>
    <row r="31" spans="1:26" ht="15" customHeight="1" x14ac:dyDescent="0.25">
      <c r="A31" s="48"/>
      <c r="B31" s="74">
        <v>15</v>
      </c>
      <c r="C31" s="23" t="str">
        <f t="array" ref="C31">INDEX('ORC. SINTÉTICO'!$E:$E,MATCH($B31,'ORC. SINTÉTICO'!$B:$B,0))</f>
        <v>LOUÇAS, METAIS E ACESSÓRIOS</v>
      </c>
      <c r="D31" s="75"/>
      <c r="E31" s="76">
        <f t="array" ref="E31">INDEX('ORC. SINTÉTICO'!$N:$N,MATCH($B31,'ORC. SINTÉTICO'!$B:$B,0))</f>
        <v>0</v>
      </c>
      <c r="F31" s="77" t="str">
        <f t="shared" si="0"/>
        <v>-</v>
      </c>
      <c r="G31" s="44"/>
      <c r="H31" s="48"/>
      <c r="I31" s="1"/>
      <c r="J31" s="1"/>
      <c r="K31" s="1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4"/>
      <c r="Y31" s="44"/>
      <c r="Z31" s="44"/>
    </row>
    <row r="32" spans="1:26" ht="15" customHeight="1" x14ac:dyDescent="0.25">
      <c r="A32" s="48"/>
      <c r="B32" s="74">
        <v>16</v>
      </c>
      <c r="C32" s="23" t="str">
        <f t="array" ref="C32">INDEX('ORC. SINTÉTICO'!$E:$E,MATCH($B32,'ORC. SINTÉTICO'!$B:$B,0))</f>
        <v>CORRIMÃO, GUARDA CORPO</v>
      </c>
      <c r="D32" s="75"/>
      <c r="E32" s="76">
        <f t="array" ref="E32">INDEX('ORC. SINTÉTICO'!$N:$N,MATCH($B32,'ORC. SINTÉTICO'!$B:$B,0))</f>
        <v>0</v>
      </c>
      <c r="F32" s="77" t="str">
        <f t="shared" si="0"/>
        <v>-</v>
      </c>
      <c r="G32" s="44"/>
      <c r="H32" s="48"/>
      <c r="I32" s="1"/>
      <c r="J32" s="1"/>
      <c r="K32" s="1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4"/>
      <c r="Y32" s="44"/>
      <c r="Z32" s="44"/>
    </row>
    <row r="33" spans="1:26" ht="15" customHeight="1" x14ac:dyDescent="0.25">
      <c r="A33" s="48"/>
      <c r="B33" s="74">
        <v>17</v>
      </c>
      <c r="C33" s="23" t="str">
        <f t="array" ref="C33">INDEX('ORC. SINTÉTICO'!$E:$E,MATCH($B33,'ORC. SINTÉTICO'!$B:$B,0))</f>
        <v>INSTALAÇÕES HIDROSSANITÁRIAS</v>
      </c>
      <c r="D33" s="75"/>
      <c r="E33" s="76">
        <f t="array" ref="E33">INDEX('ORC. SINTÉTICO'!$N:$N,MATCH($B33,'ORC. SINTÉTICO'!$B:$B,0))</f>
        <v>0</v>
      </c>
      <c r="F33" s="77" t="str">
        <f t="shared" si="0"/>
        <v>-</v>
      </c>
      <c r="G33" s="44"/>
      <c r="H33" s="48"/>
      <c r="I33" s="1"/>
      <c r="J33" s="1"/>
      <c r="K33" s="1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4"/>
      <c r="Y33" s="44"/>
      <c r="Z33" s="44"/>
    </row>
    <row r="34" spans="1:26" ht="15" customHeight="1" x14ac:dyDescent="0.25">
      <c r="A34" s="48"/>
      <c r="B34" s="74">
        <v>18</v>
      </c>
      <c r="C34" s="23" t="str">
        <f t="array" ref="C34">INDEX('ORC. SINTÉTICO'!$E:$E,MATCH($B34,'ORC. SINTÉTICO'!$B:$B,0))</f>
        <v>INSTALAÇÕES ELÉTRICAS</v>
      </c>
      <c r="D34" s="75"/>
      <c r="E34" s="76">
        <f t="array" ref="E34">INDEX('ORC. SINTÉTICO'!$N:$N,MATCH($B34,'ORC. SINTÉTICO'!$B:$B,0))</f>
        <v>0</v>
      </c>
      <c r="F34" s="77" t="str">
        <f t="shared" si="0"/>
        <v>-</v>
      </c>
      <c r="G34" s="44"/>
      <c r="H34" s="48"/>
      <c r="I34" s="1"/>
      <c r="J34" s="1"/>
      <c r="K34" s="1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4"/>
      <c r="Y34" s="44"/>
      <c r="Z34" s="44"/>
    </row>
    <row r="35" spans="1:26" ht="15" customHeight="1" x14ac:dyDescent="0.25">
      <c r="A35" s="48"/>
      <c r="B35" s="74">
        <v>19</v>
      </c>
      <c r="C35" s="23" t="str">
        <f t="array" ref="C35">INDEX('ORC. SINTÉTICO'!$E:$E,MATCH($B35,'ORC. SINTÉTICO'!$B:$B,0))</f>
        <v>CLIMATIZAÇÃO</v>
      </c>
      <c r="D35" s="75"/>
      <c r="E35" s="76">
        <f t="array" ref="E35">INDEX('ORC. SINTÉTICO'!$N:$N,MATCH($B35,'ORC. SINTÉTICO'!$B:$B,0))</f>
        <v>0</v>
      </c>
      <c r="F35" s="77" t="str">
        <f t="shared" si="0"/>
        <v>-</v>
      </c>
      <c r="G35" s="44"/>
      <c r="H35" s="48"/>
      <c r="I35" s="1"/>
      <c r="J35" s="1"/>
      <c r="K35" s="1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4"/>
      <c r="Y35" s="44"/>
      <c r="Z35" s="44"/>
    </row>
    <row r="36" spans="1:26" ht="15" customHeight="1" x14ac:dyDescent="0.25">
      <c r="A36" s="48"/>
      <c r="B36" s="74">
        <v>20</v>
      </c>
      <c r="C36" s="23" t="str">
        <f t="array" ref="C36">INDEX('ORC. SINTÉTICO'!$E:$E,MATCH($B36,'ORC. SINTÉTICO'!$B:$B,0))</f>
        <v>DADOS E VOZ</v>
      </c>
      <c r="D36" s="75"/>
      <c r="E36" s="76">
        <f t="array" ref="E36">INDEX('ORC. SINTÉTICO'!$N:$N,MATCH($B36,'ORC. SINTÉTICO'!$B:$B,0))</f>
        <v>0</v>
      </c>
      <c r="F36" s="77" t="str">
        <f t="shared" si="0"/>
        <v>-</v>
      </c>
      <c r="G36" s="44"/>
      <c r="H36" s="48"/>
      <c r="I36" s="1"/>
      <c r="J36" s="1"/>
      <c r="K36" s="1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4"/>
      <c r="Y36" s="44"/>
      <c r="Z36" s="44"/>
    </row>
    <row r="37" spans="1:26" ht="15" customHeight="1" x14ac:dyDescent="0.25">
      <c r="A37" s="48"/>
      <c r="B37" s="74">
        <v>21</v>
      </c>
      <c r="C37" s="23" t="str">
        <f t="array" ref="C37">INDEX('ORC. SINTÉTICO'!$E:$E,MATCH($B37,'ORC. SINTÉTICO'!$B:$B,0))</f>
        <v>GASES MEDICINAIS</v>
      </c>
      <c r="D37" s="75"/>
      <c r="E37" s="76">
        <f t="array" ref="E37">INDEX('ORC. SINTÉTICO'!$N:$N,MATCH($B37,'ORC. SINTÉTICO'!$B:$B,0))</f>
        <v>0</v>
      </c>
      <c r="F37" s="77" t="str">
        <f t="shared" si="0"/>
        <v>-</v>
      </c>
      <c r="G37" s="44"/>
      <c r="H37" s="48"/>
      <c r="I37" s="1"/>
      <c r="J37" s="1"/>
      <c r="K37" s="1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4"/>
      <c r="Y37" s="44"/>
      <c r="Z37" s="44"/>
    </row>
    <row r="38" spans="1:26" ht="15" customHeight="1" x14ac:dyDescent="0.25">
      <c r="A38" s="48"/>
      <c r="B38" s="74">
        <v>22</v>
      </c>
      <c r="C38" s="23" t="str">
        <f t="array" ref="C38">INDEX('ORC. SINTÉTICO'!$E:$E,MATCH($B38,'ORC. SINTÉTICO'!$B:$B,0))</f>
        <v>URBANIZAÇÃO</v>
      </c>
      <c r="D38" s="75"/>
      <c r="E38" s="76">
        <f t="array" ref="E38">INDEX('ORC. SINTÉTICO'!$N:$N,MATCH($B38,'ORC. SINTÉTICO'!$B:$B,0))</f>
        <v>0</v>
      </c>
      <c r="F38" s="77" t="str">
        <f t="shared" si="0"/>
        <v>-</v>
      </c>
      <c r="G38" s="44"/>
      <c r="H38" s="48"/>
      <c r="I38" s="1"/>
      <c r="J38" s="1"/>
      <c r="K38" s="1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4"/>
      <c r="Y38" s="44"/>
      <c r="Z38" s="44"/>
    </row>
    <row r="39" spans="1:26" ht="15" customHeight="1" x14ac:dyDescent="0.25">
      <c r="A39" s="48"/>
      <c r="B39" s="74">
        <v>23</v>
      </c>
      <c r="C39" s="23" t="str">
        <f t="array" ref="C39">INDEX('ORC. SINTÉTICO'!$E:$E,MATCH($B39,'ORC. SINTÉTICO'!$B:$B,0))</f>
        <v>SERVIÇOS COMPLEMENTARES</v>
      </c>
      <c r="D39" s="75"/>
      <c r="E39" s="76">
        <f t="array" ref="E39">INDEX('ORC. SINTÉTICO'!$N:$N,MATCH($B39,'ORC. SINTÉTICO'!$B:$B,0))</f>
        <v>0</v>
      </c>
      <c r="F39" s="77" t="str">
        <f t="shared" si="0"/>
        <v>-</v>
      </c>
      <c r="G39" s="44"/>
      <c r="H39" s="48"/>
      <c r="I39" s="1"/>
      <c r="J39" s="1"/>
      <c r="K39" s="1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4"/>
      <c r="Y39" s="44"/>
      <c r="Z39" s="44"/>
    </row>
    <row r="40" spans="1:26" ht="15" customHeight="1" x14ac:dyDescent="0.25">
      <c r="A40" s="66"/>
      <c r="B40" s="72"/>
      <c r="C40" s="79"/>
      <c r="D40" s="79"/>
      <c r="E40" s="72"/>
      <c r="F40" s="72"/>
      <c r="G40" s="44"/>
      <c r="H40" s="48"/>
      <c r="I40" s="1"/>
      <c r="J40" s="1"/>
      <c r="K40" s="1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spans="1:26" ht="15" customHeight="1" x14ac:dyDescent="0.25">
      <c r="A41" s="66"/>
      <c r="B41" s="277" t="s">
        <v>28</v>
      </c>
      <c r="C41" s="273"/>
      <c r="D41" s="80"/>
      <c r="E41" s="80">
        <f>SUBTOTAL(9,E17:E39)</f>
        <v>0</v>
      </c>
      <c r="F41" s="70">
        <f>SUBTOTAL(9,F17:F39)</f>
        <v>0</v>
      </c>
      <c r="G41" s="44"/>
      <c r="H41" s="48"/>
      <c r="I41" s="81"/>
      <c r="J41" s="1"/>
      <c r="K41" s="1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spans="1:26" ht="15" customHeight="1" x14ac:dyDescent="0.25">
      <c r="A42" s="66"/>
      <c r="B42" s="65"/>
      <c r="C42" s="65"/>
      <c r="D42" s="65"/>
      <c r="E42" s="65"/>
      <c r="F42" s="65"/>
      <c r="G42" s="44"/>
      <c r="H42" s="48"/>
      <c r="I42" s="81"/>
      <c r="J42" s="1"/>
      <c r="K42" s="1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spans="1:26" ht="15" customHeight="1" x14ac:dyDescent="0.25">
      <c r="A43" s="48"/>
      <c r="B43" s="82" t="s">
        <v>29</v>
      </c>
      <c r="C43" s="83"/>
      <c r="D43" s="83"/>
      <c r="E43" s="83"/>
      <c r="F43" s="84"/>
      <c r="G43" s="44"/>
      <c r="H43" s="48"/>
      <c r="I43" s="1"/>
      <c r="J43" s="1"/>
      <c r="K43" s="1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1:26" ht="15" customHeight="1" x14ac:dyDescent="0.25">
      <c r="A44" s="48"/>
      <c r="B44" s="226" t="s">
        <v>2277</v>
      </c>
      <c r="C44" s="4"/>
      <c r="D44" s="4"/>
      <c r="E44" s="4"/>
      <c r="F44" s="85"/>
      <c r="G44" s="44"/>
      <c r="H44" s="86"/>
      <c r="I44" s="1"/>
      <c r="J44" s="1"/>
      <c r="K44" s="1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spans="1:26" ht="15" customHeight="1" x14ac:dyDescent="0.25">
      <c r="A45" s="48"/>
      <c r="B45" s="87"/>
      <c r="C45" s="42"/>
      <c r="D45" s="42"/>
      <c r="E45" s="42"/>
      <c r="F45" s="43"/>
      <c r="G45" s="44"/>
      <c r="H45" s="48"/>
      <c r="I45" s="1"/>
      <c r="J45" s="1"/>
      <c r="K45" s="1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spans="1:26" ht="15" customHeight="1" x14ac:dyDescent="0.25">
      <c r="A46" s="44"/>
      <c r="B46" s="44"/>
      <c r="C46" s="44"/>
      <c r="D46" s="44"/>
      <c r="E46" s="44"/>
      <c r="F46" s="44"/>
      <c r="G46" s="44"/>
      <c r="H46" s="44"/>
      <c r="I46" s="1"/>
      <c r="J46" s="1"/>
      <c r="K46" s="1"/>
      <c r="L46" s="48"/>
      <c r="M46" s="48"/>
      <c r="N46" s="48"/>
      <c r="O46" s="48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spans="1:26" ht="15" customHeight="1" x14ac:dyDescent="0.25">
      <c r="A47" s="48"/>
      <c r="B47" s="88"/>
      <c r="C47" s="89"/>
      <c r="D47" s="89"/>
      <c r="E47" s="89"/>
      <c r="F47" s="90"/>
      <c r="G47" s="44"/>
      <c r="H47" s="48"/>
      <c r="I47" s="1"/>
      <c r="J47" s="1"/>
      <c r="K47" s="1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spans="1:26" ht="15" customHeight="1" x14ac:dyDescent="0.25">
      <c r="A48" s="48"/>
      <c r="B48" s="91"/>
      <c r="C48" s="66"/>
      <c r="D48" s="66"/>
      <c r="E48" s="66"/>
      <c r="F48" s="92"/>
      <c r="G48" s="44"/>
      <c r="H48" s="48"/>
      <c r="I48" s="1"/>
      <c r="J48" s="1"/>
      <c r="K48" s="1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spans="1:26" ht="15" customHeight="1" x14ac:dyDescent="0.25">
      <c r="A49" s="48"/>
      <c r="B49" s="91"/>
      <c r="C49" s="66"/>
      <c r="D49" s="66"/>
      <c r="E49" s="66"/>
      <c r="F49" s="92"/>
      <c r="G49" s="44"/>
      <c r="H49" s="48"/>
      <c r="I49" s="49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spans="1:26" ht="15" customHeight="1" x14ac:dyDescent="0.25">
      <c r="A50" s="48"/>
      <c r="B50" s="91"/>
      <c r="C50" s="66"/>
      <c r="D50" s="66"/>
      <c r="E50" s="66"/>
      <c r="F50" s="92"/>
      <c r="G50" s="44"/>
      <c r="H50" s="48"/>
      <c r="I50" s="49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spans="1:26" ht="15" customHeight="1" x14ac:dyDescent="0.25">
      <c r="A51" s="48"/>
      <c r="B51" s="278" t="s">
        <v>18</v>
      </c>
      <c r="C51" s="266"/>
      <c r="D51" s="266"/>
      <c r="E51" s="266"/>
      <c r="F51" s="267"/>
      <c r="G51" s="44"/>
      <c r="H51" s="48"/>
      <c r="I51" s="49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spans="1:26" ht="15" customHeight="1" x14ac:dyDescent="0.25">
      <c r="A52" s="48"/>
      <c r="B52" s="279" t="str">
        <f>'DADOS GERAIS'!C24</f>
        <v>Thaís Ferreira Pellaquim</v>
      </c>
      <c r="C52" s="266"/>
      <c r="D52" s="266"/>
      <c r="E52" s="266"/>
      <c r="F52" s="267"/>
      <c r="G52" s="44"/>
      <c r="H52" s="48"/>
      <c r="I52" s="49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spans="1:26" ht="15" customHeight="1" x14ac:dyDescent="0.25">
      <c r="A53" s="48"/>
      <c r="B53" s="280" t="str">
        <f>'DADOS GERAIS'!C25</f>
        <v>Engenheira Civil  - CREA MG 247749/D</v>
      </c>
      <c r="C53" s="266"/>
      <c r="D53" s="266"/>
      <c r="E53" s="266"/>
      <c r="F53" s="267"/>
      <c r="G53" s="44"/>
      <c r="H53" s="48"/>
      <c r="I53" s="49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spans="1:26" ht="15" customHeight="1" x14ac:dyDescent="0.25">
      <c r="A54" s="48"/>
      <c r="B54" s="93"/>
      <c r="C54" s="42"/>
      <c r="D54" s="42"/>
      <c r="E54" s="42"/>
      <c r="F54" s="43"/>
      <c r="G54" s="44"/>
      <c r="H54" s="48"/>
      <c r="I54" s="49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spans="1:26" ht="15.75" customHeight="1" x14ac:dyDescent="0.25">
      <c r="A55" s="48"/>
      <c r="B55" s="65"/>
      <c r="C55" s="4"/>
      <c r="D55" s="4"/>
      <c r="E55" s="4"/>
      <c r="F55" s="4"/>
      <c r="G55" s="44"/>
      <c r="H55" s="44"/>
      <c r="I55" s="45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spans="1:26" ht="15.75" customHeight="1" x14ac:dyDescent="0.25">
      <c r="A56" s="44"/>
      <c r="B56" s="44"/>
      <c r="C56" s="44"/>
      <c r="D56" s="44"/>
      <c r="E56" s="44"/>
      <c r="F56" s="44"/>
      <c r="G56" s="44"/>
      <c r="H56" s="44"/>
      <c r="I56" s="45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spans="1:26" ht="15.75" customHeight="1" x14ac:dyDescent="0.25">
      <c r="A57" s="44"/>
      <c r="B57" s="44"/>
      <c r="C57" s="44"/>
      <c r="D57" s="44"/>
      <c r="E57" s="44"/>
      <c r="F57" s="44"/>
      <c r="G57" s="44"/>
      <c r="H57" s="44"/>
      <c r="I57" s="45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spans="1:26" ht="15.75" customHeight="1" x14ac:dyDescent="0.25">
      <c r="A58" s="44"/>
      <c r="B58" s="44"/>
      <c r="C58" s="44"/>
      <c r="D58" s="44"/>
      <c r="E58" s="44"/>
      <c r="F58" s="44"/>
      <c r="G58" s="44"/>
      <c r="H58" s="44"/>
      <c r="I58" s="45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spans="1:26" ht="15.75" customHeight="1" x14ac:dyDescent="0.25">
      <c r="A59" s="44"/>
      <c r="B59" s="44"/>
      <c r="C59" s="44"/>
      <c r="D59" s="44"/>
      <c r="E59" s="44"/>
      <c r="F59" s="44"/>
      <c r="G59" s="44"/>
      <c r="H59" s="44"/>
      <c r="I59" s="45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spans="1:26" ht="15.75" customHeight="1" x14ac:dyDescent="0.25">
      <c r="A60" s="44"/>
      <c r="B60" s="44"/>
      <c r="C60" s="44"/>
      <c r="D60" s="44"/>
      <c r="E60" s="44"/>
      <c r="F60" s="44"/>
      <c r="G60" s="44"/>
      <c r="H60" s="44"/>
      <c r="I60" s="45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spans="1:26" ht="15.75" customHeight="1" x14ac:dyDescent="0.25">
      <c r="A61" s="44"/>
      <c r="B61" s="44"/>
      <c r="C61" s="44"/>
      <c r="D61" s="94"/>
      <c r="E61" s="94"/>
      <c r="F61" s="94"/>
      <c r="G61" s="44"/>
      <c r="H61" s="44"/>
      <c r="I61" s="45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spans="1:26" ht="15.75" customHeight="1" x14ac:dyDescent="0.25">
      <c r="A62" s="44"/>
      <c r="B62" s="44"/>
      <c r="C62" s="44"/>
      <c r="D62" s="95"/>
      <c r="E62" s="95"/>
      <c r="F62" s="95"/>
      <c r="G62" s="44"/>
      <c r="H62" s="44"/>
      <c r="I62" s="45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spans="1:26" ht="15.75" customHeight="1" x14ac:dyDescent="0.25">
      <c r="A63" s="44"/>
      <c r="B63" s="44"/>
      <c r="C63" s="44"/>
      <c r="D63" s="44"/>
      <c r="E63" s="44"/>
      <c r="F63" s="44"/>
      <c r="G63" s="44"/>
      <c r="H63" s="44"/>
      <c r="I63" s="45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spans="1:26" ht="15.75" customHeight="1" x14ac:dyDescent="0.25">
      <c r="A64" s="44"/>
      <c r="B64" s="44"/>
      <c r="C64" s="44"/>
      <c r="D64" s="44"/>
      <c r="E64" s="44"/>
      <c r="F64" s="44"/>
      <c r="G64" s="44"/>
      <c r="H64" s="44"/>
      <c r="I64" s="45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spans="1:26" ht="15.75" customHeight="1" x14ac:dyDescent="0.25">
      <c r="A65" s="44"/>
      <c r="B65" s="44"/>
      <c r="C65" s="44"/>
      <c r="D65" s="44"/>
      <c r="E65" s="44"/>
      <c r="F65" s="44"/>
      <c r="G65" s="44"/>
      <c r="H65" s="44"/>
      <c r="I65" s="45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spans="1:26" ht="15.75" customHeight="1" x14ac:dyDescent="0.25">
      <c r="A66" s="44"/>
      <c r="B66" s="44"/>
      <c r="C66" s="44"/>
      <c r="D66" s="44"/>
      <c r="E66" s="44"/>
      <c r="F66" s="44"/>
      <c r="G66" s="44"/>
      <c r="H66" s="44"/>
      <c r="I66" s="45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spans="1:26" ht="15.75" customHeight="1" x14ac:dyDescent="0.25">
      <c r="A67" s="44"/>
      <c r="B67" s="44"/>
      <c r="C67" s="44"/>
      <c r="D67" s="44"/>
      <c r="E67" s="44"/>
      <c r="F67" s="44"/>
      <c r="G67" s="44"/>
      <c r="H67" s="44"/>
      <c r="I67" s="45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spans="1:26" ht="15.75" customHeight="1" x14ac:dyDescent="0.25">
      <c r="A68" s="44"/>
      <c r="B68" s="44"/>
      <c r="C68" s="44"/>
      <c r="D68" s="44"/>
      <c r="E68" s="44"/>
      <c r="F68" s="44"/>
      <c r="G68" s="44"/>
      <c r="H68" s="44"/>
      <c r="I68" s="45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spans="1:26" ht="15.75" customHeight="1" x14ac:dyDescent="0.25">
      <c r="A69" s="44"/>
      <c r="B69" s="44"/>
      <c r="C69" s="44"/>
      <c r="D69" s="44"/>
      <c r="E69" s="44"/>
      <c r="F69" s="44"/>
      <c r="G69" s="44"/>
      <c r="H69" s="44"/>
      <c r="I69" s="45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spans="1:26" ht="15.75" customHeight="1" x14ac:dyDescent="0.25">
      <c r="A70" s="44"/>
      <c r="B70" s="44"/>
      <c r="C70" s="44"/>
      <c r="D70" s="44"/>
      <c r="E70" s="44"/>
      <c r="F70" s="44"/>
      <c r="G70" s="44"/>
      <c r="H70" s="44"/>
      <c r="I70" s="45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spans="1:26" ht="15.75" customHeight="1" x14ac:dyDescent="0.25">
      <c r="A71" s="44"/>
      <c r="B71" s="44"/>
      <c r="C71" s="44"/>
      <c r="D71" s="44"/>
      <c r="E71" s="44"/>
      <c r="F71" s="44"/>
      <c r="G71" s="44"/>
      <c r="H71" s="44"/>
      <c r="I71" s="45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spans="1:26" ht="15.75" customHeight="1" x14ac:dyDescent="0.25">
      <c r="A72" s="44"/>
      <c r="B72" s="44"/>
      <c r="C72" s="44"/>
      <c r="D72" s="44"/>
      <c r="E72" s="44"/>
      <c r="F72" s="44"/>
      <c r="G72" s="44"/>
      <c r="H72" s="44"/>
      <c r="I72" s="45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spans="1:26" ht="15.75" customHeight="1" x14ac:dyDescent="0.25">
      <c r="A73" s="44"/>
      <c r="B73" s="44"/>
      <c r="C73" s="44"/>
      <c r="D73" s="44"/>
      <c r="E73" s="44"/>
      <c r="F73" s="44"/>
      <c r="G73" s="44"/>
      <c r="H73" s="44"/>
      <c r="I73" s="45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spans="1:26" ht="15.75" customHeight="1" x14ac:dyDescent="0.25">
      <c r="A74" s="44"/>
      <c r="B74" s="44"/>
      <c r="C74" s="44"/>
      <c r="D74" s="44"/>
      <c r="E74" s="44"/>
      <c r="F74" s="44"/>
      <c r="G74" s="44"/>
      <c r="H74" s="44"/>
      <c r="I74" s="45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spans="1:26" ht="15.75" customHeight="1" x14ac:dyDescent="0.25">
      <c r="A75" s="44"/>
      <c r="B75" s="44"/>
      <c r="C75" s="44"/>
      <c r="D75" s="44"/>
      <c r="E75" s="44"/>
      <c r="F75" s="44"/>
      <c r="G75" s="44"/>
      <c r="H75" s="44"/>
      <c r="I75" s="45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spans="1:26" ht="15.75" customHeight="1" x14ac:dyDescent="0.25">
      <c r="A76" s="44"/>
      <c r="B76" s="44"/>
      <c r="C76" s="44"/>
      <c r="D76" s="44"/>
      <c r="E76" s="44"/>
      <c r="F76" s="44"/>
      <c r="G76" s="44"/>
      <c r="H76" s="44"/>
      <c r="I76" s="45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spans="1:26" ht="15.75" customHeight="1" x14ac:dyDescent="0.25">
      <c r="A77" s="44"/>
      <c r="B77" s="44"/>
      <c r="C77" s="44"/>
      <c r="D77" s="44"/>
      <c r="E77" s="44"/>
      <c r="F77" s="44"/>
      <c r="G77" s="44"/>
      <c r="H77" s="44"/>
      <c r="I77" s="45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spans="1:26" ht="15.75" customHeight="1" x14ac:dyDescent="0.25">
      <c r="A78" s="44"/>
      <c r="B78" s="44"/>
      <c r="C78" s="44"/>
      <c r="D78" s="44"/>
      <c r="E78" s="44"/>
      <c r="F78" s="44"/>
      <c r="G78" s="44"/>
      <c r="H78" s="44"/>
      <c r="I78" s="45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spans="1:26" ht="15.75" customHeight="1" x14ac:dyDescent="0.25">
      <c r="A79" s="44"/>
      <c r="B79" s="44"/>
      <c r="C79" s="44"/>
      <c r="D79" s="44"/>
      <c r="E79" s="44"/>
      <c r="F79" s="44"/>
      <c r="G79" s="44"/>
      <c r="H79" s="44"/>
      <c r="I79" s="45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spans="1:26" ht="15.75" customHeight="1" x14ac:dyDescent="0.25">
      <c r="A80" s="44"/>
      <c r="B80" s="44"/>
      <c r="C80" s="44"/>
      <c r="D80" s="44"/>
      <c r="E80" s="44"/>
      <c r="F80" s="44"/>
      <c r="G80" s="44"/>
      <c r="H80" s="44"/>
      <c r="I80" s="45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spans="1:26" ht="15.75" customHeight="1" x14ac:dyDescent="0.25">
      <c r="A81" s="44"/>
      <c r="B81" s="44"/>
      <c r="C81" s="44"/>
      <c r="D81" s="44"/>
      <c r="E81" s="44"/>
      <c r="F81" s="44"/>
      <c r="G81" s="44"/>
      <c r="H81" s="44"/>
      <c r="I81" s="45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spans="1:26" ht="15.75" customHeight="1" x14ac:dyDescent="0.25">
      <c r="A82" s="44"/>
      <c r="B82" s="44"/>
      <c r="C82" s="44"/>
      <c r="D82" s="44"/>
      <c r="E82" s="44"/>
      <c r="F82" s="44"/>
      <c r="G82" s="44"/>
      <c r="H82" s="44"/>
      <c r="I82" s="45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spans="1:26" ht="15.75" customHeight="1" x14ac:dyDescent="0.25">
      <c r="A83" s="44"/>
      <c r="B83" s="44"/>
      <c r="C83" s="44"/>
      <c r="D83" s="44"/>
      <c r="E83" s="44"/>
      <c r="F83" s="44"/>
      <c r="G83" s="44"/>
      <c r="H83" s="44"/>
      <c r="I83" s="45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spans="1:26" ht="15.75" customHeight="1" x14ac:dyDescent="0.25">
      <c r="A84" s="44"/>
      <c r="B84" s="44"/>
      <c r="C84" s="44"/>
      <c r="D84" s="44"/>
      <c r="E84" s="44"/>
      <c r="F84" s="44"/>
      <c r="G84" s="44"/>
      <c r="H84" s="44"/>
      <c r="I84" s="45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spans="1:26" ht="15.75" customHeight="1" x14ac:dyDescent="0.25">
      <c r="A85" s="44"/>
      <c r="B85" s="44"/>
      <c r="C85" s="44"/>
      <c r="D85" s="44"/>
      <c r="E85" s="44"/>
      <c r="F85" s="44"/>
      <c r="G85" s="44"/>
      <c r="H85" s="44"/>
      <c r="I85" s="45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spans="1:26" ht="15.75" customHeight="1" x14ac:dyDescent="0.25">
      <c r="A86" s="44"/>
      <c r="B86" s="44"/>
      <c r="C86" s="44"/>
      <c r="D86" s="44"/>
      <c r="E86" s="44"/>
      <c r="F86" s="44"/>
      <c r="G86" s="44"/>
      <c r="H86" s="44"/>
      <c r="I86" s="45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spans="1:26" ht="15.75" customHeight="1" x14ac:dyDescent="0.25">
      <c r="A87" s="44"/>
      <c r="B87" s="44"/>
      <c r="C87" s="44"/>
      <c r="D87" s="44"/>
      <c r="E87" s="44"/>
      <c r="F87" s="44"/>
      <c r="G87" s="44"/>
      <c r="H87" s="44"/>
      <c r="I87" s="45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spans="1:26" ht="15.75" customHeight="1" x14ac:dyDescent="0.25">
      <c r="A88" s="44"/>
      <c r="B88" s="44"/>
      <c r="C88" s="44"/>
      <c r="D88" s="44"/>
      <c r="E88" s="44"/>
      <c r="F88" s="44"/>
      <c r="G88" s="44"/>
      <c r="H88" s="44"/>
      <c r="I88" s="45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spans="1:26" ht="15.75" customHeight="1" x14ac:dyDescent="0.25">
      <c r="A89" s="44"/>
      <c r="B89" s="44"/>
      <c r="C89" s="44"/>
      <c r="D89" s="44"/>
      <c r="E89" s="44"/>
      <c r="F89" s="44"/>
      <c r="G89" s="44"/>
      <c r="H89" s="44"/>
      <c r="I89" s="45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spans="1:26" ht="15.75" customHeight="1" x14ac:dyDescent="0.25">
      <c r="A90" s="44"/>
      <c r="B90" s="44"/>
      <c r="C90" s="44"/>
      <c r="D90" s="44"/>
      <c r="E90" s="44"/>
      <c r="F90" s="44"/>
      <c r="G90" s="44"/>
      <c r="H90" s="44"/>
      <c r="I90" s="45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spans="1:26" ht="15.75" customHeight="1" x14ac:dyDescent="0.25">
      <c r="A91" s="44"/>
      <c r="B91" s="44"/>
      <c r="C91" s="44"/>
      <c r="D91" s="44"/>
      <c r="E91" s="44"/>
      <c r="F91" s="44"/>
      <c r="G91" s="44"/>
      <c r="H91" s="44"/>
      <c r="I91" s="45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spans="1:26" ht="15.75" customHeight="1" x14ac:dyDescent="0.25">
      <c r="A92" s="44"/>
      <c r="B92" s="44"/>
      <c r="C92" s="44"/>
      <c r="D92" s="44"/>
      <c r="E92" s="44"/>
      <c r="F92" s="44"/>
      <c r="G92" s="44"/>
      <c r="H92" s="44"/>
      <c r="I92" s="45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spans="1:26" ht="15.75" customHeight="1" x14ac:dyDescent="0.25">
      <c r="A93" s="44"/>
      <c r="B93" s="44"/>
      <c r="C93" s="44"/>
      <c r="D93" s="44"/>
      <c r="E93" s="44"/>
      <c r="F93" s="44"/>
      <c r="G93" s="44"/>
      <c r="H93" s="44"/>
      <c r="I93" s="45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spans="1:26" ht="15.75" customHeight="1" x14ac:dyDescent="0.25">
      <c r="A94" s="44"/>
      <c r="B94" s="44"/>
      <c r="C94" s="44"/>
      <c r="D94" s="44"/>
      <c r="E94" s="44"/>
      <c r="F94" s="44"/>
      <c r="G94" s="44"/>
      <c r="H94" s="44"/>
      <c r="I94" s="45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spans="1:26" ht="15.75" customHeight="1" x14ac:dyDescent="0.25">
      <c r="A95" s="44"/>
      <c r="B95" s="44"/>
      <c r="C95" s="44"/>
      <c r="D95" s="44"/>
      <c r="E95" s="44"/>
      <c r="F95" s="44"/>
      <c r="G95" s="44"/>
      <c r="H95" s="44"/>
      <c r="I95" s="45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spans="1:26" ht="15.75" customHeight="1" x14ac:dyDescent="0.25">
      <c r="A96" s="44"/>
      <c r="B96" s="44"/>
      <c r="C96" s="44"/>
      <c r="D96" s="44"/>
      <c r="E96" s="44"/>
      <c r="F96" s="44"/>
      <c r="G96" s="44"/>
      <c r="H96" s="44"/>
      <c r="I96" s="45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spans="1:26" ht="15.75" customHeight="1" x14ac:dyDescent="0.25">
      <c r="A97" s="44"/>
      <c r="B97" s="44"/>
      <c r="C97" s="44"/>
      <c r="D97" s="44"/>
      <c r="E97" s="44"/>
      <c r="F97" s="44"/>
      <c r="G97" s="44"/>
      <c r="H97" s="44"/>
      <c r="I97" s="45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spans="1:26" ht="15.75" customHeight="1" x14ac:dyDescent="0.25">
      <c r="A98" s="44"/>
      <c r="B98" s="44"/>
      <c r="C98" s="44"/>
      <c r="D98" s="44"/>
      <c r="E98" s="44"/>
      <c r="F98" s="44"/>
      <c r="G98" s="44"/>
      <c r="H98" s="44"/>
      <c r="I98" s="45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spans="1:26" ht="15.75" customHeight="1" x14ac:dyDescent="0.25">
      <c r="A99" s="44"/>
      <c r="B99" s="44"/>
      <c r="C99" s="44"/>
      <c r="D99" s="44"/>
      <c r="E99" s="44"/>
      <c r="F99" s="44"/>
      <c r="G99" s="44"/>
      <c r="H99" s="44"/>
      <c r="I99" s="45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spans="1:26" ht="15.75" customHeight="1" x14ac:dyDescent="0.25">
      <c r="A100" s="44"/>
      <c r="B100" s="44"/>
      <c r="C100" s="44"/>
      <c r="D100" s="44"/>
      <c r="E100" s="44"/>
      <c r="F100" s="44"/>
      <c r="G100" s="44"/>
      <c r="H100" s="44"/>
      <c r="I100" s="45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spans="1:26" ht="15.75" customHeight="1" x14ac:dyDescent="0.25">
      <c r="A101" s="44"/>
      <c r="B101" s="44"/>
      <c r="C101" s="44"/>
      <c r="D101" s="44"/>
      <c r="E101" s="44"/>
      <c r="F101" s="44"/>
      <c r="G101" s="44"/>
      <c r="H101" s="44"/>
      <c r="I101" s="45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spans="1:26" ht="15.75" customHeight="1" x14ac:dyDescent="0.25">
      <c r="A102" s="44"/>
      <c r="B102" s="44"/>
      <c r="C102" s="44"/>
      <c r="D102" s="44"/>
      <c r="E102" s="44"/>
      <c r="F102" s="44"/>
      <c r="G102" s="44"/>
      <c r="H102" s="44"/>
      <c r="I102" s="45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spans="1:26" ht="15.75" customHeight="1" x14ac:dyDescent="0.25">
      <c r="A103" s="44"/>
      <c r="B103" s="44"/>
      <c r="C103" s="44"/>
      <c r="D103" s="44"/>
      <c r="E103" s="44"/>
      <c r="F103" s="44"/>
      <c r="G103" s="44"/>
      <c r="H103" s="44"/>
      <c r="I103" s="45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spans="1:26" ht="15.75" customHeight="1" x14ac:dyDescent="0.25">
      <c r="A104" s="44"/>
      <c r="B104" s="44"/>
      <c r="C104" s="44"/>
      <c r="D104" s="44"/>
      <c r="E104" s="44"/>
      <c r="F104" s="44"/>
      <c r="G104" s="44"/>
      <c r="H104" s="44"/>
      <c r="I104" s="45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spans="1:26" ht="15.75" customHeight="1" x14ac:dyDescent="0.25">
      <c r="A105" s="44"/>
      <c r="B105" s="44"/>
      <c r="C105" s="44"/>
      <c r="D105" s="44"/>
      <c r="E105" s="44"/>
      <c r="F105" s="44"/>
      <c r="G105" s="44"/>
      <c r="H105" s="44"/>
      <c r="I105" s="45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spans="1:26" ht="15.75" customHeight="1" x14ac:dyDescent="0.25">
      <c r="A106" s="44"/>
      <c r="B106" s="44"/>
      <c r="C106" s="44"/>
      <c r="D106" s="44"/>
      <c r="E106" s="44"/>
      <c r="F106" s="44"/>
      <c r="G106" s="44"/>
      <c r="H106" s="44"/>
      <c r="I106" s="45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spans="1:26" ht="15.75" customHeight="1" x14ac:dyDescent="0.25">
      <c r="A107" s="44"/>
      <c r="B107" s="44"/>
      <c r="C107" s="44"/>
      <c r="D107" s="44"/>
      <c r="E107" s="44"/>
      <c r="F107" s="44"/>
      <c r="G107" s="44"/>
      <c r="H107" s="44"/>
      <c r="I107" s="45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spans="1:26" ht="15.75" customHeight="1" x14ac:dyDescent="0.25">
      <c r="A108" s="44"/>
      <c r="B108" s="44"/>
      <c r="C108" s="44"/>
      <c r="D108" s="44"/>
      <c r="E108" s="44"/>
      <c r="F108" s="44"/>
      <c r="G108" s="44"/>
      <c r="H108" s="44"/>
      <c r="I108" s="45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spans="1:26" ht="15.75" customHeight="1" x14ac:dyDescent="0.25">
      <c r="A109" s="44"/>
      <c r="B109" s="44"/>
      <c r="C109" s="44"/>
      <c r="D109" s="44"/>
      <c r="E109" s="44"/>
      <c r="F109" s="44"/>
      <c r="G109" s="44"/>
      <c r="H109" s="44"/>
      <c r="I109" s="45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spans="1:26" ht="15.75" customHeight="1" x14ac:dyDescent="0.25">
      <c r="A110" s="44"/>
      <c r="B110" s="44"/>
      <c r="C110" s="44"/>
      <c r="D110" s="44"/>
      <c r="E110" s="44"/>
      <c r="F110" s="44"/>
      <c r="G110" s="44"/>
      <c r="H110" s="44"/>
      <c r="I110" s="45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spans="1:26" ht="15.75" customHeight="1" x14ac:dyDescent="0.25">
      <c r="A111" s="44"/>
      <c r="B111" s="44"/>
      <c r="C111" s="44"/>
      <c r="D111" s="44"/>
      <c r="E111" s="44"/>
      <c r="F111" s="44"/>
      <c r="G111" s="44"/>
      <c r="H111" s="44"/>
      <c r="I111" s="45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spans="1:26" ht="15.75" customHeight="1" x14ac:dyDescent="0.25">
      <c r="A112" s="44"/>
      <c r="B112" s="44"/>
      <c r="C112" s="44"/>
      <c r="D112" s="44"/>
      <c r="E112" s="44"/>
      <c r="F112" s="44"/>
      <c r="G112" s="44"/>
      <c r="H112" s="44"/>
      <c r="I112" s="45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spans="1:26" ht="15.75" customHeight="1" x14ac:dyDescent="0.25">
      <c r="A113" s="44"/>
      <c r="B113" s="44"/>
      <c r="C113" s="44"/>
      <c r="D113" s="44"/>
      <c r="E113" s="44"/>
      <c r="F113" s="44"/>
      <c r="G113" s="44"/>
      <c r="H113" s="44"/>
      <c r="I113" s="45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spans="1:26" ht="15.75" customHeight="1" x14ac:dyDescent="0.25">
      <c r="A114" s="44"/>
      <c r="B114" s="44"/>
      <c r="C114" s="44"/>
      <c r="D114" s="44"/>
      <c r="E114" s="44"/>
      <c r="F114" s="44"/>
      <c r="G114" s="44"/>
      <c r="H114" s="44"/>
      <c r="I114" s="45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spans="1:26" ht="15.75" customHeight="1" x14ac:dyDescent="0.25">
      <c r="A115" s="44"/>
      <c r="B115" s="44"/>
      <c r="C115" s="44"/>
      <c r="D115" s="44"/>
      <c r="E115" s="44"/>
      <c r="F115" s="44"/>
      <c r="G115" s="44"/>
      <c r="H115" s="44"/>
      <c r="I115" s="45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spans="1:26" ht="15.75" customHeight="1" x14ac:dyDescent="0.25">
      <c r="A116" s="44"/>
      <c r="B116" s="44"/>
      <c r="C116" s="44"/>
      <c r="D116" s="44"/>
      <c r="E116" s="44"/>
      <c r="F116" s="44"/>
      <c r="G116" s="44"/>
      <c r="H116" s="44"/>
      <c r="I116" s="45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spans="1:26" ht="15.75" customHeight="1" x14ac:dyDescent="0.25">
      <c r="A117" s="44"/>
      <c r="B117" s="44"/>
      <c r="C117" s="44"/>
      <c r="D117" s="44"/>
      <c r="E117" s="44"/>
      <c r="F117" s="44"/>
      <c r="G117" s="44"/>
      <c r="H117" s="44"/>
      <c r="I117" s="45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spans="1:26" ht="15.75" customHeight="1" x14ac:dyDescent="0.25">
      <c r="A118" s="44"/>
      <c r="B118" s="44"/>
      <c r="C118" s="44"/>
      <c r="D118" s="44"/>
      <c r="E118" s="44"/>
      <c r="F118" s="44"/>
      <c r="G118" s="44"/>
      <c r="H118" s="44"/>
      <c r="I118" s="45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spans="1:26" ht="15.75" customHeight="1" x14ac:dyDescent="0.25">
      <c r="A119" s="44"/>
      <c r="B119" s="44"/>
      <c r="C119" s="44"/>
      <c r="D119" s="44"/>
      <c r="E119" s="44"/>
      <c r="F119" s="44"/>
      <c r="G119" s="44"/>
      <c r="H119" s="44"/>
      <c r="I119" s="45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spans="1:26" ht="15.75" customHeight="1" x14ac:dyDescent="0.25">
      <c r="A120" s="44"/>
      <c r="B120" s="44"/>
      <c r="C120" s="44"/>
      <c r="D120" s="44"/>
      <c r="E120" s="44"/>
      <c r="F120" s="44"/>
      <c r="G120" s="44"/>
      <c r="H120" s="44"/>
      <c r="I120" s="45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spans="1:26" ht="15.75" customHeight="1" x14ac:dyDescent="0.25">
      <c r="A121" s="44"/>
      <c r="B121" s="44"/>
      <c r="C121" s="44"/>
      <c r="D121" s="44"/>
      <c r="E121" s="44"/>
      <c r="F121" s="44"/>
      <c r="G121" s="44"/>
      <c r="H121" s="44"/>
      <c r="I121" s="45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spans="1:26" ht="15.75" customHeight="1" x14ac:dyDescent="0.25">
      <c r="A122" s="44"/>
      <c r="B122" s="44"/>
      <c r="C122" s="44"/>
      <c r="D122" s="44"/>
      <c r="E122" s="44"/>
      <c r="F122" s="44"/>
      <c r="G122" s="44"/>
      <c r="H122" s="44"/>
      <c r="I122" s="45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spans="1:26" ht="15.75" customHeight="1" x14ac:dyDescent="0.25">
      <c r="A123" s="44"/>
      <c r="B123" s="44"/>
      <c r="C123" s="44"/>
      <c r="D123" s="44"/>
      <c r="E123" s="44"/>
      <c r="F123" s="44"/>
      <c r="G123" s="44"/>
      <c r="H123" s="44"/>
      <c r="I123" s="45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spans="1:26" ht="15.75" customHeight="1" x14ac:dyDescent="0.25">
      <c r="A124" s="44"/>
      <c r="B124" s="44"/>
      <c r="C124" s="44"/>
      <c r="D124" s="44"/>
      <c r="E124" s="44"/>
      <c r="F124" s="44"/>
      <c r="G124" s="44"/>
      <c r="H124" s="44"/>
      <c r="I124" s="45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spans="1:26" ht="15.75" customHeight="1" x14ac:dyDescent="0.25">
      <c r="A125" s="44"/>
      <c r="B125" s="44"/>
      <c r="C125" s="44"/>
      <c r="D125" s="44"/>
      <c r="E125" s="44"/>
      <c r="F125" s="44"/>
      <c r="G125" s="44"/>
      <c r="H125" s="44"/>
      <c r="I125" s="45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spans="1:26" ht="15.75" customHeight="1" x14ac:dyDescent="0.25">
      <c r="A126" s="44"/>
      <c r="B126" s="44"/>
      <c r="C126" s="44"/>
      <c r="D126" s="44"/>
      <c r="E126" s="44"/>
      <c r="F126" s="44"/>
      <c r="G126" s="44"/>
      <c r="H126" s="44"/>
      <c r="I126" s="45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spans="1:26" ht="15.75" customHeight="1" x14ac:dyDescent="0.25">
      <c r="A127" s="44"/>
      <c r="B127" s="44"/>
      <c r="C127" s="44"/>
      <c r="D127" s="44"/>
      <c r="E127" s="44"/>
      <c r="F127" s="44"/>
      <c r="G127" s="44"/>
      <c r="H127" s="44"/>
      <c r="I127" s="45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spans="1:26" ht="15.75" customHeight="1" x14ac:dyDescent="0.25">
      <c r="A128" s="44"/>
      <c r="B128" s="44"/>
      <c r="C128" s="44"/>
      <c r="D128" s="44"/>
      <c r="E128" s="44"/>
      <c r="F128" s="44"/>
      <c r="G128" s="44"/>
      <c r="H128" s="44"/>
      <c r="I128" s="45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spans="1:26" ht="15.75" customHeight="1" x14ac:dyDescent="0.25">
      <c r="A129" s="44"/>
      <c r="B129" s="44"/>
      <c r="C129" s="44"/>
      <c r="D129" s="44"/>
      <c r="E129" s="44"/>
      <c r="F129" s="44"/>
      <c r="G129" s="44"/>
      <c r="H129" s="44"/>
      <c r="I129" s="45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spans="1:26" ht="15.75" customHeight="1" x14ac:dyDescent="0.25">
      <c r="A130" s="44"/>
      <c r="B130" s="44"/>
      <c r="C130" s="44"/>
      <c r="D130" s="44"/>
      <c r="E130" s="44"/>
      <c r="F130" s="44"/>
      <c r="G130" s="44"/>
      <c r="H130" s="44"/>
      <c r="I130" s="45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spans="1:26" ht="15.75" customHeight="1" x14ac:dyDescent="0.25">
      <c r="A131" s="44"/>
      <c r="B131" s="44"/>
      <c r="C131" s="44"/>
      <c r="D131" s="44"/>
      <c r="E131" s="44"/>
      <c r="F131" s="44"/>
      <c r="G131" s="44"/>
      <c r="H131" s="44"/>
      <c r="I131" s="45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spans="1:26" ht="15.75" customHeight="1" x14ac:dyDescent="0.25">
      <c r="A132" s="44"/>
      <c r="B132" s="44"/>
      <c r="C132" s="44"/>
      <c r="D132" s="44"/>
      <c r="E132" s="44"/>
      <c r="F132" s="44"/>
      <c r="G132" s="44"/>
      <c r="H132" s="44"/>
      <c r="I132" s="45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spans="1:26" ht="15.75" customHeight="1" x14ac:dyDescent="0.25">
      <c r="A133" s="44"/>
      <c r="B133" s="44"/>
      <c r="C133" s="44"/>
      <c r="D133" s="44"/>
      <c r="E133" s="44"/>
      <c r="F133" s="44"/>
      <c r="G133" s="44"/>
      <c r="H133" s="44"/>
      <c r="I133" s="45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spans="1:26" ht="15.75" customHeight="1" x14ac:dyDescent="0.25">
      <c r="A134" s="44"/>
      <c r="B134" s="44"/>
      <c r="C134" s="44"/>
      <c r="D134" s="44"/>
      <c r="E134" s="44"/>
      <c r="F134" s="44"/>
      <c r="G134" s="44"/>
      <c r="H134" s="44"/>
      <c r="I134" s="45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spans="1:26" ht="15.75" customHeight="1" x14ac:dyDescent="0.25">
      <c r="A135" s="44"/>
      <c r="B135" s="44"/>
      <c r="C135" s="44"/>
      <c r="D135" s="44"/>
      <c r="E135" s="44"/>
      <c r="F135" s="44"/>
      <c r="G135" s="44"/>
      <c r="H135" s="44"/>
      <c r="I135" s="45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spans="1:26" ht="15.75" customHeight="1" x14ac:dyDescent="0.25">
      <c r="A136" s="44"/>
      <c r="B136" s="44"/>
      <c r="C136" s="44"/>
      <c r="D136" s="44"/>
      <c r="E136" s="44"/>
      <c r="F136" s="44"/>
      <c r="G136" s="44"/>
      <c r="H136" s="44"/>
      <c r="I136" s="45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spans="1:26" ht="15.75" customHeight="1" x14ac:dyDescent="0.25">
      <c r="A137" s="44"/>
      <c r="B137" s="44"/>
      <c r="C137" s="44"/>
      <c r="D137" s="44"/>
      <c r="E137" s="44"/>
      <c r="F137" s="44"/>
      <c r="G137" s="44"/>
      <c r="H137" s="44"/>
      <c r="I137" s="45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spans="1:26" ht="15.75" customHeight="1" x14ac:dyDescent="0.25">
      <c r="A138" s="44"/>
      <c r="B138" s="44"/>
      <c r="C138" s="44"/>
      <c r="D138" s="44"/>
      <c r="E138" s="44"/>
      <c r="F138" s="44"/>
      <c r="G138" s="44"/>
      <c r="H138" s="44"/>
      <c r="I138" s="45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spans="1:26" ht="15.75" customHeight="1" x14ac:dyDescent="0.25">
      <c r="A139" s="44"/>
      <c r="B139" s="44"/>
      <c r="C139" s="44"/>
      <c r="D139" s="44"/>
      <c r="E139" s="44"/>
      <c r="F139" s="44"/>
      <c r="G139" s="44"/>
      <c r="H139" s="44"/>
      <c r="I139" s="45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spans="1:26" ht="15.75" customHeight="1" x14ac:dyDescent="0.25">
      <c r="A140" s="44"/>
      <c r="B140" s="44"/>
      <c r="C140" s="44"/>
      <c r="D140" s="44"/>
      <c r="E140" s="44"/>
      <c r="F140" s="44"/>
      <c r="G140" s="44"/>
      <c r="H140" s="44"/>
      <c r="I140" s="45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spans="1:26" ht="15.75" customHeight="1" x14ac:dyDescent="0.25">
      <c r="A141" s="44"/>
      <c r="B141" s="44"/>
      <c r="C141" s="44"/>
      <c r="D141" s="44"/>
      <c r="E141" s="44"/>
      <c r="F141" s="44"/>
      <c r="G141" s="44"/>
      <c r="H141" s="44"/>
      <c r="I141" s="45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spans="1:26" ht="15.75" customHeight="1" x14ac:dyDescent="0.25">
      <c r="A142" s="44"/>
      <c r="B142" s="44"/>
      <c r="C142" s="44"/>
      <c r="D142" s="44"/>
      <c r="E142" s="44"/>
      <c r="F142" s="44"/>
      <c r="G142" s="44"/>
      <c r="H142" s="44"/>
      <c r="I142" s="45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spans="1:26" ht="15.75" customHeight="1" x14ac:dyDescent="0.25">
      <c r="A143" s="44"/>
      <c r="B143" s="44"/>
      <c r="C143" s="44"/>
      <c r="D143" s="44"/>
      <c r="E143" s="44"/>
      <c r="F143" s="44"/>
      <c r="G143" s="44"/>
      <c r="H143" s="44"/>
      <c r="I143" s="45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spans="1:26" ht="15.75" customHeight="1" x14ac:dyDescent="0.25">
      <c r="A144" s="44"/>
      <c r="B144" s="44"/>
      <c r="C144" s="44"/>
      <c r="D144" s="44"/>
      <c r="E144" s="44"/>
      <c r="F144" s="44"/>
      <c r="G144" s="44"/>
      <c r="H144" s="44"/>
      <c r="I144" s="45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spans="1:26" ht="15.75" customHeight="1" x14ac:dyDescent="0.25">
      <c r="A145" s="44"/>
      <c r="B145" s="44"/>
      <c r="C145" s="44"/>
      <c r="D145" s="44"/>
      <c r="E145" s="44"/>
      <c r="F145" s="44"/>
      <c r="G145" s="44"/>
      <c r="H145" s="44"/>
      <c r="I145" s="45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spans="1:26" ht="15.75" customHeight="1" x14ac:dyDescent="0.25">
      <c r="A146" s="44"/>
      <c r="B146" s="44"/>
      <c r="C146" s="44"/>
      <c r="D146" s="44"/>
      <c r="E146" s="44"/>
      <c r="F146" s="44"/>
      <c r="G146" s="44"/>
      <c r="H146" s="44"/>
      <c r="I146" s="45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spans="1:26" ht="15.75" customHeight="1" x14ac:dyDescent="0.25">
      <c r="A147" s="44"/>
      <c r="B147" s="44"/>
      <c r="C147" s="44"/>
      <c r="D147" s="44"/>
      <c r="E147" s="44"/>
      <c r="F147" s="44"/>
      <c r="G147" s="44"/>
      <c r="H147" s="44"/>
      <c r="I147" s="45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spans="1:26" ht="15.75" customHeight="1" x14ac:dyDescent="0.25">
      <c r="A148" s="44"/>
      <c r="B148" s="44"/>
      <c r="C148" s="44"/>
      <c r="D148" s="44"/>
      <c r="E148" s="44"/>
      <c r="F148" s="44"/>
      <c r="G148" s="44"/>
      <c r="H148" s="44"/>
      <c r="I148" s="45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spans="1:26" ht="15.75" customHeight="1" x14ac:dyDescent="0.25">
      <c r="A149" s="44"/>
      <c r="B149" s="44"/>
      <c r="C149" s="44"/>
      <c r="D149" s="44"/>
      <c r="E149" s="44"/>
      <c r="F149" s="44"/>
      <c r="G149" s="44"/>
      <c r="H149" s="44"/>
      <c r="I149" s="45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spans="1:26" ht="15.75" customHeight="1" x14ac:dyDescent="0.25">
      <c r="A150" s="44"/>
      <c r="B150" s="44"/>
      <c r="C150" s="44"/>
      <c r="D150" s="44"/>
      <c r="E150" s="44"/>
      <c r="F150" s="44"/>
      <c r="G150" s="44"/>
      <c r="H150" s="44"/>
      <c r="I150" s="45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spans="1:26" ht="15.75" customHeight="1" x14ac:dyDescent="0.25">
      <c r="A151" s="44"/>
      <c r="B151" s="44"/>
      <c r="C151" s="44"/>
      <c r="D151" s="44"/>
      <c r="E151" s="44"/>
      <c r="F151" s="44"/>
      <c r="G151" s="44"/>
      <c r="H151" s="44"/>
      <c r="I151" s="45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spans="1:26" ht="15.75" customHeight="1" x14ac:dyDescent="0.25">
      <c r="A152" s="44"/>
      <c r="B152" s="44"/>
      <c r="C152" s="44"/>
      <c r="D152" s="44"/>
      <c r="E152" s="44"/>
      <c r="F152" s="44"/>
      <c r="G152" s="44"/>
      <c r="H152" s="44"/>
      <c r="I152" s="45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spans="1:26" ht="15.75" customHeight="1" x14ac:dyDescent="0.25">
      <c r="A153" s="44"/>
      <c r="B153" s="44"/>
      <c r="C153" s="44"/>
      <c r="D153" s="44"/>
      <c r="E153" s="44"/>
      <c r="F153" s="44"/>
      <c r="G153" s="44"/>
      <c r="H153" s="44"/>
      <c r="I153" s="45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spans="1:26" ht="15.75" customHeight="1" x14ac:dyDescent="0.25">
      <c r="A154" s="44"/>
      <c r="B154" s="44"/>
      <c r="C154" s="44"/>
      <c r="D154" s="44"/>
      <c r="E154" s="44"/>
      <c r="F154" s="44"/>
      <c r="G154" s="44"/>
      <c r="H154" s="44"/>
      <c r="I154" s="45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spans="1:26" ht="15.75" customHeight="1" x14ac:dyDescent="0.25">
      <c r="A155" s="44"/>
      <c r="B155" s="44"/>
      <c r="C155" s="44"/>
      <c r="D155" s="44"/>
      <c r="E155" s="44"/>
      <c r="F155" s="44"/>
      <c r="G155" s="44"/>
      <c r="H155" s="44"/>
      <c r="I155" s="45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spans="1:26" ht="15.75" customHeight="1" x14ac:dyDescent="0.25">
      <c r="A156" s="44"/>
      <c r="B156" s="44"/>
      <c r="C156" s="44"/>
      <c r="D156" s="44"/>
      <c r="E156" s="44"/>
      <c r="F156" s="44"/>
      <c r="G156" s="44"/>
      <c r="H156" s="44"/>
      <c r="I156" s="45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spans="1:26" ht="15.75" customHeight="1" x14ac:dyDescent="0.25">
      <c r="A157" s="44"/>
      <c r="B157" s="44"/>
      <c r="C157" s="44"/>
      <c r="D157" s="44"/>
      <c r="E157" s="44"/>
      <c r="F157" s="44"/>
      <c r="G157" s="44"/>
      <c r="H157" s="44"/>
      <c r="I157" s="45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spans="1:26" ht="15.75" customHeight="1" x14ac:dyDescent="0.25">
      <c r="A158" s="44"/>
      <c r="B158" s="44"/>
      <c r="C158" s="44"/>
      <c r="D158" s="44"/>
      <c r="E158" s="44"/>
      <c r="F158" s="44"/>
      <c r="G158" s="44"/>
      <c r="H158" s="44"/>
      <c r="I158" s="45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spans="1:26" ht="15.75" customHeight="1" x14ac:dyDescent="0.25">
      <c r="A159" s="44"/>
      <c r="B159" s="44"/>
      <c r="C159" s="44"/>
      <c r="D159" s="44"/>
      <c r="E159" s="44"/>
      <c r="F159" s="44"/>
      <c r="G159" s="44"/>
      <c r="H159" s="44"/>
      <c r="I159" s="45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spans="1:26" ht="15.75" customHeight="1" x14ac:dyDescent="0.25">
      <c r="A160" s="44"/>
      <c r="B160" s="44"/>
      <c r="C160" s="44"/>
      <c r="D160" s="44"/>
      <c r="E160" s="44"/>
      <c r="F160" s="44"/>
      <c r="G160" s="44"/>
      <c r="H160" s="44"/>
      <c r="I160" s="45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spans="1:26" ht="15.75" customHeight="1" x14ac:dyDescent="0.25">
      <c r="A161" s="44"/>
      <c r="B161" s="44"/>
      <c r="C161" s="44"/>
      <c r="D161" s="44"/>
      <c r="E161" s="44"/>
      <c r="F161" s="44"/>
      <c r="G161" s="44"/>
      <c r="H161" s="44"/>
      <c r="I161" s="45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spans="1:26" ht="15.75" customHeight="1" x14ac:dyDescent="0.25">
      <c r="A162" s="44"/>
      <c r="B162" s="44"/>
      <c r="C162" s="44"/>
      <c r="D162" s="44"/>
      <c r="E162" s="44"/>
      <c r="F162" s="44"/>
      <c r="G162" s="44"/>
      <c r="H162" s="44"/>
      <c r="I162" s="45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spans="1:26" ht="15.75" customHeight="1" x14ac:dyDescent="0.25">
      <c r="A163" s="44"/>
      <c r="B163" s="44"/>
      <c r="C163" s="44"/>
      <c r="D163" s="44"/>
      <c r="E163" s="44"/>
      <c r="F163" s="44"/>
      <c r="G163" s="44"/>
      <c r="H163" s="44"/>
      <c r="I163" s="45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spans="1:26" ht="15.75" customHeight="1" x14ac:dyDescent="0.25">
      <c r="A164" s="44"/>
      <c r="B164" s="44"/>
      <c r="C164" s="44"/>
      <c r="D164" s="44"/>
      <c r="E164" s="44"/>
      <c r="F164" s="44"/>
      <c r="G164" s="44"/>
      <c r="H164" s="44"/>
      <c r="I164" s="45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spans="1:26" ht="15.75" customHeight="1" x14ac:dyDescent="0.25">
      <c r="A165" s="44"/>
      <c r="B165" s="44"/>
      <c r="C165" s="44"/>
      <c r="D165" s="44"/>
      <c r="E165" s="44"/>
      <c r="F165" s="44"/>
      <c r="G165" s="44"/>
      <c r="H165" s="44"/>
      <c r="I165" s="45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spans="1:26" ht="15.75" customHeight="1" x14ac:dyDescent="0.25">
      <c r="A166" s="44"/>
      <c r="B166" s="44"/>
      <c r="C166" s="44"/>
      <c r="D166" s="44"/>
      <c r="E166" s="44"/>
      <c r="F166" s="44"/>
      <c r="G166" s="44"/>
      <c r="H166" s="44"/>
      <c r="I166" s="45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spans="1:26" ht="15.75" customHeight="1" x14ac:dyDescent="0.25">
      <c r="A167" s="44"/>
      <c r="B167" s="44"/>
      <c r="C167" s="44"/>
      <c r="D167" s="44"/>
      <c r="E167" s="44"/>
      <c r="F167" s="44"/>
      <c r="G167" s="44"/>
      <c r="H167" s="44"/>
      <c r="I167" s="45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spans="1:26" ht="15.75" customHeight="1" x14ac:dyDescent="0.25">
      <c r="A168" s="44"/>
      <c r="B168" s="44"/>
      <c r="C168" s="44"/>
      <c r="D168" s="44"/>
      <c r="E168" s="44"/>
      <c r="F168" s="44"/>
      <c r="G168" s="44"/>
      <c r="H168" s="44"/>
      <c r="I168" s="45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spans="1:26" ht="15.75" customHeight="1" x14ac:dyDescent="0.25">
      <c r="A169" s="44"/>
      <c r="B169" s="44"/>
      <c r="C169" s="44"/>
      <c r="D169" s="44"/>
      <c r="E169" s="44"/>
      <c r="F169" s="44"/>
      <c r="G169" s="44"/>
      <c r="H169" s="44"/>
      <c r="I169" s="45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spans="1:26" ht="15.75" customHeight="1" x14ac:dyDescent="0.25">
      <c r="A170" s="44"/>
      <c r="B170" s="44"/>
      <c r="C170" s="44"/>
      <c r="D170" s="44"/>
      <c r="E170" s="44"/>
      <c r="F170" s="44"/>
      <c r="G170" s="44"/>
      <c r="H170" s="44"/>
      <c r="I170" s="45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spans="1:26" ht="15.75" customHeight="1" x14ac:dyDescent="0.25">
      <c r="A171" s="44"/>
      <c r="B171" s="44"/>
      <c r="C171" s="44"/>
      <c r="D171" s="44"/>
      <c r="E171" s="44"/>
      <c r="F171" s="44"/>
      <c r="G171" s="44"/>
      <c r="H171" s="44"/>
      <c r="I171" s="45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spans="1:26" ht="15.75" customHeight="1" x14ac:dyDescent="0.25">
      <c r="A172" s="44"/>
      <c r="B172" s="44"/>
      <c r="C172" s="44"/>
      <c r="D172" s="44"/>
      <c r="E172" s="44"/>
      <c r="F172" s="44"/>
      <c r="G172" s="44"/>
      <c r="H172" s="44"/>
      <c r="I172" s="45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spans="1:26" ht="15.75" customHeight="1" x14ac:dyDescent="0.25">
      <c r="A173" s="44"/>
      <c r="B173" s="44"/>
      <c r="C173" s="44"/>
      <c r="D173" s="44"/>
      <c r="E173" s="44"/>
      <c r="F173" s="44"/>
      <c r="G173" s="44"/>
      <c r="H173" s="44"/>
      <c r="I173" s="45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spans="1:26" ht="15.75" customHeight="1" x14ac:dyDescent="0.25">
      <c r="A174" s="44"/>
      <c r="B174" s="44"/>
      <c r="C174" s="44"/>
      <c r="D174" s="44"/>
      <c r="E174" s="44"/>
      <c r="F174" s="44"/>
      <c r="G174" s="44"/>
      <c r="H174" s="44"/>
      <c r="I174" s="45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spans="1:26" ht="15.75" customHeight="1" x14ac:dyDescent="0.25">
      <c r="A175" s="44"/>
      <c r="B175" s="44"/>
      <c r="C175" s="44"/>
      <c r="D175" s="44"/>
      <c r="E175" s="44"/>
      <c r="F175" s="44"/>
      <c r="G175" s="44"/>
      <c r="H175" s="44"/>
      <c r="I175" s="45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spans="1:26" ht="15.75" customHeight="1" x14ac:dyDescent="0.25">
      <c r="A176" s="44"/>
      <c r="B176" s="44"/>
      <c r="C176" s="44"/>
      <c r="D176" s="44"/>
      <c r="E176" s="44"/>
      <c r="F176" s="44"/>
      <c r="G176" s="44"/>
      <c r="H176" s="44"/>
      <c r="I176" s="45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spans="1:26" ht="15.75" customHeight="1" x14ac:dyDescent="0.25">
      <c r="A177" s="44"/>
      <c r="B177" s="44"/>
      <c r="C177" s="44"/>
      <c r="D177" s="44"/>
      <c r="E177" s="44"/>
      <c r="F177" s="44"/>
      <c r="G177" s="44"/>
      <c r="H177" s="44"/>
      <c r="I177" s="45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spans="1:26" ht="15.75" customHeight="1" x14ac:dyDescent="0.25">
      <c r="A178" s="44"/>
      <c r="B178" s="44"/>
      <c r="C178" s="44"/>
      <c r="D178" s="44"/>
      <c r="E178" s="44"/>
      <c r="F178" s="44"/>
      <c r="G178" s="44"/>
      <c r="H178" s="44"/>
      <c r="I178" s="45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spans="1:26" ht="15.75" customHeight="1" x14ac:dyDescent="0.25">
      <c r="A179" s="44"/>
      <c r="B179" s="44"/>
      <c r="C179" s="44"/>
      <c r="D179" s="44"/>
      <c r="E179" s="44"/>
      <c r="F179" s="44"/>
      <c r="G179" s="44"/>
      <c r="H179" s="44"/>
      <c r="I179" s="45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spans="1:26" ht="15.75" customHeight="1" x14ac:dyDescent="0.25">
      <c r="A180" s="44"/>
      <c r="B180" s="44"/>
      <c r="C180" s="44"/>
      <c r="D180" s="44"/>
      <c r="E180" s="44"/>
      <c r="F180" s="44"/>
      <c r="G180" s="44"/>
      <c r="H180" s="44"/>
      <c r="I180" s="45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spans="1:26" ht="15.75" customHeight="1" x14ac:dyDescent="0.25">
      <c r="A181" s="44"/>
      <c r="B181" s="44"/>
      <c r="C181" s="44"/>
      <c r="D181" s="44"/>
      <c r="E181" s="44"/>
      <c r="F181" s="44"/>
      <c r="G181" s="44"/>
      <c r="H181" s="44"/>
      <c r="I181" s="45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spans="1:26" ht="15.75" customHeight="1" x14ac:dyDescent="0.25">
      <c r="A182" s="44"/>
      <c r="B182" s="44"/>
      <c r="C182" s="44"/>
      <c r="D182" s="44"/>
      <c r="E182" s="44"/>
      <c r="F182" s="44"/>
      <c r="G182" s="44"/>
      <c r="H182" s="44"/>
      <c r="I182" s="45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spans="1:26" ht="15.75" customHeight="1" x14ac:dyDescent="0.25">
      <c r="A183" s="44"/>
      <c r="B183" s="44"/>
      <c r="C183" s="44"/>
      <c r="D183" s="44"/>
      <c r="E183" s="44"/>
      <c r="F183" s="44"/>
      <c r="G183" s="44"/>
      <c r="H183" s="44"/>
      <c r="I183" s="45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spans="1:26" ht="15.75" customHeight="1" x14ac:dyDescent="0.25">
      <c r="A184" s="44"/>
      <c r="B184" s="44"/>
      <c r="C184" s="44"/>
      <c r="D184" s="44"/>
      <c r="E184" s="44"/>
      <c r="F184" s="44"/>
      <c r="G184" s="44"/>
      <c r="H184" s="44"/>
      <c r="I184" s="45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spans="1:26" ht="15.75" customHeight="1" x14ac:dyDescent="0.25">
      <c r="A185" s="44"/>
      <c r="B185" s="44"/>
      <c r="C185" s="44"/>
      <c r="D185" s="44"/>
      <c r="E185" s="44"/>
      <c r="F185" s="44"/>
      <c r="G185" s="44"/>
      <c r="H185" s="44"/>
      <c r="I185" s="45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spans="1:26" ht="15.75" customHeight="1" x14ac:dyDescent="0.25">
      <c r="A186" s="44"/>
      <c r="B186" s="44"/>
      <c r="C186" s="44"/>
      <c r="D186" s="44"/>
      <c r="E186" s="44"/>
      <c r="F186" s="44"/>
      <c r="G186" s="44"/>
      <c r="H186" s="44"/>
      <c r="I186" s="45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spans="1:26" ht="15.75" customHeight="1" x14ac:dyDescent="0.25">
      <c r="A187" s="44"/>
      <c r="B187" s="44"/>
      <c r="C187" s="44"/>
      <c r="D187" s="44"/>
      <c r="E187" s="44"/>
      <c r="F187" s="44"/>
      <c r="G187" s="44"/>
      <c r="H187" s="44"/>
      <c r="I187" s="45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spans="1:26" ht="15.75" customHeight="1" x14ac:dyDescent="0.25">
      <c r="A188" s="44"/>
      <c r="B188" s="44"/>
      <c r="C188" s="44"/>
      <c r="D188" s="44"/>
      <c r="E188" s="44"/>
      <c r="F188" s="44"/>
      <c r="G188" s="44"/>
      <c r="H188" s="44"/>
      <c r="I188" s="45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spans="1:26" ht="15.75" customHeight="1" x14ac:dyDescent="0.25">
      <c r="A189" s="44"/>
      <c r="B189" s="44"/>
      <c r="C189" s="44"/>
      <c r="D189" s="44"/>
      <c r="E189" s="44"/>
      <c r="F189" s="44"/>
      <c r="G189" s="44"/>
      <c r="H189" s="44"/>
      <c r="I189" s="45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spans="1:26" ht="15.75" customHeight="1" x14ac:dyDescent="0.25">
      <c r="A190" s="44"/>
      <c r="B190" s="44"/>
      <c r="C190" s="44"/>
      <c r="D190" s="44"/>
      <c r="E190" s="44"/>
      <c r="F190" s="44"/>
      <c r="G190" s="44"/>
      <c r="H190" s="44"/>
      <c r="I190" s="45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spans="1:26" ht="15.75" customHeight="1" x14ac:dyDescent="0.25">
      <c r="A191" s="44"/>
      <c r="B191" s="44"/>
      <c r="C191" s="44"/>
      <c r="D191" s="44"/>
      <c r="E191" s="44"/>
      <c r="F191" s="44"/>
      <c r="G191" s="44"/>
      <c r="H191" s="44"/>
      <c r="I191" s="45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spans="1:26" ht="15.75" customHeight="1" x14ac:dyDescent="0.25">
      <c r="A192" s="44"/>
      <c r="B192" s="44"/>
      <c r="C192" s="44"/>
      <c r="D192" s="44"/>
      <c r="E192" s="44"/>
      <c r="F192" s="44"/>
      <c r="G192" s="44"/>
      <c r="H192" s="44"/>
      <c r="I192" s="45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spans="1:26" ht="15.75" customHeight="1" x14ac:dyDescent="0.25">
      <c r="A193" s="44"/>
      <c r="B193" s="44"/>
      <c r="C193" s="44"/>
      <c r="D193" s="44"/>
      <c r="E193" s="44"/>
      <c r="F193" s="44"/>
      <c r="G193" s="44"/>
      <c r="H193" s="44"/>
      <c r="I193" s="45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spans="1:26" ht="15.75" customHeight="1" x14ac:dyDescent="0.25">
      <c r="A194" s="44"/>
      <c r="B194" s="44"/>
      <c r="C194" s="44"/>
      <c r="D194" s="44"/>
      <c r="E194" s="44"/>
      <c r="F194" s="44"/>
      <c r="G194" s="44"/>
      <c r="H194" s="44"/>
      <c r="I194" s="45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spans="1:26" ht="15.75" customHeight="1" x14ac:dyDescent="0.25">
      <c r="A195" s="44"/>
      <c r="B195" s="44"/>
      <c r="C195" s="44"/>
      <c r="D195" s="44"/>
      <c r="E195" s="44"/>
      <c r="F195" s="44"/>
      <c r="G195" s="44"/>
      <c r="H195" s="44"/>
      <c r="I195" s="45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spans="1:26" ht="15.75" customHeight="1" x14ac:dyDescent="0.25">
      <c r="A196" s="44"/>
      <c r="B196" s="44"/>
      <c r="C196" s="44"/>
      <c r="D196" s="44"/>
      <c r="E196" s="44"/>
      <c r="F196" s="44"/>
      <c r="G196" s="44"/>
      <c r="H196" s="44"/>
      <c r="I196" s="45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spans="1:26" ht="15.75" customHeight="1" x14ac:dyDescent="0.25">
      <c r="A197" s="44"/>
      <c r="B197" s="44"/>
      <c r="C197" s="44"/>
      <c r="D197" s="44"/>
      <c r="E197" s="44"/>
      <c r="F197" s="44"/>
      <c r="G197" s="44"/>
      <c r="H197" s="44"/>
      <c r="I197" s="45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spans="1:26" ht="15.75" customHeight="1" x14ac:dyDescent="0.25">
      <c r="A198" s="44"/>
      <c r="B198" s="44"/>
      <c r="C198" s="44"/>
      <c r="D198" s="44"/>
      <c r="E198" s="44"/>
      <c r="F198" s="44"/>
      <c r="G198" s="44"/>
      <c r="H198" s="44"/>
      <c r="I198" s="45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spans="1:26" ht="15.75" customHeight="1" x14ac:dyDescent="0.25">
      <c r="A199" s="44"/>
      <c r="B199" s="44"/>
      <c r="C199" s="44"/>
      <c r="D199" s="44"/>
      <c r="E199" s="44"/>
      <c r="F199" s="44"/>
      <c r="G199" s="44"/>
      <c r="H199" s="44"/>
      <c r="I199" s="45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spans="1:26" ht="15.75" customHeight="1" x14ac:dyDescent="0.25">
      <c r="A200" s="44"/>
      <c r="B200" s="44"/>
      <c r="C200" s="44"/>
      <c r="D200" s="44"/>
      <c r="E200" s="44"/>
      <c r="F200" s="44"/>
      <c r="G200" s="44"/>
      <c r="H200" s="44"/>
      <c r="I200" s="45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spans="1:26" ht="15.75" customHeight="1" x14ac:dyDescent="0.25">
      <c r="A201" s="44"/>
      <c r="B201" s="44"/>
      <c r="C201" s="44"/>
      <c r="D201" s="44"/>
      <c r="E201" s="44"/>
      <c r="F201" s="44"/>
      <c r="G201" s="44"/>
      <c r="H201" s="44"/>
      <c r="I201" s="45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spans="1:26" ht="15.75" customHeight="1" x14ac:dyDescent="0.25">
      <c r="A202" s="44"/>
      <c r="B202" s="44"/>
      <c r="C202" s="44"/>
      <c r="D202" s="44"/>
      <c r="E202" s="44"/>
      <c r="F202" s="44"/>
      <c r="G202" s="44"/>
      <c r="H202" s="44"/>
      <c r="I202" s="45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spans="1:26" ht="15.75" customHeight="1" x14ac:dyDescent="0.25">
      <c r="A203" s="44"/>
      <c r="B203" s="44"/>
      <c r="C203" s="44"/>
      <c r="D203" s="44"/>
      <c r="E203" s="44"/>
      <c r="F203" s="44"/>
      <c r="G203" s="44"/>
      <c r="H203" s="44"/>
      <c r="I203" s="45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spans="1:26" ht="15.75" customHeight="1" x14ac:dyDescent="0.25">
      <c r="A204" s="44"/>
      <c r="B204" s="44"/>
      <c r="C204" s="44"/>
      <c r="D204" s="44"/>
      <c r="E204" s="44"/>
      <c r="F204" s="44"/>
      <c r="G204" s="44"/>
      <c r="H204" s="44"/>
      <c r="I204" s="45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spans="1:26" ht="15.75" customHeight="1" x14ac:dyDescent="0.25">
      <c r="A205" s="44"/>
      <c r="B205" s="44"/>
      <c r="C205" s="44"/>
      <c r="D205" s="44"/>
      <c r="E205" s="44"/>
      <c r="F205" s="44"/>
      <c r="G205" s="44"/>
      <c r="H205" s="44"/>
      <c r="I205" s="45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spans="1:26" ht="15.75" customHeight="1" x14ac:dyDescent="0.25">
      <c r="A206" s="44"/>
      <c r="B206" s="44"/>
      <c r="C206" s="44"/>
      <c r="D206" s="44"/>
      <c r="E206" s="44"/>
      <c r="F206" s="44"/>
      <c r="G206" s="44"/>
      <c r="H206" s="44"/>
      <c r="I206" s="45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spans="1:26" ht="15.75" customHeight="1" x14ac:dyDescent="0.25">
      <c r="A207" s="44"/>
      <c r="B207" s="44"/>
      <c r="C207" s="44"/>
      <c r="D207" s="44"/>
      <c r="E207" s="44"/>
      <c r="F207" s="44"/>
      <c r="G207" s="44"/>
      <c r="H207" s="44"/>
      <c r="I207" s="45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spans="1:26" ht="15.75" customHeight="1" x14ac:dyDescent="0.25">
      <c r="A208" s="44"/>
      <c r="B208" s="44"/>
      <c r="C208" s="44"/>
      <c r="D208" s="44"/>
      <c r="E208" s="44"/>
      <c r="F208" s="44"/>
      <c r="G208" s="44"/>
      <c r="H208" s="44"/>
      <c r="I208" s="45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spans="1:26" ht="15.75" customHeight="1" x14ac:dyDescent="0.25">
      <c r="A209" s="44"/>
      <c r="B209" s="44"/>
      <c r="C209" s="44"/>
      <c r="D209" s="44"/>
      <c r="E209" s="44"/>
      <c r="F209" s="44"/>
      <c r="G209" s="44"/>
      <c r="H209" s="44"/>
      <c r="I209" s="45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spans="1:26" ht="15.75" customHeight="1" x14ac:dyDescent="0.25">
      <c r="A210" s="44"/>
      <c r="B210" s="44"/>
      <c r="C210" s="44"/>
      <c r="D210" s="44"/>
      <c r="E210" s="44"/>
      <c r="F210" s="44"/>
      <c r="G210" s="44"/>
      <c r="H210" s="44"/>
      <c r="I210" s="45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spans="1:26" ht="15.75" customHeight="1" x14ac:dyDescent="0.25">
      <c r="A211" s="44"/>
      <c r="B211" s="44"/>
      <c r="C211" s="44"/>
      <c r="D211" s="44"/>
      <c r="E211" s="44"/>
      <c r="F211" s="44"/>
      <c r="G211" s="44"/>
      <c r="H211" s="44"/>
      <c r="I211" s="45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spans="1:26" ht="15.75" customHeight="1" x14ac:dyDescent="0.25">
      <c r="A212" s="44"/>
      <c r="B212" s="44"/>
      <c r="C212" s="44"/>
      <c r="D212" s="44"/>
      <c r="E212" s="44"/>
      <c r="F212" s="44"/>
      <c r="G212" s="44"/>
      <c r="H212" s="44"/>
      <c r="I212" s="45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spans="1:26" ht="15.75" customHeight="1" x14ac:dyDescent="0.25">
      <c r="A213" s="44"/>
      <c r="B213" s="44"/>
      <c r="C213" s="44"/>
      <c r="D213" s="44"/>
      <c r="E213" s="44"/>
      <c r="F213" s="44"/>
      <c r="G213" s="44"/>
      <c r="H213" s="44"/>
      <c r="I213" s="45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spans="1:26" ht="15.75" customHeight="1" x14ac:dyDescent="0.25">
      <c r="A214" s="44"/>
      <c r="B214" s="44"/>
      <c r="C214" s="44"/>
      <c r="D214" s="44"/>
      <c r="E214" s="44"/>
      <c r="F214" s="44"/>
      <c r="G214" s="44"/>
      <c r="H214" s="44"/>
      <c r="I214" s="45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spans="1:26" ht="15.75" customHeight="1" x14ac:dyDescent="0.25">
      <c r="A215" s="44"/>
      <c r="B215" s="44"/>
      <c r="C215" s="44"/>
      <c r="D215" s="44"/>
      <c r="E215" s="44"/>
      <c r="F215" s="44"/>
      <c r="G215" s="44"/>
      <c r="H215" s="44"/>
      <c r="I215" s="45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spans="1:26" ht="15.75" customHeight="1" x14ac:dyDescent="0.25">
      <c r="A216" s="44"/>
      <c r="B216" s="44"/>
      <c r="C216" s="44"/>
      <c r="D216" s="44"/>
      <c r="E216" s="44"/>
      <c r="F216" s="44"/>
      <c r="G216" s="44"/>
      <c r="H216" s="44"/>
      <c r="I216" s="45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spans="1:26" ht="15.75" customHeight="1" x14ac:dyDescent="0.25">
      <c r="A217" s="44"/>
      <c r="B217" s="44"/>
      <c r="C217" s="44"/>
      <c r="D217" s="44"/>
      <c r="E217" s="44"/>
      <c r="F217" s="44"/>
      <c r="G217" s="44"/>
      <c r="H217" s="44"/>
      <c r="I217" s="45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spans="1:26" ht="15.75" customHeight="1" x14ac:dyDescent="0.25">
      <c r="A218" s="44"/>
      <c r="B218" s="44"/>
      <c r="C218" s="44"/>
      <c r="D218" s="44"/>
      <c r="E218" s="44"/>
      <c r="F218" s="44"/>
      <c r="G218" s="44"/>
      <c r="H218" s="44"/>
      <c r="I218" s="45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spans="1:26" ht="15.75" customHeight="1" x14ac:dyDescent="0.25">
      <c r="A219" s="44"/>
      <c r="B219" s="44"/>
      <c r="C219" s="44"/>
      <c r="D219" s="44"/>
      <c r="E219" s="44"/>
      <c r="F219" s="44"/>
      <c r="G219" s="44"/>
      <c r="H219" s="44"/>
      <c r="I219" s="45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spans="1:26" ht="15.75" customHeight="1" x14ac:dyDescent="0.25">
      <c r="A220" s="44"/>
      <c r="B220" s="44"/>
      <c r="C220" s="44"/>
      <c r="D220" s="44"/>
      <c r="E220" s="44"/>
      <c r="F220" s="44"/>
      <c r="G220" s="44"/>
      <c r="H220" s="44"/>
      <c r="I220" s="45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spans="1:26" ht="15.75" customHeight="1" x14ac:dyDescent="0.25">
      <c r="A221" s="44"/>
      <c r="B221" s="44"/>
      <c r="C221" s="44"/>
      <c r="D221" s="44"/>
      <c r="E221" s="44"/>
      <c r="F221" s="44"/>
      <c r="G221" s="44"/>
      <c r="H221" s="44"/>
      <c r="I221" s="45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spans="1:26" ht="15.75" customHeight="1" x14ac:dyDescent="0.25">
      <c r="A222" s="44"/>
      <c r="B222" s="44"/>
      <c r="C222" s="44"/>
      <c r="D222" s="44"/>
      <c r="E222" s="44"/>
      <c r="F222" s="44"/>
      <c r="G222" s="44"/>
      <c r="H222" s="44"/>
      <c r="I222" s="45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spans="1:26" ht="15.75" customHeight="1" x14ac:dyDescent="0.25">
      <c r="A223" s="44"/>
      <c r="B223" s="44"/>
      <c r="C223" s="44"/>
      <c r="D223" s="44"/>
      <c r="E223" s="44"/>
      <c r="F223" s="44"/>
      <c r="G223" s="44"/>
      <c r="H223" s="44"/>
      <c r="I223" s="45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spans="1:26" ht="15.75" customHeight="1" x14ac:dyDescent="0.25">
      <c r="A224" s="44"/>
      <c r="B224" s="44"/>
      <c r="C224" s="44"/>
      <c r="D224" s="44"/>
      <c r="E224" s="44"/>
      <c r="F224" s="44"/>
      <c r="G224" s="44"/>
      <c r="H224" s="44"/>
      <c r="I224" s="45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spans="1:26" ht="15.75" customHeight="1" x14ac:dyDescent="0.25">
      <c r="A225" s="44"/>
      <c r="B225" s="44"/>
      <c r="C225" s="44"/>
      <c r="D225" s="44"/>
      <c r="E225" s="44"/>
      <c r="F225" s="44"/>
      <c r="G225" s="44"/>
      <c r="H225" s="44"/>
      <c r="I225" s="45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spans="1:26" ht="15.75" customHeight="1" x14ac:dyDescent="0.25">
      <c r="A226" s="44"/>
      <c r="B226" s="44"/>
      <c r="C226" s="44"/>
      <c r="D226" s="44"/>
      <c r="E226" s="44"/>
      <c r="F226" s="44"/>
      <c r="G226" s="44"/>
      <c r="H226" s="44"/>
      <c r="I226" s="45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spans="1:26" ht="15.75" customHeight="1" x14ac:dyDescent="0.25">
      <c r="A227" s="44"/>
      <c r="B227" s="44"/>
      <c r="C227" s="44"/>
      <c r="D227" s="44"/>
      <c r="E227" s="44"/>
      <c r="F227" s="44"/>
      <c r="G227" s="44"/>
      <c r="H227" s="44"/>
      <c r="I227" s="45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spans="1:26" ht="15.75" customHeight="1" x14ac:dyDescent="0.25">
      <c r="A228" s="44"/>
      <c r="B228" s="44"/>
      <c r="C228" s="44"/>
      <c r="D228" s="44"/>
      <c r="E228" s="44"/>
      <c r="F228" s="44"/>
      <c r="G228" s="44"/>
      <c r="H228" s="44"/>
      <c r="I228" s="45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spans="1:26" ht="15.75" customHeight="1" x14ac:dyDescent="0.25">
      <c r="A229" s="44"/>
      <c r="B229" s="44"/>
      <c r="C229" s="44"/>
      <c r="D229" s="44"/>
      <c r="E229" s="44"/>
      <c r="F229" s="44"/>
      <c r="G229" s="44"/>
      <c r="H229" s="44"/>
      <c r="I229" s="45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spans="1:26" ht="15.75" customHeight="1" x14ac:dyDescent="0.25">
      <c r="A230" s="44"/>
      <c r="B230" s="44"/>
      <c r="C230" s="44"/>
      <c r="D230" s="44"/>
      <c r="E230" s="44"/>
      <c r="F230" s="44"/>
      <c r="G230" s="44"/>
      <c r="H230" s="44"/>
      <c r="I230" s="45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spans="1:26" ht="15.75" customHeight="1" x14ac:dyDescent="0.25">
      <c r="A231" s="44"/>
      <c r="B231" s="44"/>
      <c r="C231" s="44"/>
      <c r="D231" s="44"/>
      <c r="E231" s="44"/>
      <c r="F231" s="44"/>
      <c r="G231" s="44"/>
      <c r="H231" s="44"/>
      <c r="I231" s="45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spans="1:26" ht="15.75" customHeight="1" x14ac:dyDescent="0.25">
      <c r="A232" s="44"/>
      <c r="B232" s="44"/>
      <c r="C232" s="44"/>
      <c r="D232" s="44"/>
      <c r="E232" s="44"/>
      <c r="F232" s="44"/>
      <c r="G232" s="44"/>
      <c r="H232" s="44"/>
      <c r="I232" s="45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spans="1:26" ht="15.75" customHeight="1" x14ac:dyDescent="0.25">
      <c r="A233" s="44"/>
      <c r="B233" s="44"/>
      <c r="C233" s="44"/>
      <c r="D233" s="44"/>
      <c r="E233" s="44"/>
      <c r="F233" s="44"/>
      <c r="G233" s="44"/>
      <c r="H233" s="44"/>
      <c r="I233" s="45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spans="1:26" ht="15.75" customHeight="1" x14ac:dyDescent="0.25">
      <c r="A234" s="44"/>
      <c r="B234" s="44"/>
      <c r="C234" s="44"/>
      <c r="D234" s="44"/>
      <c r="E234" s="44"/>
      <c r="F234" s="44"/>
      <c r="G234" s="44"/>
      <c r="H234" s="44"/>
      <c r="I234" s="45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spans="1:26" ht="15.75" customHeight="1" x14ac:dyDescent="0.25">
      <c r="A235" s="44"/>
      <c r="B235" s="44"/>
      <c r="C235" s="44"/>
      <c r="D235" s="44"/>
      <c r="E235" s="44"/>
      <c r="F235" s="44"/>
      <c r="G235" s="44"/>
      <c r="H235" s="44"/>
      <c r="I235" s="45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spans="1:26" ht="15.75" customHeight="1" x14ac:dyDescent="0.25">
      <c r="A236" s="44"/>
      <c r="B236" s="44"/>
      <c r="C236" s="44"/>
      <c r="D236" s="44"/>
      <c r="E236" s="44"/>
      <c r="F236" s="44"/>
      <c r="G236" s="44"/>
      <c r="H236" s="44"/>
      <c r="I236" s="45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spans="1:26" ht="15.75" customHeight="1" x14ac:dyDescent="0.25">
      <c r="A237" s="44"/>
      <c r="B237" s="44"/>
      <c r="C237" s="44"/>
      <c r="D237" s="44"/>
      <c r="E237" s="44"/>
      <c r="F237" s="44"/>
      <c r="G237" s="44"/>
      <c r="H237" s="44"/>
      <c r="I237" s="45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spans="1:26" ht="15.75" customHeight="1" x14ac:dyDescent="0.25">
      <c r="A238" s="44"/>
      <c r="B238" s="44"/>
      <c r="C238" s="44"/>
      <c r="D238" s="44"/>
      <c r="E238" s="44"/>
      <c r="F238" s="44"/>
      <c r="G238" s="44"/>
      <c r="H238" s="44"/>
      <c r="I238" s="45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spans="1:26" ht="15.75" customHeight="1" x14ac:dyDescent="0.25">
      <c r="A239" s="44"/>
      <c r="B239" s="44"/>
      <c r="C239" s="44"/>
      <c r="D239" s="44"/>
      <c r="E239" s="44"/>
      <c r="F239" s="44"/>
      <c r="G239" s="44"/>
      <c r="H239" s="44"/>
      <c r="I239" s="45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spans="1:26" ht="15.75" customHeight="1" x14ac:dyDescent="0.25">
      <c r="A240" s="44"/>
      <c r="B240" s="44"/>
      <c r="C240" s="44"/>
      <c r="D240" s="44"/>
      <c r="E240" s="44"/>
      <c r="F240" s="44"/>
      <c r="G240" s="44"/>
      <c r="H240" s="44"/>
      <c r="I240" s="45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spans="1:26" ht="15.75" customHeight="1" x14ac:dyDescent="0.25">
      <c r="A241" s="44"/>
      <c r="B241" s="44"/>
      <c r="C241" s="44"/>
      <c r="D241" s="44"/>
      <c r="E241" s="44"/>
      <c r="F241" s="44"/>
      <c r="G241" s="44"/>
      <c r="H241" s="44"/>
      <c r="I241" s="45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spans="1:26" ht="15.75" customHeight="1" x14ac:dyDescent="0.25">
      <c r="A242" s="44"/>
      <c r="B242" s="44"/>
      <c r="C242" s="44"/>
      <c r="D242" s="44"/>
      <c r="E242" s="44"/>
      <c r="F242" s="44"/>
      <c r="G242" s="44"/>
      <c r="H242" s="44"/>
      <c r="I242" s="45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spans="1:26" ht="15.75" customHeight="1" x14ac:dyDescent="0.25">
      <c r="A243" s="44"/>
      <c r="B243" s="44"/>
      <c r="C243" s="44"/>
      <c r="D243" s="44"/>
      <c r="E243" s="44"/>
      <c r="F243" s="44"/>
      <c r="G243" s="44"/>
      <c r="H243" s="44"/>
      <c r="I243" s="45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spans="1:26" ht="15.75" customHeight="1" x14ac:dyDescent="0.25">
      <c r="A244" s="44"/>
      <c r="B244" s="44"/>
      <c r="C244" s="44"/>
      <c r="D244" s="44"/>
      <c r="E244" s="44"/>
      <c r="F244" s="44"/>
      <c r="G244" s="44"/>
      <c r="H244" s="44"/>
      <c r="I244" s="45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spans="1:26" ht="15.75" customHeight="1" x14ac:dyDescent="0.25">
      <c r="A245" s="44"/>
      <c r="B245" s="44"/>
      <c r="C245" s="44"/>
      <c r="D245" s="44"/>
      <c r="E245" s="44"/>
      <c r="F245" s="44"/>
      <c r="G245" s="44"/>
      <c r="H245" s="44"/>
      <c r="I245" s="45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spans="1:26" ht="15.75" customHeight="1" x14ac:dyDescent="0.25">
      <c r="A246" s="44"/>
      <c r="B246" s="44"/>
      <c r="C246" s="44"/>
      <c r="D246" s="44"/>
      <c r="E246" s="44"/>
      <c r="F246" s="44"/>
      <c r="G246" s="44"/>
      <c r="H246" s="44"/>
      <c r="I246" s="45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spans="1:26" ht="15.75" customHeight="1" x14ac:dyDescent="0.25">
      <c r="A247" s="44"/>
      <c r="B247" s="44"/>
      <c r="C247" s="44"/>
      <c r="D247" s="44"/>
      <c r="E247" s="44"/>
      <c r="F247" s="44"/>
      <c r="G247" s="44"/>
      <c r="H247" s="44"/>
      <c r="I247" s="45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spans="1:26" ht="15.75" customHeight="1" x14ac:dyDescent="0.25">
      <c r="A248" s="44"/>
      <c r="B248" s="44"/>
      <c r="C248" s="44"/>
      <c r="D248" s="44"/>
      <c r="E248" s="44"/>
      <c r="F248" s="44"/>
      <c r="G248" s="44"/>
      <c r="H248" s="44"/>
      <c r="I248" s="45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spans="1:26" ht="15.75" customHeight="1" x14ac:dyDescent="0.25">
      <c r="A249" s="44"/>
      <c r="B249" s="44"/>
      <c r="C249" s="44"/>
      <c r="D249" s="44"/>
      <c r="E249" s="44"/>
      <c r="F249" s="44"/>
      <c r="G249" s="44"/>
      <c r="H249" s="44"/>
      <c r="I249" s="45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spans="1:26" ht="15.75" customHeight="1" x14ac:dyDescent="0.25">
      <c r="A250" s="44"/>
      <c r="B250" s="44"/>
      <c r="C250" s="44"/>
      <c r="D250" s="44"/>
      <c r="E250" s="44"/>
      <c r="F250" s="44"/>
      <c r="G250" s="44"/>
      <c r="H250" s="44"/>
      <c r="I250" s="45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spans="1:26" ht="15.75" customHeight="1" x14ac:dyDescent="0.25">
      <c r="A251" s="44"/>
      <c r="B251" s="44"/>
      <c r="C251" s="44"/>
      <c r="D251" s="44"/>
      <c r="E251" s="44"/>
      <c r="F251" s="44"/>
      <c r="G251" s="44"/>
      <c r="H251" s="44"/>
      <c r="I251" s="45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spans="1:26" ht="15.75" customHeight="1" x14ac:dyDescent="0.25">
      <c r="A252" s="44"/>
      <c r="B252" s="44"/>
      <c r="C252" s="44"/>
      <c r="D252" s="44"/>
      <c r="E252" s="44"/>
      <c r="F252" s="44"/>
      <c r="G252" s="44"/>
      <c r="H252" s="44"/>
      <c r="I252" s="45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spans="1:26" ht="15.75" customHeight="1" x14ac:dyDescent="0.25">
      <c r="A253" s="44"/>
      <c r="B253" s="44"/>
      <c r="C253" s="44"/>
      <c r="D253" s="44"/>
      <c r="E253" s="44"/>
      <c r="F253" s="44"/>
      <c r="G253" s="44"/>
      <c r="H253" s="44"/>
      <c r="I253" s="45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6">
    <mergeCell ref="B2:F6"/>
    <mergeCell ref="B41:C41"/>
    <mergeCell ref="B51:F51"/>
    <mergeCell ref="B52:F52"/>
    <mergeCell ref="B53:F53"/>
    <mergeCell ref="B12:C13"/>
  </mergeCells>
  <printOptions horizontalCentered="1"/>
  <pageMargins left="0.21715410573678295" right="0.16704161979752533" top="0.18374578177727788" bottom="1.6704161979752535E-2" header="0" footer="0"/>
  <pageSetup paperSize="9" scale="57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BFBF"/>
    <outlinePr summaryBelow="0"/>
    <pageSetUpPr fitToPage="1"/>
  </sheetPr>
  <dimension ref="A1:AJ991"/>
  <sheetViews>
    <sheetView showGridLines="0" zoomScale="55" zoomScaleNormal="55" workbookViewId="0">
      <pane ySplit="17" topLeftCell="A391" activePane="bottomLeft" state="frozen"/>
      <selection activeCell="C22" sqref="C22"/>
      <selection pane="bottomLeft" activeCell="B402" sqref="B402"/>
    </sheetView>
  </sheetViews>
  <sheetFormatPr defaultColWidth="12.59765625" defaultRowHeight="15" customHeight="1" x14ac:dyDescent="0.25"/>
  <cols>
    <col min="1" max="1" width="4.69921875" style="230" customWidth="1"/>
    <col min="2" max="2" width="10.59765625" style="230" customWidth="1"/>
    <col min="3" max="3" width="15.296875" style="230" customWidth="1"/>
    <col min="4" max="4" width="15" style="230" customWidth="1"/>
    <col min="5" max="5" width="99.5" style="230" customWidth="1"/>
    <col min="6" max="6" width="8.5" style="230" customWidth="1"/>
    <col min="7" max="7" width="11.3984375" style="231" customWidth="1"/>
    <col min="8" max="8" width="17.3984375" style="230" customWidth="1"/>
    <col min="9" max="13" width="14.69921875" style="230" customWidth="1"/>
    <col min="14" max="14" width="16.19921875" style="230" customWidth="1"/>
    <col min="15" max="15" width="14.5" style="230" customWidth="1"/>
    <col min="16" max="16" width="16" style="230" customWidth="1"/>
    <col min="17" max="17" width="14.59765625" style="230" customWidth="1"/>
    <col min="18" max="19" width="15.09765625" style="230" customWidth="1"/>
    <col min="20" max="20" width="7.59765625" style="230" customWidth="1"/>
    <col min="21" max="21" width="17.8984375" style="230" customWidth="1"/>
    <col min="22" max="34" width="7.59765625" style="230" customWidth="1"/>
    <col min="35" max="16384" width="12.59765625" style="230"/>
  </cols>
  <sheetData>
    <row r="1" spans="1:36" ht="18.75" customHeight="1" x14ac:dyDescent="0.25">
      <c r="A1" s="96"/>
      <c r="B1" s="97"/>
      <c r="C1" s="98"/>
      <c r="D1" s="99"/>
      <c r="E1" s="99"/>
      <c r="F1" s="100"/>
      <c r="G1" s="218"/>
      <c r="H1" s="100"/>
      <c r="I1" s="102"/>
      <c r="J1" s="102"/>
      <c r="K1" s="102"/>
      <c r="L1" s="48"/>
      <c r="M1" s="101"/>
      <c r="N1" s="4"/>
      <c r="O1" s="4"/>
      <c r="P1" s="4"/>
      <c r="Q1" s="4"/>
      <c r="R1" s="103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4"/>
      <c r="AJ1" s="44"/>
    </row>
    <row r="2" spans="1:36" ht="18.75" customHeight="1" x14ac:dyDescent="0.25">
      <c r="A2" s="96"/>
      <c r="B2" s="293" t="s">
        <v>30</v>
      </c>
      <c r="C2" s="294"/>
      <c r="D2" s="294"/>
      <c r="E2" s="294"/>
      <c r="F2" s="294"/>
      <c r="G2" s="294"/>
      <c r="H2" s="294"/>
      <c r="I2" s="294"/>
      <c r="J2" s="294"/>
      <c r="K2" s="294"/>
      <c r="L2" s="294"/>
      <c r="M2" s="294"/>
      <c r="N2" s="294"/>
      <c r="O2" s="295"/>
      <c r="P2" s="101"/>
      <c r="Q2" s="4"/>
      <c r="R2" s="4"/>
      <c r="S2" s="4"/>
      <c r="T2" s="4"/>
      <c r="U2" s="103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</row>
    <row r="3" spans="1:36" ht="18.75" customHeight="1" x14ac:dyDescent="0.25">
      <c r="A3" s="96"/>
      <c r="B3" s="296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8"/>
      <c r="P3" s="101"/>
      <c r="Q3" s="4"/>
      <c r="R3" s="4"/>
      <c r="S3" s="4"/>
      <c r="T3" s="4"/>
      <c r="U3" s="103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</row>
    <row r="4" spans="1:36" ht="18.75" customHeight="1" x14ac:dyDescent="0.25">
      <c r="A4" s="96"/>
      <c r="B4" s="296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8"/>
      <c r="P4" s="101"/>
      <c r="Q4" s="4"/>
      <c r="R4" s="4"/>
      <c r="S4" s="4"/>
      <c r="T4" s="4"/>
      <c r="U4" s="103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</row>
    <row r="5" spans="1:36" ht="18.75" customHeight="1" x14ac:dyDescent="0.25">
      <c r="A5" s="96"/>
      <c r="B5" s="296"/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8"/>
      <c r="P5" s="101"/>
      <c r="Q5" s="4"/>
      <c r="R5" s="4"/>
      <c r="S5" s="4"/>
      <c r="T5" s="4"/>
      <c r="U5" s="103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</row>
    <row r="6" spans="1:36" ht="18.75" customHeight="1" x14ac:dyDescent="0.25">
      <c r="A6" s="96"/>
      <c r="B6" s="299"/>
      <c r="C6" s="300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300"/>
      <c r="O6" s="301"/>
      <c r="P6" s="101"/>
      <c r="Q6" s="4"/>
      <c r="R6" s="4"/>
      <c r="S6" s="4"/>
      <c r="T6" s="4"/>
      <c r="U6" s="103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</row>
    <row r="7" spans="1:36" ht="15" customHeight="1" x14ac:dyDescent="0.25">
      <c r="A7" s="96"/>
      <c r="B7" s="97"/>
      <c r="C7" s="98"/>
      <c r="D7" s="4"/>
      <c r="E7" s="99"/>
      <c r="F7" s="4"/>
      <c r="G7" s="218"/>
      <c r="H7" s="4"/>
      <c r="I7" s="4"/>
      <c r="J7" s="101"/>
      <c r="K7" s="100"/>
      <c r="L7" s="48"/>
      <c r="M7" s="48"/>
      <c r="N7" s="48"/>
      <c r="O7" s="48"/>
      <c r="P7" s="101"/>
      <c r="Q7" s="4"/>
      <c r="R7" s="4"/>
      <c r="S7" s="4"/>
      <c r="T7" s="4"/>
      <c r="U7" s="103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</row>
    <row r="8" spans="1:36" ht="15" customHeight="1" x14ac:dyDescent="0.25">
      <c r="A8" s="96"/>
      <c r="B8" s="104" t="str">
        <f>'DADOS GERAIS'!$B$8</f>
        <v>Secretaria de Atenção Especializada à Saúde</v>
      </c>
      <c r="C8" s="105"/>
      <c r="D8" s="6"/>
      <c r="E8" s="106"/>
      <c r="F8" s="6"/>
      <c r="G8" s="219"/>
      <c r="H8" s="6"/>
      <c r="I8" s="6"/>
      <c r="J8" s="107"/>
      <c r="K8" s="6" t="str">
        <f>RESUMO!D8</f>
        <v>BDI Geral:</v>
      </c>
      <c r="L8" s="108"/>
      <c r="M8" s="6" t="str">
        <f>RESUMO!E8</f>
        <v>Encargo Social Mensalista:</v>
      </c>
      <c r="N8" s="108"/>
      <c r="O8" s="53" t="str">
        <f>'DADOS GERAIS'!$B$22</f>
        <v>Data:</v>
      </c>
      <c r="P8" s="101"/>
      <c r="Q8" s="4"/>
      <c r="R8" s="4"/>
      <c r="S8" s="4"/>
      <c r="T8" s="4"/>
      <c r="U8" s="103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</row>
    <row r="9" spans="1:36" ht="15" customHeight="1" x14ac:dyDescent="0.25">
      <c r="A9" s="96"/>
      <c r="B9" s="54" t="str">
        <f>'DADOS GERAIS'!$B$9</f>
        <v>Policlínica - Área Construída: 3.213,00 m²</v>
      </c>
      <c r="C9" s="109"/>
      <c r="D9" s="9"/>
      <c r="E9" s="110"/>
      <c r="F9" s="44"/>
      <c r="G9" s="220"/>
      <c r="H9" s="44"/>
      <c r="I9" s="44"/>
      <c r="J9" s="45"/>
      <c r="K9" s="111">
        <f>RESUMO!D9</f>
        <v>0.24875249461101823</v>
      </c>
      <c r="L9" s="110"/>
      <c r="M9" s="111">
        <f>RESUMO!E9</f>
        <v>0.47570000000000001</v>
      </c>
      <c r="N9" s="110"/>
      <c r="O9" s="57" t="str">
        <f>'DADOS GERAIS'!$C$22</f>
        <v>09/05/2024</v>
      </c>
      <c r="P9" s="101"/>
      <c r="Q9" s="4"/>
      <c r="R9" s="4"/>
      <c r="S9" s="4"/>
      <c r="T9" s="4"/>
      <c r="U9" s="103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</row>
    <row r="10" spans="1:36" ht="15" customHeight="1" x14ac:dyDescent="0.25">
      <c r="A10" s="96"/>
      <c r="B10" s="54"/>
      <c r="C10" s="109"/>
      <c r="D10" s="9"/>
      <c r="E10" s="110"/>
      <c r="F10" s="9"/>
      <c r="G10" s="221"/>
      <c r="H10" s="9"/>
      <c r="I10" s="9"/>
      <c r="J10" s="112"/>
      <c r="K10" s="9"/>
      <c r="L10" s="44"/>
      <c r="M10" s="44"/>
      <c r="N10" s="44"/>
      <c r="O10" s="113"/>
      <c r="P10" s="101"/>
      <c r="Q10" s="4"/>
      <c r="R10" s="4"/>
      <c r="S10" s="4"/>
      <c r="T10" s="4"/>
      <c r="U10" s="103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</row>
    <row r="11" spans="1:36" ht="15" customHeight="1" x14ac:dyDescent="0.25">
      <c r="A11" s="96"/>
      <c r="B11" s="60" t="str">
        <f>RESUMO!B11</f>
        <v>Bancos:</v>
      </c>
      <c r="C11" s="109"/>
      <c r="D11" s="9"/>
      <c r="E11" s="110"/>
      <c r="F11" s="9"/>
      <c r="G11" s="221"/>
      <c r="H11" s="9"/>
      <c r="I11" s="9"/>
      <c r="J11" s="112"/>
      <c r="K11" s="9" t="str">
        <f>RESUMO!D11</f>
        <v>BDI Equipamentos:</v>
      </c>
      <c r="L11" s="44"/>
      <c r="M11" s="114" t="str">
        <f>RESUMO!E11</f>
        <v>Encargo Social Horista:</v>
      </c>
      <c r="N11" s="44"/>
      <c r="O11" s="59" t="str">
        <f>'DADOS GERAIS'!$B$23</f>
        <v>Revisão:</v>
      </c>
      <c r="P11" s="101"/>
      <c r="Q11" s="4"/>
      <c r="R11" s="4"/>
      <c r="S11" s="4"/>
      <c r="T11" s="4"/>
      <c r="U11" s="103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</row>
    <row r="12" spans="1:36" ht="15" customHeight="1" x14ac:dyDescent="0.25">
      <c r="A12" s="96"/>
      <c r="B12" s="115" t="str">
        <f>'DADOS GERAIS'!$B$12</f>
        <v>SINAPI (11/2023) - CPOS/CDHU (11/2023) - SBC (11/2023) - ORSE (11/2023) - SEINFRA (028) - IOPES (11/2023) - CAERN (11/2023) - EMOP (11/2023)</v>
      </c>
      <c r="C12" s="109"/>
      <c r="D12" s="9"/>
      <c r="E12" s="110"/>
      <c r="F12" s="9"/>
      <c r="G12" s="221"/>
      <c r="H12" s="9"/>
      <c r="I12" s="9"/>
      <c r="J12" s="112"/>
      <c r="K12" s="111">
        <f>RESUMO!D12</f>
        <v>0.16857590555253088</v>
      </c>
      <c r="L12" s="116"/>
      <c r="M12" s="111">
        <f>RESUMO!E12</f>
        <v>0.85555179999999986</v>
      </c>
      <c r="N12" s="116"/>
      <c r="O12" s="117" t="str">
        <f>'DADOS GERAIS'!$C$23</f>
        <v>03</v>
      </c>
      <c r="P12" s="101"/>
      <c r="Q12" s="4"/>
      <c r="R12" s="4"/>
      <c r="S12" s="4"/>
      <c r="T12" s="4"/>
      <c r="U12" s="103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</row>
    <row r="13" spans="1:36" ht="15" customHeight="1" x14ac:dyDescent="0.25">
      <c r="A13" s="96"/>
      <c r="B13" s="118"/>
      <c r="C13" s="119"/>
      <c r="D13" s="14"/>
      <c r="E13" s="120"/>
      <c r="F13" s="14"/>
      <c r="G13" s="222"/>
      <c r="H13" s="14"/>
      <c r="I13" s="14"/>
      <c r="J13" s="121"/>
      <c r="K13" s="14"/>
      <c r="L13" s="122"/>
      <c r="M13" s="122"/>
      <c r="N13" s="122"/>
      <c r="O13" s="123"/>
      <c r="P13" s="124"/>
      <c r="Q13" s="125"/>
      <c r="R13" s="125"/>
      <c r="S13" s="125"/>
      <c r="T13" s="125"/>
      <c r="U13" s="126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</row>
    <row r="14" spans="1:36" ht="15" customHeight="1" x14ac:dyDescent="0.25">
      <c r="A14" s="96"/>
      <c r="B14" s="97"/>
      <c r="C14" s="127"/>
      <c r="D14" s="48"/>
      <c r="E14" s="128"/>
      <c r="F14" s="48"/>
      <c r="G14" s="223"/>
      <c r="H14" s="48"/>
      <c r="I14" s="48"/>
      <c r="J14" s="49"/>
      <c r="K14" s="4"/>
      <c r="L14" s="48"/>
      <c r="M14" s="48"/>
      <c r="N14" s="48"/>
      <c r="O14" s="48"/>
      <c r="P14" s="101"/>
      <c r="Q14" s="4"/>
      <c r="R14" s="4"/>
      <c r="S14" s="4"/>
      <c r="T14" s="4"/>
      <c r="U14" s="103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</row>
    <row r="15" spans="1:36" ht="15" customHeight="1" x14ac:dyDescent="0.25">
      <c r="A15" s="129"/>
      <c r="B15" s="302" t="s">
        <v>31</v>
      </c>
      <c r="C15" s="288" t="s">
        <v>32</v>
      </c>
      <c r="D15" s="302" t="s">
        <v>33</v>
      </c>
      <c r="E15" s="302" t="s">
        <v>34</v>
      </c>
      <c r="F15" s="303" t="s">
        <v>35</v>
      </c>
      <c r="G15" s="304" t="s">
        <v>36</v>
      </c>
      <c r="H15" s="288" t="s">
        <v>37</v>
      </c>
      <c r="I15" s="290" t="s">
        <v>38</v>
      </c>
      <c r="J15" s="291"/>
      <c r="K15" s="292"/>
      <c r="L15" s="290" t="s">
        <v>39</v>
      </c>
      <c r="M15" s="291"/>
      <c r="N15" s="292"/>
      <c r="O15" s="288" t="s">
        <v>40</v>
      </c>
      <c r="P15" s="98"/>
      <c r="Q15" s="98"/>
      <c r="R15" s="126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44"/>
      <c r="AJ15" s="44"/>
    </row>
    <row r="16" spans="1:36" x14ac:dyDescent="0.25">
      <c r="A16" s="129"/>
      <c r="B16" s="289"/>
      <c r="C16" s="289"/>
      <c r="D16" s="289"/>
      <c r="E16" s="289"/>
      <c r="F16" s="289"/>
      <c r="G16" s="305"/>
      <c r="H16" s="289"/>
      <c r="I16" s="130" t="s">
        <v>41</v>
      </c>
      <c r="J16" s="130" t="s">
        <v>42</v>
      </c>
      <c r="K16" s="130" t="s">
        <v>39</v>
      </c>
      <c r="L16" s="130" t="s">
        <v>41</v>
      </c>
      <c r="M16" s="130" t="s">
        <v>42</v>
      </c>
      <c r="N16" s="130" t="s">
        <v>39</v>
      </c>
      <c r="O16" s="289"/>
      <c r="P16" s="98"/>
      <c r="Q16" s="98"/>
      <c r="R16" s="126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44"/>
      <c r="AJ16" s="44"/>
    </row>
    <row r="17" spans="1:36" ht="15.6" x14ac:dyDescent="0.25">
      <c r="A17" s="96"/>
      <c r="B17" s="131"/>
      <c r="C17" s="132"/>
      <c r="D17" s="132"/>
      <c r="E17" s="133"/>
      <c r="F17" s="134"/>
      <c r="G17" s="224"/>
      <c r="H17" s="132"/>
      <c r="I17" s="136"/>
      <c r="J17" s="136"/>
      <c r="K17" s="136"/>
      <c r="L17" s="137"/>
      <c r="M17" s="124"/>
      <c r="N17" s="98"/>
      <c r="O17" s="98"/>
      <c r="P17" s="98"/>
      <c r="Q17" s="98"/>
      <c r="R17" s="103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4"/>
      <c r="AJ17" s="44"/>
    </row>
    <row r="18" spans="1:36" x14ac:dyDescent="0.25">
      <c r="A18" s="96"/>
      <c r="B18" s="240">
        <v>1</v>
      </c>
      <c r="C18" s="240"/>
      <c r="D18" s="240"/>
      <c r="E18" s="240" t="s">
        <v>695</v>
      </c>
      <c r="F18" s="240"/>
      <c r="G18" s="258"/>
      <c r="H18" s="241"/>
      <c r="I18" s="240"/>
      <c r="J18" s="240"/>
      <c r="K18" s="240"/>
      <c r="L18" s="240"/>
      <c r="M18" s="240"/>
      <c r="N18" s="242"/>
      <c r="O18" s="243"/>
      <c r="P18" s="138"/>
      <c r="Q18" s="138"/>
      <c r="R18" s="12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4"/>
      <c r="AJ18" s="44"/>
    </row>
    <row r="19" spans="1:36" x14ac:dyDescent="0.25">
      <c r="A19" s="96"/>
      <c r="B19" s="240" t="s">
        <v>43</v>
      </c>
      <c r="C19" s="240"/>
      <c r="D19" s="240"/>
      <c r="E19" s="240" t="s">
        <v>696</v>
      </c>
      <c r="F19" s="240"/>
      <c r="G19" s="258"/>
      <c r="H19" s="241"/>
      <c r="I19" s="240"/>
      <c r="J19" s="240"/>
      <c r="K19" s="240"/>
      <c r="L19" s="240"/>
      <c r="M19" s="240"/>
      <c r="N19" s="242"/>
      <c r="O19" s="243"/>
      <c r="P19" s="86"/>
      <c r="Q19" s="49"/>
      <c r="R19" s="12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4"/>
      <c r="AJ19" s="44"/>
    </row>
    <row r="20" spans="1:36" x14ac:dyDescent="0.25">
      <c r="A20" s="96"/>
      <c r="B20" s="244" t="s">
        <v>697</v>
      </c>
      <c r="C20" s="245" t="s">
        <v>2278</v>
      </c>
      <c r="D20" s="244" t="s">
        <v>263</v>
      </c>
      <c r="E20" s="244" t="s">
        <v>2279</v>
      </c>
      <c r="F20" s="246" t="s">
        <v>2280</v>
      </c>
      <c r="G20" s="259">
        <v>32</v>
      </c>
      <c r="H20" s="247"/>
      <c r="I20" s="247"/>
      <c r="J20" s="247"/>
      <c r="K20" s="247"/>
      <c r="L20" s="247"/>
      <c r="M20" s="247"/>
      <c r="N20" s="247"/>
      <c r="O20" s="248"/>
      <c r="P20" s="44"/>
      <c r="Q20" s="49"/>
      <c r="R20" s="126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4"/>
      <c r="AJ20" s="44"/>
    </row>
    <row r="21" spans="1:36" ht="27.6" x14ac:dyDescent="0.25">
      <c r="A21" s="96"/>
      <c r="B21" s="244" t="s">
        <v>698</v>
      </c>
      <c r="C21" s="245" t="s">
        <v>47</v>
      </c>
      <c r="D21" s="244" t="s">
        <v>44</v>
      </c>
      <c r="E21" s="244" t="s">
        <v>48</v>
      </c>
      <c r="F21" s="246" t="s">
        <v>45</v>
      </c>
      <c r="G21" s="259">
        <v>14</v>
      </c>
      <c r="H21" s="247"/>
      <c r="I21" s="247"/>
      <c r="J21" s="247"/>
      <c r="K21" s="247"/>
      <c r="L21" s="247"/>
      <c r="M21" s="247"/>
      <c r="N21" s="247"/>
      <c r="O21" s="248"/>
      <c r="P21" s="44"/>
      <c r="Q21" s="49"/>
      <c r="R21" s="12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4"/>
      <c r="AJ21" s="44"/>
    </row>
    <row r="22" spans="1:36" ht="27.6" x14ac:dyDescent="0.25">
      <c r="A22" s="96"/>
      <c r="B22" s="244" t="s">
        <v>699</v>
      </c>
      <c r="C22" s="245" t="s">
        <v>49</v>
      </c>
      <c r="D22" s="244" t="s">
        <v>44</v>
      </c>
      <c r="E22" s="244" t="s">
        <v>50</v>
      </c>
      <c r="F22" s="246" t="s">
        <v>45</v>
      </c>
      <c r="G22" s="259">
        <v>14</v>
      </c>
      <c r="H22" s="247"/>
      <c r="I22" s="247"/>
      <c r="J22" s="247"/>
      <c r="K22" s="247"/>
      <c r="L22" s="247"/>
      <c r="M22" s="247"/>
      <c r="N22" s="247"/>
      <c r="O22" s="248"/>
      <c r="P22" s="44"/>
      <c r="Q22" s="49"/>
      <c r="R22" s="12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4"/>
      <c r="AJ22" s="44"/>
    </row>
    <row r="23" spans="1:36" ht="27.6" x14ac:dyDescent="0.25">
      <c r="A23" s="96"/>
      <c r="B23" s="244" t="s">
        <v>700</v>
      </c>
      <c r="C23" s="245" t="s">
        <v>2281</v>
      </c>
      <c r="D23" s="244" t="s">
        <v>263</v>
      </c>
      <c r="E23" s="244" t="s">
        <v>2282</v>
      </c>
      <c r="F23" s="246" t="s">
        <v>2280</v>
      </c>
      <c r="G23" s="259">
        <v>16</v>
      </c>
      <c r="H23" s="247"/>
      <c r="I23" s="247"/>
      <c r="J23" s="247"/>
      <c r="K23" s="247"/>
      <c r="L23" s="247"/>
      <c r="M23" s="247"/>
      <c r="N23" s="247"/>
      <c r="O23" s="248"/>
      <c r="P23" s="44"/>
      <c r="Q23" s="49"/>
      <c r="R23" s="12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4"/>
      <c r="AJ23" s="44"/>
    </row>
    <row r="24" spans="1:36" x14ac:dyDescent="0.25">
      <c r="A24" s="96"/>
      <c r="B24" s="244" t="s">
        <v>701</v>
      </c>
      <c r="C24" s="245" t="s">
        <v>2283</v>
      </c>
      <c r="D24" s="244" t="s">
        <v>263</v>
      </c>
      <c r="E24" s="244" t="s">
        <v>2284</v>
      </c>
      <c r="F24" s="246" t="s">
        <v>2280</v>
      </c>
      <c r="G24" s="259">
        <v>16</v>
      </c>
      <c r="H24" s="247"/>
      <c r="I24" s="247"/>
      <c r="J24" s="247"/>
      <c r="K24" s="247"/>
      <c r="L24" s="247"/>
      <c r="M24" s="247"/>
      <c r="N24" s="247"/>
      <c r="O24" s="248"/>
      <c r="P24" s="44"/>
      <c r="Q24" s="49"/>
      <c r="R24" s="12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4"/>
      <c r="AJ24" s="44"/>
    </row>
    <row r="25" spans="1:36" ht="27.6" x14ac:dyDescent="0.25">
      <c r="A25" s="96"/>
      <c r="B25" s="244" t="s">
        <v>702</v>
      </c>
      <c r="C25" s="245" t="s">
        <v>51</v>
      </c>
      <c r="D25" s="244" t="s">
        <v>44</v>
      </c>
      <c r="E25" s="244" t="s">
        <v>52</v>
      </c>
      <c r="F25" s="246" t="s">
        <v>45</v>
      </c>
      <c r="G25" s="259">
        <v>90</v>
      </c>
      <c r="H25" s="247"/>
      <c r="I25" s="247"/>
      <c r="J25" s="247"/>
      <c r="K25" s="247"/>
      <c r="L25" s="247"/>
      <c r="M25" s="247"/>
      <c r="N25" s="247"/>
      <c r="O25" s="248"/>
      <c r="P25" s="44"/>
      <c r="Q25" s="49"/>
      <c r="R25" s="12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4"/>
      <c r="AJ25" s="44"/>
    </row>
    <row r="26" spans="1:36" ht="27.6" x14ac:dyDescent="0.25">
      <c r="A26" s="96"/>
      <c r="B26" s="244" t="s">
        <v>703</v>
      </c>
      <c r="C26" s="245" t="s">
        <v>2285</v>
      </c>
      <c r="D26" s="244" t="s">
        <v>263</v>
      </c>
      <c r="E26" s="244" t="s">
        <v>2286</v>
      </c>
      <c r="F26" s="246" t="s">
        <v>2280</v>
      </c>
      <c r="G26" s="259">
        <v>64</v>
      </c>
      <c r="H26" s="247"/>
      <c r="I26" s="247"/>
      <c r="J26" s="247"/>
      <c r="K26" s="247"/>
      <c r="L26" s="247"/>
      <c r="M26" s="247"/>
      <c r="N26" s="247"/>
      <c r="O26" s="248"/>
      <c r="P26" s="44"/>
      <c r="Q26" s="49"/>
      <c r="R26" s="12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4"/>
      <c r="AJ26" s="44"/>
    </row>
    <row r="27" spans="1:36" ht="27.6" x14ac:dyDescent="0.25">
      <c r="A27" s="96"/>
      <c r="B27" s="244" t="s">
        <v>704</v>
      </c>
      <c r="C27" s="245" t="s">
        <v>53</v>
      </c>
      <c r="D27" s="244" t="s">
        <v>44</v>
      </c>
      <c r="E27" s="244" t="s">
        <v>54</v>
      </c>
      <c r="F27" s="246" t="s">
        <v>55</v>
      </c>
      <c r="G27" s="259">
        <v>1</v>
      </c>
      <c r="H27" s="247"/>
      <c r="I27" s="247"/>
      <c r="J27" s="247"/>
      <c r="K27" s="247"/>
      <c r="L27" s="247"/>
      <c r="M27" s="247"/>
      <c r="N27" s="247"/>
      <c r="O27" s="248"/>
      <c r="P27" s="44"/>
      <c r="Q27" s="49"/>
      <c r="R27" s="12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4"/>
      <c r="AJ27" s="44"/>
    </row>
    <row r="28" spans="1:36" x14ac:dyDescent="0.25">
      <c r="A28" s="96"/>
      <c r="B28" s="244" t="s">
        <v>705</v>
      </c>
      <c r="C28" s="245" t="s">
        <v>56</v>
      </c>
      <c r="D28" s="244" t="s">
        <v>44</v>
      </c>
      <c r="E28" s="244" t="s">
        <v>57</v>
      </c>
      <c r="F28" s="246" t="s">
        <v>55</v>
      </c>
      <c r="G28" s="259">
        <v>1</v>
      </c>
      <c r="H28" s="247"/>
      <c r="I28" s="247"/>
      <c r="J28" s="247"/>
      <c r="K28" s="247"/>
      <c r="L28" s="247"/>
      <c r="M28" s="247"/>
      <c r="N28" s="247"/>
      <c r="O28" s="248"/>
      <c r="P28" s="44"/>
      <c r="Q28" s="49"/>
      <c r="R28" s="12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4"/>
      <c r="AJ28" s="44"/>
    </row>
    <row r="29" spans="1:36" ht="27.6" x14ac:dyDescent="0.25">
      <c r="A29" s="96"/>
      <c r="B29" s="244" t="s">
        <v>706</v>
      </c>
      <c r="C29" s="245" t="s">
        <v>58</v>
      </c>
      <c r="D29" s="244" t="s">
        <v>44</v>
      </c>
      <c r="E29" s="244" t="s">
        <v>59</v>
      </c>
      <c r="F29" s="246" t="s">
        <v>55</v>
      </c>
      <c r="G29" s="259">
        <v>1</v>
      </c>
      <c r="H29" s="247"/>
      <c r="I29" s="247"/>
      <c r="J29" s="247"/>
      <c r="K29" s="247"/>
      <c r="L29" s="247"/>
      <c r="M29" s="247"/>
      <c r="N29" s="247"/>
      <c r="O29" s="248"/>
      <c r="P29" s="44"/>
      <c r="Q29" s="49"/>
      <c r="R29" s="12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4"/>
      <c r="AJ29" s="44"/>
    </row>
    <row r="30" spans="1:36" ht="27.6" x14ac:dyDescent="0.25">
      <c r="A30" s="96"/>
      <c r="B30" s="244" t="s">
        <v>707</v>
      </c>
      <c r="C30" s="245" t="s">
        <v>60</v>
      </c>
      <c r="D30" s="244" t="s">
        <v>44</v>
      </c>
      <c r="E30" s="244" t="s">
        <v>61</v>
      </c>
      <c r="F30" s="246" t="s">
        <v>45</v>
      </c>
      <c r="G30" s="259">
        <v>6</v>
      </c>
      <c r="H30" s="247"/>
      <c r="I30" s="247"/>
      <c r="J30" s="247"/>
      <c r="K30" s="247"/>
      <c r="L30" s="247"/>
      <c r="M30" s="247"/>
      <c r="N30" s="247"/>
      <c r="O30" s="248"/>
      <c r="P30" s="44"/>
      <c r="Q30" s="49"/>
      <c r="R30" s="12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4"/>
      <c r="AJ30" s="44"/>
    </row>
    <row r="31" spans="1:36" ht="27.6" x14ac:dyDescent="0.25">
      <c r="A31" s="96"/>
      <c r="B31" s="244" t="s">
        <v>708</v>
      </c>
      <c r="C31" s="245" t="s">
        <v>2287</v>
      </c>
      <c r="D31" s="244" t="s">
        <v>44</v>
      </c>
      <c r="E31" s="244" t="s">
        <v>2288</v>
      </c>
      <c r="F31" s="246" t="s">
        <v>55</v>
      </c>
      <c r="G31" s="259">
        <v>1</v>
      </c>
      <c r="H31" s="247"/>
      <c r="I31" s="247"/>
      <c r="J31" s="247"/>
      <c r="K31" s="247"/>
      <c r="L31" s="247"/>
      <c r="M31" s="247"/>
      <c r="N31" s="247"/>
      <c r="O31" s="248"/>
      <c r="P31" s="44"/>
      <c r="Q31" s="49"/>
      <c r="R31" s="12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4"/>
      <c r="AJ31" s="44"/>
    </row>
    <row r="32" spans="1:36" ht="27.6" x14ac:dyDescent="0.25">
      <c r="A32" s="96"/>
      <c r="B32" s="244" t="s">
        <v>709</v>
      </c>
      <c r="C32" s="245" t="s">
        <v>711</v>
      </c>
      <c r="D32" s="244" t="s">
        <v>263</v>
      </c>
      <c r="E32" s="244" t="s">
        <v>1873</v>
      </c>
      <c r="F32" s="246" t="s">
        <v>75</v>
      </c>
      <c r="G32" s="259">
        <v>640</v>
      </c>
      <c r="H32" s="247"/>
      <c r="I32" s="247"/>
      <c r="J32" s="247"/>
      <c r="K32" s="247"/>
      <c r="L32" s="247"/>
      <c r="M32" s="247"/>
      <c r="N32" s="247"/>
      <c r="O32" s="248"/>
      <c r="P32" s="44"/>
      <c r="Q32" s="49"/>
      <c r="R32" s="12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4"/>
      <c r="AJ32" s="44"/>
    </row>
    <row r="33" spans="1:36" x14ac:dyDescent="0.25">
      <c r="A33" s="96"/>
      <c r="B33" s="244" t="s">
        <v>710</v>
      </c>
      <c r="C33" s="245" t="s">
        <v>62</v>
      </c>
      <c r="D33" s="244" t="s">
        <v>44</v>
      </c>
      <c r="E33" s="244" t="s">
        <v>63</v>
      </c>
      <c r="F33" s="246" t="s">
        <v>45</v>
      </c>
      <c r="G33" s="259">
        <v>640</v>
      </c>
      <c r="H33" s="247"/>
      <c r="I33" s="247"/>
      <c r="J33" s="247"/>
      <c r="K33" s="247"/>
      <c r="L33" s="247"/>
      <c r="M33" s="247"/>
      <c r="N33" s="247"/>
      <c r="O33" s="248"/>
      <c r="P33" s="44"/>
      <c r="Q33" s="49"/>
      <c r="R33" s="12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4"/>
      <c r="AJ33" s="44"/>
    </row>
    <row r="34" spans="1:36" x14ac:dyDescent="0.25">
      <c r="A34" s="96"/>
      <c r="B34" s="240" t="s">
        <v>1874</v>
      </c>
      <c r="C34" s="240"/>
      <c r="D34" s="240"/>
      <c r="E34" s="240" t="s">
        <v>712</v>
      </c>
      <c r="F34" s="240"/>
      <c r="G34" s="258"/>
      <c r="H34" s="241"/>
      <c r="I34" s="240"/>
      <c r="J34" s="240"/>
      <c r="K34" s="240"/>
      <c r="L34" s="240"/>
      <c r="M34" s="240"/>
      <c r="N34" s="242"/>
      <c r="O34" s="243"/>
      <c r="P34" s="44"/>
      <c r="Q34" s="49"/>
      <c r="R34" s="126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4"/>
      <c r="AJ34" s="44"/>
    </row>
    <row r="35" spans="1:36" x14ac:dyDescent="0.25">
      <c r="A35" s="96"/>
      <c r="B35" s="244" t="s">
        <v>1875</v>
      </c>
      <c r="C35" s="245" t="s">
        <v>64</v>
      </c>
      <c r="D35" s="244" t="s">
        <v>65</v>
      </c>
      <c r="E35" s="244" t="s">
        <v>66</v>
      </c>
      <c r="F35" s="246" t="s">
        <v>55</v>
      </c>
      <c r="G35" s="259">
        <v>1</v>
      </c>
      <c r="H35" s="247"/>
      <c r="I35" s="247"/>
      <c r="J35" s="247"/>
      <c r="K35" s="247"/>
      <c r="L35" s="247"/>
      <c r="M35" s="247"/>
      <c r="N35" s="247"/>
      <c r="O35" s="248"/>
      <c r="P35" s="44"/>
      <c r="Q35" s="49"/>
      <c r="R35" s="12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4"/>
      <c r="AJ35" s="44"/>
    </row>
    <row r="36" spans="1:36" x14ac:dyDescent="0.25">
      <c r="A36" s="96"/>
      <c r="B36" s="244" t="s">
        <v>1876</v>
      </c>
      <c r="C36" s="245" t="s">
        <v>714</v>
      </c>
      <c r="D36" s="244" t="s">
        <v>65</v>
      </c>
      <c r="E36" s="244" t="s">
        <v>715</v>
      </c>
      <c r="F36" s="246" t="s">
        <v>55</v>
      </c>
      <c r="G36" s="259">
        <v>1</v>
      </c>
      <c r="H36" s="247"/>
      <c r="I36" s="247"/>
      <c r="J36" s="247"/>
      <c r="K36" s="247"/>
      <c r="L36" s="247"/>
      <c r="M36" s="247"/>
      <c r="N36" s="247"/>
      <c r="O36" s="248"/>
      <c r="P36" s="44"/>
      <c r="Q36" s="49"/>
      <c r="R36" s="12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4"/>
      <c r="AJ36" s="44"/>
    </row>
    <row r="37" spans="1:36" x14ac:dyDescent="0.25">
      <c r="A37" s="96"/>
      <c r="B37" s="240" t="s">
        <v>46</v>
      </c>
      <c r="C37" s="240"/>
      <c r="D37" s="240"/>
      <c r="E37" s="240" t="s">
        <v>445</v>
      </c>
      <c r="F37" s="240"/>
      <c r="G37" s="258"/>
      <c r="H37" s="241"/>
      <c r="I37" s="240"/>
      <c r="J37" s="240"/>
      <c r="K37" s="240"/>
      <c r="L37" s="240"/>
      <c r="M37" s="240"/>
      <c r="N37" s="242"/>
      <c r="O37" s="243"/>
      <c r="P37" s="44"/>
      <c r="Q37" s="49"/>
      <c r="R37" s="12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4"/>
      <c r="AJ37" s="44"/>
    </row>
    <row r="38" spans="1:36" ht="41.4" x14ac:dyDescent="0.25">
      <c r="A38" s="96"/>
      <c r="B38" s="244" t="s">
        <v>713</v>
      </c>
      <c r="C38" s="245" t="s">
        <v>446</v>
      </c>
      <c r="D38" s="244" t="s">
        <v>121</v>
      </c>
      <c r="E38" s="244" t="s">
        <v>447</v>
      </c>
      <c r="F38" s="246" t="s">
        <v>448</v>
      </c>
      <c r="G38" s="259">
        <v>5405.4</v>
      </c>
      <c r="H38" s="247"/>
      <c r="I38" s="247"/>
      <c r="J38" s="247"/>
      <c r="K38" s="247"/>
      <c r="L38" s="247"/>
      <c r="M38" s="247"/>
      <c r="N38" s="247"/>
      <c r="O38" s="248"/>
      <c r="P38" s="44"/>
      <c r="Q38" s="49"/>
      <c r="R38" s="12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4"/>
      <c r="AJ38" s="44"/>
    </row>
    <row r="39" spans="1:36" x14ac:dyDescent="0.25">
      <c r="A39" s="96"/>
      <c r="B39" s="240" t="s">
        <v>2289</v>
      </c>
      <c r="C39" s="240"/>
      <c r="D39" s="240"/>
      <c r="E39" s="240" t="s">
        <v>2290</v>
      </c>
      <c r="F39" s="240"/>
      <c r="G39" s="258"/>
      <c r="H39" s="241"/>
      <c r="I39" s="240"/>
      <c r="J39" s="240"/>
      <c r="K39" s="240"/>
      <c r="L39" s="240"/>
      <c r="M39" s="240"/>
      <c r="N39" s="242"/>
      <c r="O39" s="243"/>
      <c r="P39" s="44"/>
      <c r="Q39" s="49"/>
      <c r="R39" s="12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4"/>
      <c r="AJ39" s="44"/>
    </row>
    <row r="40" spans="1:36" x14ac:dyDescent="0.25">
      <c r="A40" s="96"/>
      <c r="B40" s="244" t="s">
        <v>2291</v>
      </c>
      <c r="C40" s="245" t="s">
        <v>2292</v>
      </c>
      <c r="D40" s="244" t="s">
        <v>44</v>
      </c>
      <c r="E40" s="244" t="s">
        <v>2293</v>
      </c>
      <c r="F40" s="246" t="s">
        <v>504</v>
      </c>
      <c r="G40" s="259">
        <v>13</v>
      </c>
      <c r="H40" s="247"/>
      <c r="I40" s="247"/>
      <c r="J40" s="247"/>
      <c r="K40" s="247"/>
      <c r="L40" s="247"/>
      <c r="M40" s="247"/>
      <c r="N40" s="247"/>
      <c r="O40" s="248"/>
      <c r="P40" s="44"/>
      <c r="Q40" s="49"/>
      <c r="R40" s="12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4"/>
      <c r="AJ40" s="44"/>
    </row>
    <row r="41" spans="1:36" x14ac:dyDescent="0.25">
      <c r="A41" s="96"/>
      <c r="B41" s="244" t="s">
        <v>2294</v>
      </c>
      <c r="C41" s="245" t="s">
        <v>2295</v>
      </c>
      <c r="D41" s="244" t="s">
        <v>44</v>
      </c>
      <c r="E41" s="244" t="s">
        <v>2296</v>
      </c>
      <c r="F41" s="246" t="s">
        <v>504</v>
      </c>
      <c r="G41" s="259">
        <v>16</v>
      </c>
      <c r="H41" s="247"/>
      <c r="I41" s="247"/>
      <c r="J41" s="247"/>
      <c r="K41" s="247"/>
      <c r="L41" s="247"/>
      <c r="M41" s="247"/>
      <c r="N41" s="247"/>
      <c r="O41" s="248"/>
      <c r="P41" s="44"/>
      <c r="Q41" s="49"/>
      <c r="R41" s="12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4"/>
      <c r="AJ41" s="44"/>
    </row>
    <row r="42" spans="1:36" x14ac:dyDescent="0.25">
      <c r="A42" s="96"/>
      <c r="B42" s="244" t="s">
        <v>2297</v>
      </c>
      <c r="C42" s="245" t="s">
        <v>2298</v>
      </c>
      <c r="D42" s="244" t="s">
        <v>44</v>
      </c>
      <c r="E42" s="244" t="s">
        <v>2299</v>
      </c>
      <c r="F42" s="246" t="s">
        <v>504</v>
      </c>
      <c r="G42" s="259">
        <v>16</v>
      </c>
      <c r="H42" s="247"/>
      <c r="I42" s="247"/>
      <c r="J42" s="247"/>
      <c r="K42" s="247"/>
      <c r="L42" s="247"/>
      <c r="M42" s="247"/>
      <c r="N42" s="247"/>
      <c r="O42" s="248"/>
      <c r="P42" s="44"/>
      <c r="Q42" s="49"/>
      <c r="R42" s="12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4"/>
      <c r="AJ42" s="44"/>
    </row>
    <row r="43" spans="1:36" x14ac:dyDescent="0.25">
      <c r="A43" s="96"/>
      <c r="B43" s="244" t="s">
        <v>2300</v>
      </c>
      <c r="C43" s="245" t="s">
        <v>2301</v>
      </c>
      <c r="D43" s="244" t="s">
        <v>44</v>
      </c>
      <c r="E43" s="244" t="s">
        <v>2302</v>
      </c>
      <c r="F43" s="246" t="s">
        <v>459</v>
      </c>
      <c r="G43" s="259">
        <v>2560</v>
      </c>
      <c r="H43" s="247"/>
      <c r="I43" s="247"/>
      <c r="J43" s="247"/>
      <c r="K43" s="247"/>
      <c r="L43" s="247"/>
      <c r="M43" s="247"/>
      <c r="N43" s="247"/>
      <c r="O43" s="248"/>
      <c r="P43" s="44"/>
      <c r="Q43" s="49"/>
      <c r="R43" s="12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4"/>
      <c r="AJ43" s="44"/>
    </row>
    <row r="44" spans="1:36" x14ac:dyDescent="0.25">
      <c r="A44" s="96"/>
      <c r="B44" s="240">
        <v>2</v>
      </c>
      <c r="C44" s="240"/>
      <c r="D44" s="240"/>
      <c r="E44" s="240" t="s">
        <v>67</v>
      </c>
      <c r="F44" s="240"/>
      <c r="G44" s="258"/>
      <c r="H44" s="241"/>
      <c r="I44" s="240"/>
      <c r="J44" s="240"/>
      <c r="K44" s="240"/>
      <c r="L44" s="240"/>
      <c r="M44" s="240"/>
      <c r="N44" s="242"/>
      <c r="O44" s="243"/>
      <c r="P44" s="44"/>
      <c r="Q44" s="49"/>
      <c r="R44" s="12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4"/>
      <c r="AJ44" s="44"/>
    </row>
    <row r="45" spans="1:36" ht="27.6" x14ac:dyDescent="0.25">
      <c r="A45" s="96"/>
      <c r="B45" s="244" t="s">
        <v>68</v>
      </c>
      <c r="C45" s="245" t="s">
        <v>69</v>
      </c>
      <c r="D45" s="244" t="s">
        <v>44</v>
      </c>
      <c r="E45" s="244" t="s">
        <v>70</v>
      </c>
      <c r="F45" s="246" t="s">
        <v>71</v>
      </c>
      <c r="G45" s="259">
        <v>224.5</v>
      </c>
      <c r="H45" s="247"/>
      <c r="I45" s="247"/>
      <c r="J45" s="247"/>
      <c r="K45" s="247"/>
      <c r="L45" s="247"/>
      <c r="M45" s="247"/>
      <c r="N45" s="247"/>
      <c r="O45" s="248"/>
      <c r="P45" s="44"/>
      <c r="Q45" s="49"/>
      <c r="R45" s="12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4"/>
      <c r="AJ45" s="44"/>
    </row>
    <row r="46" spans="1:36" x14ac:dyDescent="0.25">
      <c r="A46" s="96"/>
      <c r="B46" s="244" t="s">
        <v>72</v>
      </c>
      <c r="C46" s="245" t="s">
        <v>73</v>
      </c>
      <c r="D46" s="244" t="s">
        <v>44</v>
      </c>
      <c r="E46" s="244" t="s">
        <v>74</v>
      </c>
      <c r="F46" s="246" t="s">
        <v>75</v>
      </c>
      <c r="G46" s="259">
        <v>1314.95</v>
      </c>
      <c r="H46" s="247"/>
      <c r="I46" s="247"/>
      <c r="J46" s="247"/>
      <c r="K46" s="247"/>
      <c r="L46" s="247"/>
      <c r="M46" s="247"/>
      <c r="N46" s="247"/>
      <c r="O46" s="248"/>
      <c r="P46" s="44"/>
      <c r="Q46" s="49"/>
      <c r="R46" s="12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4"/>
      <c r="AJ46" s="44"/>
    </row>
    <row r="47" spans="1:36" ht="27.6" x14ac:dyDescent="0.25">
      <c r="A47" s="96"/>
      <c r="B47" s="244" t="s">
        <v>76</v>
      </c>
      <c r="C47" s="245" t="s">
        <v>1230</v>
      </c>
      <c r="D47" s="244" t="s">
        <v>44</v>
      </c>
      <c r="E47" s="244" t="s">
        <v>1231</v>
      </c>
      <c r="F47" s="246" t="s">
        <v>75</v>
      </c>
      <c r="G47" s="259">
        <v>224.42699999999999</v>
      </c>
      <c r="H47" s="247"/>
      <c r="I47" s="247"/>
      <c r="J47" s="247"/>
      <c r="K47" s="247"/>
      <c r="L47" s="247"/>
      <c r="M47" s="247"/>
      <c r="N47" s="247"/>
      <c r="O47" s="248"/>
      <c r="P47" s="44"/>
      <c r="Q47" s="49"/>
      <c r="R47" s="12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4"/>
      <c r="AI47" s="44"/>
      <c r="AJ47" s="44"/>
    </row>
    <row r="48" spans="1:36" ht="27.6" x14ac:dyDescent="0.25">
      <c r="A48" s="96"/>
      <c r="B48" s="244" t="s">
        <v>77</v>
      </c>
      <c r="C48" s="245" t="s">
        <v>716</v>
      </c>
      <c r="D48" s="244" t="s">
        <v>44</v>
      </c>
      <c r="E48" s="244" t="s">
        <v>717</v>
      </c>
      <c r="F48" s="246" t="s">
        <v>45</v>
      </c>
      <c r="G48" s="259">
        <v>1709.7</v>
      </c>
      <c r="H48" s="247"/>
      <c r="I48" s="247"/>
      <c r="J48" s="247"/>
      <c r="K48" s="247"/>
      <c r="L48" s="247"/>
      <c r="M48" s="247"/>
      <c r="N48" s="247"/>
      <c r="O48" s="248"/>
      <c r="P48" s="44"/>
      <c r="Q48" s="49"/>
      <c r="R48" s="12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4"/>
      <c r="AI48" s="44"/>
      <c r="AJ48" s="44"/>
    </row>
    <row r="49" spans="1:36" x14ac:dyDescent="0.25">
      <c r="A49" s="96"/>
      <c r="B49" s="244" t="s">
        <v>78</v>
      </c>
      <c r="C49" s="245" t="s">
        <v>80</v>
      </c>
      <c r="D49" s="244" t="s">
        <v>44</v>
      </c>
      <c r="E49" s="244" t="s">
        <v>81</v>
      </c>
      <c r="F49" s="246" t="s">
        <v>82</v>
      </c>
      <c r="G49" s="259">
        <v>1848.4</v>
      </c>
      <c r="H49" s="247"/>
      <c r="I49" s="247"/>
      <c r="J49" s="247"/>
      <c r="K49" s="247"/>
      <c r="L49" s="247"/>
      <c r="M49" s="247"/>
      <c r="N49" s="247"/>
      <c r="O49" s="248"/>
      <c r="P49" s="44"/>
      <c r="Q49" s="49"/>
      <c r="R49" s="86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4"/>
      <c r="AI49" s="44"/>
      <c r="AJ49" s="44"/>
    </row>
    <row r="50" spans="1:36" ht="27.6" x14ac:dyDescent="0.25">
      <c r="A50" s="96"/>
      <c r="B50" s="244" t="s">
        <v>79</v>
      </c>
      <c r="C50" s="245" t="s">
        <v>1877</v>
      </c>
      <c r="D50" s="244" t="s">
        <v>44</v>
      </c>
      <c r="E50" s="244" t="s">
        <v>1878</v>
      </c>
      <c r="F50" s="246" t="s">
        <v>82</v>
      </c>
      <c r="G50" s="259">
        <v>14.8</v>
      </c>
      <c r="H50" s="247"/>
      <c r="I50" s="247"/>
      <c r="J50" s="247"/>
      <c r="K50" s="247"/>
      <c r="L50" s="247"/>
      <c r="M50" s="247"/>
      <c r="N50" s="247"/>
      <c r="O50" s="248"/>
      <c r="P50" s="44"/>
      <c r="Q50" s="49"/>
      <c r="R50" s="12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4"/>
      <c r="AI50" s="44"/>
      <c r="AJ50" s="44"/>
    </row>
    <row r="51" spans="1:36" ht="27.6" x14ac:dyDescent="0.25">
      <c r="A51" s="96"/>
      <c r="B51" s="244" t="s">
        <v>83</v>
      </c>
      <c r="C51" s="245" t="s">
        <v>85</v>
      </c>
      <c r="D51" s="244" t="s">
        <v>44</v>
      </c>
      <c r="E51" s="244" t="s">
        <v>86</v>
      </c>
      <c r="F51" s="246" t="s">
        <v>82</v>
      </c>
      <c r="G51" s="259">
        <v>5867.6</v>
      </c>
      <c r="H51" s="247"/>
      <c r="I51" s="247"/>
      <c r="J51" s="247"/>
      <c r="K51" s="247"/>
      <c r="L51" s="247"/>
      <c r="M51" s="247"/>
      <c r="N51" s="247"/>
      <c r="O51" s="248"/>
      <c r="P51" s="44"/>
      <c r="Q51" s="49"/>
      <c r="R51" s="12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4"/>
      <c r="AI51" s="44"/>
      <c r="AJ51" s="44"/>
    </row>
    <row r="52" spans="1:36" ht="27.6" x14ac:dyDescent="0.25">
      <c r="A52" s="96"/>
      <c r="B52" s="244" t="s">
        <v>84</v>
      </c>
      <c r="C52" s="245" t="s">
        <v>88</v>
      </c>
      <c r="D52" s="244" t="s">
        <v>44</v>
      </c>
      <c r="E52" s="244" t="s">
        <v>89</v>
      </c>
      <c r="F52" s="246" t="s">
        <v>82</v>
      </c>
      <c r="G52" s="259">
        <v>6726.3</v>
      </c>
      <c r="H52" s="247"/>
      <c r="I52" s="247"/>
      <c r="J52" s="247"/>
      <c r="K52" s="247"/>
      <c r="L52" s="247"/>
      <c r="M52" s="247"/>
      <c r="N52" s="247"/>
      <c r="O52" s="248"/>
      <c r="P52" s="44"/>
      <c r="Q52" s="49"/>
      <c r="R52" s="12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4"/>
      <c r="AI52" s="44"/>
      <c r="AJ52" s="44"/>
    </row>
    <row r="53" spans="1:36" ht="27.6" x14ac:dyDescent="0.25">
      <c r="A53" s="96"/>
      <c r="B53" s="244" t="s">
        <v>87</v>
      </c>
      <c r="C53" s="245" t="s">
        <v>1879</v>
      </c>
      <c r="D53" s="244" t="s">
        <v>44</v>
      </c>
      <c r="E53" s="244" t="s">
        <v>1880</v>
      </c>
      <c r="F53" s="246" t="s">
        <v>82</v>
      </c>
      <c r="G53" s="259">
        <v>418</v>
      </c>
      <c r="H53" s="247"/>
      <c r="I53" s="247"/>
      <c r="J53" s="247"/>
      <c r="K53" s="247"/>
      <c r="L53" s="247"/>
      <c r="M53" s="247"/>
      <c r="N53" s="247"/>
      <c r="O53" s="248"/>
      <c r="P53" s="44"/>
      <c r="Q53" s="49"/>
      <c r="R53" s="86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4"/>
      <c r="AI53" s="44"/>
      <c r="AJ53" s="44"/>
    </row>
    <row r="54" spans="1:36" ht="27.6" x14ac:dyDescent="0.25">
      <c r="A54" s="139"/>
      <c r="B54" s="244" t="s">
        <v>90</v>
      </c>
      <c r="C54" s="245" t="s">
        <v>92</v>
      </c>
      <c r="D54" s="244" t="s">
        <v>44</v>
      </c>
      <c r="E54" s="244" t="s">
        <v>93</v>
      </c>
      <c r="F54" s="246" t="s">
        <v>82</v>
      </c>
      <c r="G54" s="259">
        <v>506.5</v>
      </c>
      <c r="H54" s="247"/>
      <c r="I54" s="247"/>
      <c r="J54" s="247"/>
      <c r="K54" s="247"/>
      <c r="L54" s="247"/>
      <c r="M54" s="247"/>
      <c r="N54" s="247"/>
      <c r="O54" s="248"/>
      <c r="P54" s="44"/>
      <c r="Q54" s="49"/>
      <c r="R54" s="140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9"/>
      <c r="AI54" s="44"/>
      <c r="AJ54" s="44"/>
    </row>
    <row r="55" spans="1:36" ht="27.6" x14ac:dyDescent="0.25">
      <c r="A55" s="96"/>
      <c r="B55" s="244" t="s">
        <v>91</v>
      </c>
      <c r="C55" s="245" t="s">
        <v>718</v>
      </c>
      <c r="D55" s="244" t="s">
        <v>121</v>
      </c>
      <c r="E55" s="244" t="s">
        <v>719</v>
      </c>
      <c r="F55" s="246" t="s">
        <v>75</v>
      </c>
      <c r="G55" s="259">
        <v>277.89999999999998</v>
      </c>
      <c r="H55" s="247"/>
      <c r="I55" s="247"/>
      <c r="J55" s="247"/>
      <c r="K55" s="247"/>
      <c r="L55" s="247"/>
      <c r="M55" s="247"/>
      <c r="N55" s="247"/>
      <c r="O55" s="248"/>
      <c r="P55" s="44"/>
      <c r="Q55" s="49"/>
      <c r="R55" s="12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4"/>
      <c r="AI55" s="44"/>
      <c r="AJ55" s="44"/>
    </row>
    <row r="56" spans="1:36" x14ac:dyDescent="0.25">
      <c r="A56" s="96"/>
      <c r="B56" s="244" t="s">
        <v>94</v>
      </c>
      <c r="C56" s="245" t="s">
        <v>96</v>
      </c>
      <c r="D56" s="244" t="s">
        <v>44</v>
      </c>
      <c r="E56" s="244" t="s">
        <v>97</v>
      </c>
      <c r="F56" s="246" t="s">
        <v>75</v>
      </c>
      <c r="G56" s="259">
        <v>1178.3820000000001</v>
      </c>
      <c r="H56" s="247"/>
      <c r="I56" s="247"/>
      <c r="J56" s="247"/>
      <c r="K56" s="247"/>
      <c r="L56" s="247"/>
      <c r="M56" s="247"/>
      <c r="N56" s="247"/>
      <c r="O56" s="248"/>
      <c r="P56" s="44"/>
      <c r="Q56" s="49"/>
      <c r="R56" s="12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4"/>
      <c r="AI56" s="44"/>
      <c r="AJ56" s="44"/>
    </row>
    <row r="57" spans="1:36" x14ac:dyDescent="0.25">
      <c r="A57" s="96"/>
      <c r="B57" s="244" t="s">
        <v>95</v>
      </c>
      <c r="C57" s="245" t="s">
        <v>98</v>
      </c>
      <c r="D57" s="244" t="s">
        <v>44</v>
      </c>
      <c r="E57" s="244" t="s">
        <v>99</v>
      </c>
      <c r="F57" s="246" t="s">
        <v>75</v>
      </c>
      <c r="G57" s="259">
        <v>1348.2429999999999</v>
      </c>
      <c r="H57" s="247"/>
      <c r="I57" s="247"/>
      <c r="J57" s="247"/>
      <c r="K57" s="247"/>
      <c r="L57" s="247"/>
      <c r="M57" s="247"/>
      <c r="N57" s="247"/>
      <c r="O57" s="248"/>
      <c r="P57" s="44"/>
      <c r="Q57" s="49"/>
      <c r="R57" s="12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4"/>
      <c r="AI57" s="44"/>
      <c r="AJ57" s="44"/>
    </row>
    <row r="58" spans="1:36" x14ac:dyDescent="0.25">
      <c r="A58" s="96"/>
      <c r="B58" s="244" t="s">
        <v>1881</v>
      </c>
      <c r="C58" s="245" t="s">
        <v>100</v>
      </c>
      <c r="D58" s="244" t="s">
        <v>44</v>
      </c>
      <c r="E58" s="244" t="s">
        <v>101</v>
      </c>
      <c r="F58" s="246" t="s">
        <v>45</v>
      </c>
      <c r="G58" s="259">
        <v>1709.72</v>
      </c>
      <c r="H58" s="247"/>
      <c r="I58" s="247"/>
      <c r="J58" s="247"/>
      <c r="K58" s="247"/>
      <c r="L58" s="247"/>
      <c r="M58" s="247"/>
      <c r="N58" s="247"/>
      <c r="O58" s="248"/>
      <c r="P58" s="44"/>
      <c r="Q58" s="49"/>
      <c r="R58" s="12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4"/>
      <c r="AI58" s="44"/>
      <c r="AJ58" s="44"/>
    </row>
    <row r="59" spans="1:36" x14ac:dyDescent="0.25">
      <c r="A59" s="96"/>
      <c r="B59" s="244" t="s">
        <v>1882</v>
      </c>
      <c r="C59" s="245" t="s">
        <v>102</v>
      </c>
      <c r="D59" s="244" t="s">
        <v>65</v>
      </c>
      <c r="E59" s="244" t="s">
        <v>103</v>
      </c>
      <c r="F59" s="246" t="s">
        <v>75</v>
      </c>
      <c r="G59" s="259">
        <v>277.89999999999998</v>
      </c>
      <c r="H59" s="247"/>
      <c r="I59" s="247"/>
      <c r="J59" s="247"/>
      <c r="K59" s="247"/>
      <c r="L59" s="247"/>
      <c r="M59" s="247"/>
      <c r="N59" s="247"/>
      <c r="O59" s="248"/>
      <c r="P59" s="44"/>
      <c r="Q59" s="49"/>
      <c r="R59" s="12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4"/>
      <c r="AI59" s="44"/>
      <c r="AJ59" s="44"/>
    </row>
    <row r="60" spans="1:36" x14ac:dyDescent="0.25">
      <c r="A60" s="96"/>
      <c r="B60" s="240">
        <v>3</v>
      </c>
      <c r="C60" s="240"/>
      <c r="D60" s="240"/>
      <c r="E60" s="240" t="s">
        <v>104</v>
      </c>
      <c r="F60" s="240"/>
      <c r="G60" s="258"/>
      <c r="H60" s="241"/>
      <c r="I60" s="240"/>
      <c r="J60" s="240"/>
      <c r="K60" s="240"/>
      <c r="L60" s="240"/>
      <c r="M60" s="240"/>
      <c r="N60" s="242"/>
      <c r="O60" s="243"/>
      <c r="P60" s="44"/>
      <c r="Q60" s="49"/>
      <c r="R60" s="12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4"/>
      <c r="AI60" s="44"/>
      <c r="AJ60" s="44"/>
    </row>
    <row r="61" spans="1:36" x14ac:dyDescent="0.25">
      <c r="A61" s="96"/>
      <c r="B61" s="240" t="s">
        <v>105</v>
      </c>
      <c r="C61" s="240"/>
      <c r="D61" s="240"/>
      <c r="E61" s="240" t="s">
        <v>106</v>
      </c>
      <c r="F61" s="240"/>
      <c r="G61" s="258"/>
      <c r="H61" s="241"/>
      <c r="I61" s="240"/>
      <c r="J61" s="240"/>
      <c r="K61" s="240"/>
      <c r="L61" s="240"/>
      <c r="M61" s="240"/>
      <c r="N61" s="242"/>
      <c r="O61" s="243"/>
      <c r="P61" s="44"/>
      <c r="Q61" s="49"/>
      <c r="R61" s="12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4"/>
      <c r="AI61" s="44"/>
      <c r="AJ61" s="44"/>
    </row>
    <row r="62" spans="1:36" ht="27.6" x14ac:dyDescent="0.25">
      <c r="A62" s="139"/>
      <c r="B62" s="244" t="s">
        <v>107</v>
      </c>
      <c r="C62" s="245" t="s">
        <v>720</v>
      </c>
      <c r="D62" s="244" t="s">
        <v>44</v>
      </c>
      <c r="E62" s="244" t="s">
        <v>721</v>
      </c>
      <c r="F62" s="246" t="s">
        <v>45</v>
      </c>
      <c r="G62" s="259">
        <v>1329.2</v>
      </c>
      <c r="H62" s="247"/>
      <c r="I62" s="247"/>
      <c r="J62" s="247"/>
      <c r="K62" s="247"/>
      <c r="L62" s="247"/>
      <c r="M62" s="247"/>
      <c r="N62" s="247"/>
      <c r="O62" s="248"/>
      <c r="P62" s="44"/>
      <c r="Q62" s="49"/>
      <c r="R62" s="140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9"/>
      <c r="AI62" s="44"/>
      <c r="AJ62" s="44"/>
    </row>
    <row r="63" spans="1:36" ht="27.6" x14ac:dyDescent="0.25">
      <c r="A63" s="96"/>
      <c r="B63" s="244" t="s">
        <v>108</v>
      </c>
      <c r="C63" s="245" t="s">
        <v>127</v>
      </c>
      <c r="D63" s="244" t="s">
        <v>44</v>
      </c>
      <c r="E63" s="244" t="s">
        <v>128</v>
      </c>
      <c r="F63" s="246" t="s">
        <v>82</v>
      </c>
      <c r="G63" s="259">
        <v>41.7</v>
      </c>
      <c r="H63" s="247"/>
      <c r="I63" s="247"/>
      <c r="J63" s="247"/>
      <c r="K63" s="247"/>
      <c r="L63" s="247"/>
      <c r="M63" s="247"/>
      <c r="N63" s="247"/>
      <c r="O63" s="248"/>
      <c r="P63" s="44"/>
      <c r="Q63" s="49"/>
      <c r="R63" s="12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4"/>
      <c r="AI63" s="44"/>
      <c r="AJ63" s="44"/>
    </row>
    <row r="64" spans="1:36" ht="27.6" x14ac:dyDescent="0.25">
      <c r="A64" s="96"/>
      <c r="B64" s="244" t="s">
        <v>111</v>
      </c>
      <c r="C64" s="245" t="s">
        <v>109</v>
      </c>
      <c r="D64" s="244" t="s">
        <v>44</v>
      </c>
      <c r="E64" s="244" t="s">
        <v>110</v>
      </c>
      <c r="F64" s="246" t="s">
        <v>82</v>
      </c>
      <c r="G64" s="259">
        <v>4162.7</v>
      </c>
      <c r="H64" s="247"/>
      <c r="I64" s="247"/>
      <c r="J64" s="247"/>
      <c r="K64" s="247"/>
      <c r="L64" s="247"/>
      <c r="M64" s="247"/>
      <c r="N64" s="247"/>
      <c r="O64" s="248"/>
      <c r="P64" s="44"/>
      <c r="Q64" s="49"/>
      <c r="R64" s="12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4"/>
      <c r="AI64" s="44"/>
      <c r="AJ64" s="44"/>
    </row>
    <row r="65" spans="1:36" ht="27.6" x14ac:dyDescent="0.25">
      <c r="A65" s="96"/>
      <c r="B65" s="244" t="s">
        <v>114</v>
      </c>
      <c r="C65" s="245" t="s">
        <v>112</v>
      </c>
      <c r="D65" s="244" t="s">
        <v>44</v>
      </c>
      <c r="E65" s="244" t="s">
        <v>113</v>
      </c>
      <c r="F65" s="246" t="s">
        <v>82</v>
      </c>
      <c r="G65" s="259">
        <v>750.3</v>
      </c>
      <c r="H65" s="247"/>
      <c r="I65" s="247"/>
      <c r="J65" s="247"/>
      <c r="K65" s="247"/>
      <c r="L65" s="247"/>
      <c r="M65" s="247"/>
      <c r="N65" s="247"/>
      <c r="O65" s="248"/>
      <c r="P65" s="44"/>
      <c r="Q65" s="49"/>
      <c r="R65" s="12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4"/>
      <c r="AI65" s="44"/>
      <c r="AJ65" s="44"/>
    </row>
    <row r="66" spans="1:36" ht="27.6" x14ac:dyDescent="0.25">
      <c r="A66" s="96"/>
      <c r="B66" s="244" t="s">
        <v>117</v>
      </c>
      <c r="C66" s="245" t="s">
        <v>115</v>
      </c>
      <c r="D66" s="244" t="s">
        <v>44</v>
      </c>
      <c r="E66" s="244" t="s">
        <v>116</v>
      </c>
      <c r="F66" s="246" t="s">
        <v>82</v>
      </c>
      <c r="G66" s="259">
        <v>451.6</v>
      </c>
      <c r="H66" s="247"/>
      <c r="I66" s="247"/>
      <c r="J66" s="247"/>
      <c r="K66" s="247"/>
      <c r="L66" s="247"/>
      <c r="M66" s="247"/>
      <c r="N66" s="247"/>
      <c r="O66" s="248"/>
      <c r="P66" s="44"/>
      <c r="Q66" s="49"/>
      <c r="R66" s="12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4"/>
      <c r="AI66" s="44"/>
      <c r="AJ66" s="44"/>
    </row>
    <row r="67" spans="1:36" ht="27.6" x14ac:dyDescent="0.25">
      <c r="A67" s="96"/>
      <c r="B67" s="244" t="s">
        <v>120</v>
      </c>
      <c r="C67" s="245" t="s">
        <v>722</v>
      </c>
      <c r="D67" s="244" t="s">
        <v>44</v>
      </c>
      <c r="E67" s="244" t="s">
        <v>723</v>
      </c>
      <c r="F67" s="246" t="s">
        <v>82</v>
      </c>
      <c r="G67" s="259">
        <v>71.099999999999994</v>
      </c>
      <c r="H67" s="247"/>
      <c r="I67" s="247"/>
      <c r="J67" s="247"/>
      <c r="K67" s="247"/>
      <c r="L67" s="247"/>
      <c r="M67" s="247"/>
      <c r="N67" s="247"/>
      <c r="O67" s="248"/>
      <c r="P67" s="44"/>
      <c r="Q67" s="49"/>
      <c r="R67" s="12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4"/>
      <c r="AI67" s="44"/>
      <c r="AJ67" s="44"/>
    </row>
    <row r="68" spans="1:36" ht="27.6" x14ac:dyDescent="0.25">
      <c r="A68" s="96"/>
      <c r="B68" s="244" t="s">
        <v>122</v>
      </c>
      <c r="C68" s="245" t="s">
        <v>118</v>
      </c>
      <c r="D68" s="244" t="s">
        <v>44</v>
      </c>
      <c r="E68" s="244" t="s">
        <v>119</v>
      </c>
      <c r="F68" s="246" t="s">
        <v>82</v>
      </c>
      <c r="G68" s="259">
        <v>1762.6</v>
      </c>
      <c r="H68" s="247"/>
      <c r="I68" s="247"/>
      <c r="J68" s="247"/>
      <c r="K68" s="247"/>
      <c r="L68" s="247"/>
      <c r="M68" s="247"/>
      <c r="N68" s="247"/>
      <c r="O68" s="248"/>
      <c r="P68" s="44"/>
      <c r="Q68" s="49"/>
      <c r="R68" s="12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4"/>
      <c r="AI68" s="44"/>
      <c r="AJ68" s="44"/>
    </row>
    <row r="69" spans="1:36" ht="27.6" x14ac:dyDescent="0.25">
      <c r="A69" s="96"/>
      <c r="B69" s="244" t="s">
        <v>724</v>
      </c>
      <c r="C69" s="245" t="s">
        <v>725</v>
      </c>
      <c r="D69" s="244" t="s">
        <v>121</v>
      </c>
      <c r="E69" s="244" t="s">
        <v>726</v>
      </c>
      <c r="F69" s="246" t="s">
        <v>75</v>
      </c>
      <c r="G69" s="259">
        <v>82.7</v>
      </c>
      <c r="H69" s="247"/>
      <c r="I69" s="247"/>
      <c r="J69" s="247"/>
      <c r="K69" s="247"/>
      <c r="L69" s="247"/>
      <c r="M69" s="247"/>
      <c r="N69" s="247"/>
      <c r="O69" s="248"/>
      <c r="P69" s="44"/>
      <c r="Q69" s="49"/>
      <c r="R69" s="12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4"/>
      <c r="AI69" s="44"/>
      <c r="AJ69" s="44"/>
    </row>
    <row r="70" spans="1:36" x14ac:dyDescent="0.25">
      <c r="A70" s="96"/>
      <c r="B70" s="244" t="s">
        <v>727</v>
      </c>
      <c r="C70" s="245" t="s">
        <v>102</v>
      </c>
      <c r="D70" s="244" t="s">
        <v>65</v>
      </c>
      <c r="E70" s="244" t="s">
        <v>103</v>
      </c>
      <c r="F70" s="246" t="s">
        <v>75</v>
      </c>
      <c r="G70" s="259">
        <v>82.7</v>
      </c>
      <c r="H70" s="247"/>
      <c r="I70" s="247"/>
      <c r="J70" s="247"/>
      <c r="K70" s="247"/>
      <c r="L70" s="247"/>
      <c r="M70" s="247"/>
      <c r="N70" s="247"/>
      <c r="O70" s="248"/>
      <c r="P70" s="44"/>
      <c r="Q70" s="49"/>
      <c r="R70" s="12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4"/>
      <c r="AI70" s="44"/>
      <c r="AJ70" s="44"/>
    </row>
    <row r="71" spans="1:36" x14ac:dyDescent="0.25">
      <c r="A71" s="96"/>
      <c r="B71" s="240" t="s">
        <v>123</v>
      </c>
      <c r="C71" s="240"/>
      <c r="D71" s="240"/>
      <c r="E71" s="240" t="s">
        <v>124</v>
      </c>
      <c r="F71" s="240"/>
      <c r="G71" s="258"/>
      <c r="H71" s="241"/>
      <c r="I71" s="240"/>
      <c r="J71" s="240"/>
      <c r="K71" s="240"/>
      <c r="L71" s="240"/>
      <c r="M71" s="240"/>
      <c r="N71" s="242"/>
      <c r="O71" s="243"/>
      <c r="P71" s="44"/>
      <c r="Q71" s="49"/>
      <c r="R71" s="86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4"/>
      <c r="AI71" s="44"/>
      <c r="AJ71" s="44"/>
    </row>
    <row r="72" spans="1:36" ht="27.6" x14ac:dyDescent="0.25">
      <c r="A72" s="96"/>
      <c r="B72" s="244" t="s">
        <v>125</v>
      </c>
      <c r="C72" s="245" t="s">
        <v>728</v>
      </c>
      <c r="D72" s="244" t="s">
        <v>44</v>
      </c>
      <c r="E72" s="244" t="s">
        <v>729</v>
      </c>
      <c r="F72" s="246" t="s">
        <v>45</v>
      </c>
      <c r="G72" s="259">
        <v>1821.8</v>
      </c>
      <c r="H72" s="247"/>
      <c r="I72" s="247"/>
      <c r="J72" s="247"/>
      <c r="K72" s="247"/>
      <c r="L72" s="247"/>
      <c r="M72" s="247"/>
      <c r="N72" s="247"/>
      <c r="O72" s="248"/>
      <c r="P72" s="44"/>
      <c r="Q72" s="49"/>
      <c r="R72" s="12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4"/>
      <c r="AI72" s="44"/>
      <c r="AJ72" s="44"/>
    </row>
    <row r="73" spans="1:36" ht="27.6" x14ac:dyDescent="0.25">
      <c r="A73" s="96"/>
      <c r="B73" s="244" t="s">
        <v>126</v>
      </c>
      <c r="C73" s="245" t="s">
        <v>127</v>
      </c>
      <c r="D73" s="244" t="s">
        <v>44</v>
      </c>
      <c r="E73" s="244" t="s">
        <v>128</v>
      </c>
      <c r="F73" s="246" t="s">
        <v>82</v>
      </c>
      <c r="G73" s="259">
        <v>1238</v>
      </c>
      <c r="H73" s="247"/>
      <c r="I73" s="247"/>
      <c r="J73" s="247"/>
      <c r="K73" s="247"/>
      <c r="L73" s="247"/>
      <c r="M73" s="247"/>
      <c r="N73" s="247"/>
      <c r="O73" s="248"/>
      <c r="P73" s="44"/>
      <c r="Q73" s="49"/>
      <c r="R73" s="86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4"/>
      <c r="AI73" s="44"/>
      <c r="AJ73" s="44"/>
    </row>
    <row r="74" spans="1:36" ht="27.6" x14ac:dyDescent="0.25">
      <c r="A74" s="96"/>
      <c r="B74" s="244" t="s">
        <v>129</v>
      </c>
      <c r="C74" s="245" t="s">
        <v>130</v>
      </c>
      <c r="D74" s="244" t="s">
        <v>44</v>
      </c>
      <c r="E74" s="244" t="s">
        <v>131</v>
      </c>
      <c r="F74" s="246" t="s">
        <v>82</v>
      </c>
      <c r="G74" s="259">
        <v>1354.3</v>
      </c>
      <c r="H74" s="247"/>
      <c r="I74" s="247"/>
      <c r="J74" s="247"/>
      <c r="K74" s="247"/>
      <c r="L74" s="247"/>
      <c r="M74" s="247"/>
      <c r="N74" s="247"/>
      <c r="O74" s="248"/>
      <c r="P74" s="44"/>
      <c r="Q74" s="49"/>
      <c r="R74" s="12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4"/>
      <c r="AI74" s="44"/>
      <c r="AJ74" s="44"/>
    </row>
    <row r="75" spans="1:36" ht="27.6" x14ac:dyDescent="0.25">
      <c r="A75" s="96"/>
      <c r="B75" s="244" t="s">
        <v>132</v>
      </c>
      <c r="C75" s="245" t="s">
        <v>109</v>
      </c>
      <c r="D75" s="244" t="s">
        <v>44</v>
      </c>
      <c r="E75" s="244" t="s">
        <v>110</v>
      </c>
      <c r="F75" s="246" t="s">
        <v>82</v>
      </c>
      <c r="G75" s="259">
        <v>4375</v>
      </c>
      <c r="H75" s="247"/>
      <c r="I75" s="247"/>
      <c r="J75" s="247"/>
      <c r="K75" s="247"/>
      <c r="L75" s="247"/>
      <c r="M75" s="247"/>
      <c r="N75" s="247"/>
      <c r="O75" s="248"/>
      <c r="P75" s="44"/>
      <c r="Q75" s="49"/>
      <c r="R75" s="86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4"/>
      <c r="AI75" s="44"/>
      <c r="AJ75" s="44"/>
    </row>
    <row r="76" spans="1:36" ht="27.6" x14ac:dyDescent="0.25">
      <c r="A76" s="96"/>
      <c r="B76" s="244" t="s">
        <v>133</v>
      </c>
      <c r="C76" s="245" t="s">
        <v>112</v>
      </c>
      <c r="D76" s="244" t="s">
        <v>44</v>
      </c>
      <c r="E76" s="244" t="s">
        <v>113</v>
      </c>
      <c r="F76" s="246" t="s">
        <v>82</v>
      </c>
      <c r="G76" s="259">
        <v>3134.6</v>
      </c>
      <c r="H76" s="247"/>
      <c r="I76" s="247"/>
      <c r="J76" s="247"/>
      <c r="K76" s="247"/>
      <c r="L76" s="247"/>
      <c r="M76" s="247"/>
      <c r="N76" s="247"/>
      <c r="O76" s="248"/>
      <c r="P76" s="44"/>
      <c r="Q76" s="49"/>
      <c r="R76" s="12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4"/>
      <c r="AI76" s="44"/>
      <c r="AJ76" s="44"/>
    </row>
    <row r="77" spans="1:36" ht="27.6" x14ac:dyDescent="0.25">
      <c r="A77" s="96"/>
      <c r="B77" s="244" t="s">
        <v>134</v>
      </c>
      <c r="C77" s="245" t="s">
        <v>115</v>
      </c>
      <c r="D77" s="244" t="s">
        <v>44</v>
      </c>
      <c r="E77" s="244" t="s">
        <v>116</v>
      </c>
      <c r="F77" s="246" t="s">
        <v>82</v>
      </c>
      <c r="G77" s="259">
        <v>3063.3</v>
      </c>
      <c r="H77" s="247"/>
      <c r="I77" s="247"/>
      <c r="J77" s="247"/>
      <c r="K77" s="247"/>
      <c r="L77" s="247"/>
      <c r="M77" s="247"/>
      <c r="N77" s="247"/>
      <c r="O77" s="248"/>
      <c r="P77" s="44"/>
      <c r="Q77" s="49"/>
      <c r="R77" s="86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4"/>
      <c r="AI77" s="44"/>
      <c r="AJ77" s="44"/>
    </row>
    <row r="78" spans="1:36" ht="27.6" x14ac:dyDescent="0.25">
      <c r="A78" s="96"/>
      <c r="B78" s="244" t="s">
        <v>135</v>
      </c>
      <c r="C78" s="245" t="s">
        <v>722</v>
      </c>
      <c r="D78" s="244" t="s">
        <v>44</v>
      </c>
      <c r="E78" s="244" t="s">
        <v>723</v>
      </c>
      <c r="F78" s="246" t="s">
        <v>82</v>
      </c>
      <c r="G78" s="259">
        <v>888.6</v>
      </c>
      <c r="H78" s="247"/>
      <c r="I78" s="247"/>
      <c r="J78" s="247"/>
      <c r="K78" s="247"/>
      <c r="L78" s="247"/>
      <c r="M78" s="247"/>
      <c r="N78" s="247"/>
      <c r="O78" s="248"/>
      <c r="P78" s="44"/>
      <c r="Q78" s="49"/>
      <c r="R78" s="12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4"/>
      <c r="AI78" s="44"/>
      <c r="AJ78" s="44"/>
    </row>
    <row r="79" spans="1:36" ht="27.6" x14ac:dyDescent="0.25">
      <c r="A79" s="96"/>
      <c r="B79" s="244" t="s">
        <v>136</v>
      </c>
      <c r="C79" s="245" t="s">
        <v>118</v>
      </c>
      <c r="D79" s="244" t="s">
        <v>44</v>
      </c>
      <c r="E79" s="244" t="s">
        <v>119</v>
      </c>
      <c r="F79" s="246" t="s">
        <v>82</v>
      </c>
      <c r="G79" s="259">
        <v>2812.5</v>
      </c>
      <c r="H79" s="247"/>
      <c r="I79" s="247"/>
      <c r="J79" s="247"/>
      <c r="K79" s="247"/>
      <c r="L79" s="247"/>
      <c r="M79" s="247"/>
      <c r="N79" s="247"/>
      <c r="O79" s="248"/>
      <c r="P79" s="44"/>
      <c r="Q79" s="49"/>
      <c r="R79" s="12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4"/>
      <c r="AI79" s="44"/>
      <c r="AJ79" s="44"/>
    </row>
    <row r="80" spans="1:36" ht="41.4" x14ac:dyDescent="0.25">
      <c r="A80" s="96"/>
      <c r="B80" s="244" t="s">
        <v>137</v>
      </c>
      <c r="C80" s="245" t="s">
        <v>731</v>
      </c>
      <c r="D80" s="244" t="s">
        <v>121</v>
      </c>
      <c r="E80" s="244" t="s">
        <v>732</v>
      </c>
      <c r="F80" s="246" t="s">
        <v>75</v>
      </c>
      <c r="G80" s="259">
        <v>186.5</v>
      </c>
      <c r="H80" s="247"/>
      <c r="I80" s="247"/>
      <c r="J80" s="247"/>
      <c r="K80" s="247"/>
      <c r="L80" s="247"/>
      <c r="M80" s="247"/>
      <c r="N80" s="247"/>
      <c r="O80" s="248"/>
      <c r="P80" s="44"/>
      <c r="Q80" s="49"/>
      <c r="R80" s="86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4"/>
      <c r="AI80" s="44"/>
      <c r="AJ80" s="44"/>
    </row>
    <row r="81" spans="1:36" x14ac:dyDescent="0.25">
      <c r="A81" s="96"/>
      <c r="B81" s="244" t="s">
        <v>730</v>
      </c>
      <c r="C81" s="245" t="s">
        <v>102</v>
      </c>
      <c r="D81" s="244" t="s">
        <v>65</v>
      </c>
      <c r="E81" s="244" t="s">
        <v>103</v>
      </c>
      <c r="F81" s="246" t="s">
        <v>75</v>
      </c>
      <c r="G81" s="259">
        <v>186.5</v>
      </c>
      <c r="H81" s="247"/>
      <c r="I81" s="247"/>
      <c r="J81" s="247"/>
      <c r="K81" s="247"/>
      <c r="L81" s="247"/>
      <c r="M81" s="247"/>
      <c r="N81" s="247"/>
      <c r="O81" s="248"/>
      <c r="P81" s="44"/>
      <c r="Q81" s="49"/>
      <c r="R81" s="12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4"/>
      <c r="AI81" s="44"/>
      <c r="AJ81" s="44"/>
    </row>
    <row r="82" spans="1:36" x14ac:dyDescent="0.25">
      <c r="A82" s="96"/>
      <c r="B82" s="240" t="s">
        <v>138</v>
      </c>
      <c r="C82" s="240"/>
      <c r="D82" s="240"/>
      <c r="E82" s="240" t="s">
        <v>1883</v>
      </c>
      <c r="F82" s="240"/>
      <c r="G82" s="258"/>
      <c r="H82" s="241"/>
      <c r="I82" s="240"/>
      <c r="J82" s="240"/>
      <c r="K82" s="240"/>
      <c r="L82" s="240"/>
      <c r="M82" s="240"/>
      <c r="N82" s="242"/>
      <c r="O82" s="243"/>
      <c r="P82" s="44"/>
      <c r="Q82" s="49"/>
      <c r="R82" s="12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4"/>
      <c r="AI82" s="44"/>
      <c r="AJ82" s="44"/>
    </row>
    <row r="83" spans="1:36" ht="27.6" x14ac:dyDescent="0.25">
      <c r="A83" s="96"/>
      <c r="B83" s="244" t="s">
        <v>139</v>
      </c>
      <c r="C83" s="245" t="s">
        <v>505</v>
      </c>
      <c r="D83" s="244" t="s">
        <v>44</v>
      </c>
      <c r="E83" s="244" t="s">
        <v>506</v>
      </c>
      <c r="F83" s="246" t="s">
        <v>45</v>
      </c>
      <c r="G83" s="259">
        <v>362.5</v>
      </c>
      <c r="H83" s="247"/>
      <c r="I83" s="247"/>
      <c r="J83" s="247"/>
      <c r="K83" s="247"/>
      <c r="L83" s="247"/>
      <c r="M83" s="247"/>
      <c r="N83" s="247"/>
      <c r="O83" s="248"/>
      <c r="P83" s="44"/>
      <c r="Q83" s="49"/>
      <c r="R83" s="86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4"/>
      <c r="AI83" s="44"/>
      <c r="AJ83" s="44"/>
    </row>
    <row r="84" spans="1:36" ht="27.6" x14ac:dyDescent="0.25">
      <c r="A84" s="96"/>
      <c r="B84" s="244" t="s">
        <v>140</v>
      </c>
      <c r="C84" s="245" t="s">
        <v>733</v>
      </c>
      <c r="D84" s="244" t="s">
        <v>44</v>
      </c>
      <c r="E84" s="244" t="s">
        <v>734</v>
      </c>
      <c r="F84" s="246" t="s">
        <v>45</v>
      </c>
      <c r="G84" s="259">
        <v>33.299999999999997</v>
      </c>
      <c r="H84" s="247"/>
      <c r="I84" s="247"/>
      <c r="J84" s="247"/>
      <c r="K84" s="247"/>
      <c r="L84" s="247"/>
      <c r="M84" s="247"/>
      <c r="N84" s="247"/>
      <c r="O84" s="248"/>
      <c r="P84" s="44"/>
      <c r="Q84" s="49"/>
      <c r="R84" s="12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4"/>
      <c r="AI84" s="44"/>
      <c r="AJ84" s="44"/>
    </row>
    <row r="85" spans="1:36" ht="41.4" x14ac:dyDescent="0.25">
      <c r="A85" s="96"/>
      <c r="B85" s="244" t="s">
        <v>141</v>
      </c>
      <c r="C85" s="245" t="s">
        <v>731</v>
      </c>
      <c r="D85" s="244" t="s">
        <v>121</v>
      </c>
      <c r="E85" s="244" t="s">
        <v>732</v>
      </c>
      <c r="F85" s="246" t="s">
        <v>75</v>
      </c>
      <c r="G85" s="259">
        <v>271.60000000000002</v>
      </c>
      <c r="H85" s="247"/>
      <c r="I85" s="247"/>
      <c r="J85" s="247"/>
      <c r="K85" s="247"/>
      <c r="L85" s="247"/>
      <c r="M85" s="247"/>
      <c r="N85" s="247"/>
      <c r="O85" s="248"/>
      <c r="P85" s="44"/>
      <c r="Q85" s="49"/>
      <c r="R85" s="86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4"/>
      <c r="AI85" s="44"/>
      <c r="AJ85" s="44"/>
    </row>
    <row r="86" spans="1:36" ht="27.6" x14ac:dyDescent="0.25">
      <c r="A86" s="96"/>
      <c r="B86" s="244" t="s">
        <v>144</v>
      </c>
      <c r="C86" s="245" t="s">
        <v>142</v>
      </c>
      <c r="D86" s="244" t="s">
        <v>44</v>
      </c>
      <c r="E86" s="244" t="s">
        <v>143</v>
      </c>
      <c r="F86" s="246" t="s">
        <v>82</v>
      </c>
      <c r="G86" s="259">
        <v>451.7</v>
      </c>
      <c r="H86" s="247"/>
      <c r="I86" s="247"/>
      <c r="J86" s="247"/>
      <c r="K86" s="247"/>
      <c r="L86" s="247"/>
      <c r="M86" s="247"/>
      <c r="N86" s="247"/>
      <c r="O86" s="248"/>
      <c r="P86" s="44"/>
      <c r="Q86" s="49"/>
      <c r="R86" s="12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4"/>
      <c r="AI86" s="44"/>
      <c r="AJ86" s="44"/>
    </row>
    <row r="87" spans="1:36" ht="27.6" x14ac:dyDescent="0.25">
      <c r="A87" s="96"/>
      <c r="B87" s="244" t="s">
        <v>147</v>
      </c>
      <c r="C87" s="245" t="s">
        <v>145</v>
      </c>
      <c r="D87" s="244" t="s">
        <v>44</v>
      </c>
      <c r="E87" s="244" t="s">
        <v>146</v>
      </c>
      <c r="F87" s="246" t="s">
        <v>82</v>
      </c>
      <c r="G87" s="259">
        <v>623.79999999999995</v>
      </c>
      <c r="H87" s="247"/>
      <c r="I87" s="247"/>
      <c r="J87" s="247"/>
      <c r="K87" s="247"/>
      <c r="L87" s="247"/>
      <c r="M87" s="247"/>
      <c r="N87" s="247"/>
      <c r="O87" s="248"/>
      <c r="P87" s="44"/>
      <c r="Q87" s="49"/>
      <c r="R87" s="86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4"/>
      <c r="AI87" s="44"/>
      <c r="AJ87" s="44"/>
    </row>
    <row r="88" spans="1:36" ht="27.6" x14ac:dyDescent="0.25">
      <c r="A88" s="96"/>
      <c r="B88" s="244" t="s">
        <v>150</v>
      </c>
      <c r="C88" s="245" t="s">
        <v>148</v>
      </c>
      <c r="D88" s="244" t="s">
        <v>44</v>
      </c>
      <c r="E88" s="244" t="s">
        <v>149</v>
      </c>
      <c r="F88" s="246" t="s">
        <v>82</v>
      </c>
      <c r="G88" s="259">
        <v>2585.1</v>
      </c>
      <c r="H88" s="247"/>
      <c r="I88" s="247"/>
      <c r="J88" s="247"/>
      <c r="K88" s="247"/>
      <c r="L88" s="247"/>
      <c r="M88" s="247"/>
      <c r="N88" s="247"/>
      <c r="O88" s="248"/>
      <c r="P88" s="44"/>
      <c r="Q88" s="49"/>
      <c r="R88" s="12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4"/>
      <c r="AI88" s="44"/>
      <c r="AJ88" s="44"/>
    </row>
    <row r="89" spans="1:36" ht="27.6" x14ac:dyDescent="0.25">
      <c r="A89" s="96"/>
      <c r="B89" s="244" t="s">
        <v>153</v>
      </c>
      <c r="C89" s="245" t="s">
        <v>151</v>
      </c>
      <c r="D89" s="244" t="s">
        <v>44</v>
      </c>
      <c r="E89" s="244" t="s">
        <v>152</v>
      </c>
      <c r="F89" s="246" t="s">
        <v>82</v>
      </c>
      <c r="G89" s="259">
        <v>2502.6</v>
      </c>
      <c r="H89" s="247"/>
      <c r="I89" s="247"/>
      <c r="J89" s="247"/>
      <c r="K89" s="247"/>
      <c r="L89" s="247"/>
      <c r="M89" s="247"/>
      <c r="N89" s="247"/>
      <c r="O89" s="248"/>
      <c r="P89" s="44"/>
      <c r="Q89" s="49"/>
      <c r="R89" s="86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4"/>
      <c r="AI89" s="44"/>
      <c r="AJ89" s="44"/>
    </row>
    <row r="90" spans="1:36" ht="27.6" x14ac:dyDescent="0.25">
      <c r="A90" s="96"/>
      <c r="B90" s="244" t="s">
        <v>154</v>
      </c>
      <c r="C90" s="245" t="s">
        <v>735</v>
      </c>
      <c r="D90" s="244" t="s">
        <v>44</v>
      </c>
      <c r="E90" s="244" t="s">
        <v>736</v>
      </c>
      <c r="F90" s="246" t="s">
        <v>82</v>
      </c>
      <c r="G90" s="259">
        <v>970.5</v>
      </c>
      <c r="H90" s="247"/>
      <c r="I90" s="247"/>
      <c r="J90" s="247"/>
      <c r="K90" s="247"/>
      <c r="L90" s="247"/>
      <c r="M90" s="247"/>
      <c r="N90" s="247"/>
      <c r="O90" s="248"/>
      <c r="P90" s="44"/>
      <c r="Q90" s="49"/>
      <c r="R90" s="12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4"/>
      <c r="AI90" s="44"/>
      <c r="AJ90" s="44"/>
    </row>
    <row r="91" spans="1:36" x14ac:dyDescent="0.25">
      <c r="A91" s="96"/>
      <c r="B91" s="244" t="s">
        <v>737</v>
      </c>
      <c r="C91" s="245" t="s">
        <v>102</v>
      </c>
      <c r="D91" s="244" t="s">
        <v>65</v>
      </c>
      <c r="E91" s="244" t="s">
        <v>103</v>
      </c>
      <c r="F91" s="246" t="s">
        <v>75</v>
      </c>
      <c r="G91" s="259">
        <v>271.60000000000002</v>
      </c>
      <c r="H91" s="247"/>
      <c r="I91" s="247"/>
      <c r="J91" s="247"/>
      <c r="K91" s="247"/>
      <c r="L91" s="247"/>
      <c r="M91" s="247"/>
      <c r="N91" s="247"/>
      <c r="O91" s="248"/>
      <c r="P91" s="44"/>
      <c r="Q91" s="49"/>
      <c r="R91" s="12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4"/>
      <c r="AI91" s="44"/>
      <c r="AJ91" s="44"/>
    </row>
    <row r="92" spans="1:36" x14ac:dyDescent="0.25">
      <c r="A92" s="96"/>
      <c r="B92" s="244" t="s">
        <v>738</v>
      </c>
      <c r="C92" s="245" t="s">
        <v>739</v>
      </c>
      <c r="D92" s="244" t="s">
        <v>121</v>
      </c>
      <c r="E92" s="244" t="s">
        <v>2162</v>
      </c>
      <c r="F92" s="246" t="s">
        <v>45</v>
      </c>
      <c r="G92" s="259">
        <v>1711.14</v>
      </c>
      <c r="H92" s="247"/>
      <c r="I92" s="247"/>
      <c r="J92" s="247"/>
      <c r="K92" s="247"/>
      <c r="L92" s="247"/>
      <c r="M92" s="247"/>
      <c r="N92" s="247"/>
      <c r="O92" s="248"/>
      <c r="P92" s="44"/>
      <c r="Q92" s="49"/>
      <c r="R92" s="86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4"/>
      <c r="AI92" s="44"/>
      <c r="AJ92" s="44"/>
    </row>
    <row r="93" spans="1:36" x14ac:dyDescent="0.25">
      <c r="A93" s="96"/>
      <c r="B93" s="244" t="s">
        <v>740</v>
      </c>
      <c r="C93" s="245" t="s">
        <v>741</v>
      </c>
      <c r="D93" s="244" t="s">
        <v>121</v>
      </c>
      <c r="E93" s="244" t="s">
        <v>2163</v>
      </c>
      <c r="F93" s="246" t="s">
        <v>45</v>
      </c>
      <c r="G93" s="259">
        <v>79.150000000000006</v>
      </c>
      <c r="H93" s="247"/>
      <c r="I93" s="247"/>
      <c r="J93" s="247"/>
      <c r="K93" s="247"/>
      <c r="L93" s="247"/>
      <c r="M93" s="247"/>
      <c r="N93" s="247"/>
      <c r="O93" s="248"/>
      <c r="P93" s="44"/>
      <c r="Q93" s="49"/>
      <c r="R93" s="12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4"/>
      <c r="AI93" s="44"/>
      <c r="AJ93" s="44"/>
    </row>
    <row r="94" spans="1:36" x14ac:dyDescent="0.25">
      <c r="A94" s="96"/>
      <c r="B94" s="244" t="s">
        <v>742</v>
      </c>
      <c r="C94" s="245" t="s">
        <v>743</v>
      </c>
      <c r="D94" s="244" t="s">
        <v>121</v>
      </c>
      <c r="E94" s="244" t="s">
        <v>2164</v>
      </c>
      <c r="F94" s="246" t="s">
        <v>45</v>
      </c>
      <c r="G94" s="259">
        <v>1107.0999999999999</v>
      </c>
      <c r="H94" s="247"/>
      <c r="I94" s="247"/>
      <c r="J94" s="247"/>
      <c r="K94" s="247"/>
      <c r="L94" s="247"/>
      <c r="M94" s="247"/>
      <c r="N94" s="247"/>
      <c r="O94" s="248"/>
      <c r="P94" s="44"/>
      <c r="Q94" s="49"/>
      <c r="R94" s="12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4"/>
      <c r="AI94" s="44"/>
      <c r="AJ94" s="44"/>
    </row>
    <row r="95" spans="1:36" x14ac:dyDescent="0.25">
      <c r="A95" s="96"/>
      <c r="B95" s="244" t="s">
        <v>744</v>
      </c>
      <c r="C95" s="245" t="s">
        <v>745</v>
      </c>
      <c r="D95" s="244" t="s">
        <v>121</v>
      </c>
      <c r="E95" s="244" t="s">
        <v>2165</v>
      </c>
      <c r="F95" s="246" t="s">
        <v>45</v>
      </c>
      <c r="G95" s="259">
        <v>46.13</v>
      </c>
      <c r="H95" s="247"/>
      <c r="I95" s="247"/>
      <c r="J95" s="247"/>
      <c r="K95" s="247"/>
      <c r="L95" s="247"/>
      <c r="M95" s="247"/>
      <c r="N95" s="247"/>
      <c r="O95" s="248"/>
      <c r="P95" s="44"/>
      <c r="Q95" s="49"/>
      <c r="R95" s="86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4"/>
      <c r="AI95" s="44"/>
      <c r="AJ95" s="44"/>
    </row>
    <row r="96" spans="1:36" x14ac:dyDescent="0.25">
      <c r="A96" s="96"/>
      <c r="B96" s="244" t="s">
        <v>746</v>
      </c>
      <c r="C96" s="245" t="s">
        <v>747</v>
      </c>
      <c r="D96" s="244" t="s">
        <v>121</v>
      </c>
      <c r="E96" s="244" t="s">
        <v>748</v>
      </c>
      <c r="F96" s="246" t="s">
        <v>45</v>
      </c>
      <c r="G96" s="259">
        <v>31.49</v>
      </c>
      <c r="H96" s="247"/>
      <c r="I96" s="247"/>
      <c r="J96" s="247"/>
      <c r="K96" s="247"/>
      <c r="L96" s="247"/>
      <c r="M96" s="247"/>
      <c r="N96" s="247"/>
      <c r="O96" s="248"/>
      <c r="P96" s="44"/>
      <c r="Q96" s="49"/>
      <c r="R96" s="12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4"/>
      <c r="AI96" s="44"/>
      <c r="AJ96" s="44"/>
    </row>
    <row r="97" spans="1:36" ht="27.6" x14ac:dyDescent="0.25">
      <c r="A97" s="96"/>
      <c r="B97" s="244" t="s">
        <v>749</v>
      </c>
      <c r="C97" s="245" t="s">
        <v>750</v>
      </c>
      <c r="D97" s="244" t="s">
        <v>44</v>
      </c>
      <c r="E97" s="244" t="s">
        <v>751</v>
      </c>
      <c r="F97" s="246" t="s">
        <v>75</v>
      </c>
      <c r="G97" s="259">
        <v>10651.65</v>
      </c>
      <c r="H97" s="247"/>
      <c r="I97" s="247"/>
      <c r="J97" s="247"/>
      <c r="K97" s="247"/>
      <c r="L97" s="247"/>
      <c r="M97" s="247"/>
      <c r="N97" s="247"/>
      <c r="O97" s="248"/>
      <c r="P97" s="44"/>
      <c r="Q97" s="49"/>
      <c r="R97" s="86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4"/>
      <c r="AI97" s="44"/>
      <c r="AJ97" s="44"/>
    </row>
    <row r="98" spans="1:36" x14ac:dyDescent="0.25">
      <c r="A98" s="96"/>
      <c r="B98" s="240" t="s">
        <v>155</v>
      </c>
      <c r="C98" s="240"/>
      <c r="D98" s="240"/>
      <c r="E98" s="240" t="s">
        <v>156</v>
      </c>
      <c r="F98" s="240"/>
      <c r="G98" s="258"/>
      <c r="H98" s="241"/>
      <c r="I98" s="240"/>
      <c r="J98" s="240"/>
      <c r="K98" s="240"/>
      <c r="L98" s="240"/>
      <c r="M98" s="240"/>
      <c r="N98" s="242"/>
      <c r="O98" s="243"/>
      <c r="P98" s="44"/>
      <c r="Q98" s="49"/>
      <c r="R98" s="12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4"/>
      <c r="AI98" s="44"/>
      <c r="AJ98" s="44"/>
    </row>
    <row r="99" spans="1:36" ht="27.6" x14ac:dyDescent="0.25">
      <c r="A99" s="96"/>
      <c r="B99" s="244" t="s">
        <v>157</v>
      </c>
      <c r="C99" s="245" t="s">
        <v>158</v>
      </c>
      <c r="D99" s="244" t="s">
        <v>44</v>
      </c>
      <c r="E99" s="244" t="s">
        <v>159</v>
      </c>
      <c r="F99" s="246" t="s">
        <v>45</v>
      </c>
      <c r="G99" s="259">
        <v>6.25</v>
      </c>
      <c r="H99" s="247"/>
      <c r="I99" s="247"/>
      <c r="J99" s="247"/>
      <c r="K99" s="247"/>
      <c r="L99" s="247"/>
      <c r="M99" s="247"/>
      <c r="N99" s="247"/>
      <c r="O99" s="248"/>
      <c r="P99" s="44"/>
      <c r="Q99" s="49"/>
      <c r="R99" s="12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4"/>
      <c r="AI99" s="44"/>
      <c r="AJ99" s="44"/>
    </row>
    <row r="100" spans="1:36" x14ac:dyDescent="0.25">
      <c r="A100" s="96"/>
      <c r="B100" s="240">
        <v>4</v>
      </c>
      <c r="C100" s="240"/>
      <c r="D100" s="240"/>
      <c r="E100" s="240" t="s">
        <v>752</v>
      </c>
      <c r="F100" s="240"/>
      <c r="G100" s="258"/>
      <c r="H100" s="241"/>
      <c r="I100" s="240"/>
      <c r="J100" s="240"/>
      <c r="K100" s="240"/>
      <c r="L100" s="240"/>
      <c r="M100" s="240"/>
      <c r="N100" s="242"/>
      <c r="O100" s="243"/>
      <c r="P100" s="44"/>
      <c r="Q100" s="49"/>
      <c r="R100" s="12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4"/>
      <c r="AI100" s="44"/>
      <c r="AJ100" s="44"/>
    </row>
    <row r="101" spans="1:36" x14ac:dyDescent="0.25">
      <c r="A101" s="96"/>
      <c r="B101" s="240" t="s">
        <v>160</v>
      </c>
      <c r="C101" s="240"/>
      <c r="D101" s="240"/>
      <c r="E101" s="240" t="s">
        <v>753</v>
      </c>
      <c r="F101" s="240"/>
      <c r="G101" s="258"/>
      <c r="H101" s="241"/>
      <c r="I101" s="240"/>
      <c r="J101" s="240"/>
      <c r="K101" s="240"/>
      <c r="L101" s="240"/>
      <c r="M101" s="240"/>
      <c r="N101" s="242"/>
      <c r="O101" s="243"/>
      <c r="P101" s="44"/>
      <c r="Q101" s="49"/>
      <c r="R101" s="12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4"/>
      <c r="AI101" s="44"/>
      <c r="AJ101" s="44"/>
    </row>
    <row r="102" spans="1:36" ht="27.6" x14ac:dyDescent="0.25">
      <c r="A102" s="96"/>
      <c r="B102" s="244" t="s">
        <v>754</v>
      </c>
      <c r="C102" s="245" t="s">
        <v>755</v>
      </c>
      <c r="D102" s="244" t="s">
        <v>44</v>
      </c>
      <c r="E102" s="244" t="s">
        <v>756</v>
      </c>
      <c r="F102" s="246" t="s">
        <v>45</v>
      </c>
      <c r="G102" s="259">
        <v>179.01</v>
      </c>
      <c r="H102" s="247"/>
      <c r="I102" s="247"/>
      <c r="J102" s="247"/>
      <c r="K102" s="247"/>
      <c r="L102" s="247"/>
      <c r="M102" s="247"/>
      <c r="N102" s="247"/>
      <c r="O102" s="248"/>
      <c r="P102" s="44"/>
      <c r="Q102" s="49"/>
      <c r="R102" s="12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4"/>
      <c r="AI102" s="44"/>
      <c r="AJ102" s="44"/>
    </row>
    <row r="103" spans="1:36" ht="27.6" x14ac:dyDescent="0.25">
      <c r="A103" s="96"/>
      <c r="B103" s="244" t="s">
        <v>757</v>
      </c>
      <c r="C103" s="245" t="s">
        <v>161</v>
      </c>
      <c r="D103" s="244" t="s">
        <v>44</v>
      </c>
      <c r="E103" s="244" t="s">
        <v>162</v>
      </c>
      <c r="F103" s="246" t="s">
        <v>45</v>
      </c>
      <c r="G103" s="259">
        <v>3654.44</v>
      </c>
      <c r="H103" s="247"/>
      <c r="I103" s="247"/>
      <c r="J103" s="247"/>
      <c r="K103" s="247"/>
      <c r="L103" s="247"/>
      <c r="M103" s="247"/>
      <c r="N103" s="247"/>
      <c r="O103" s="248"/>
      <c r="P103" s="44"/>
      <c r="Q103" s="49"/>
      <c r="R103" s="12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4"/>
      <c r="AI103" s="44"/>
      <c r="AJ103" s="44"/>
    </row>
    <row r="104" spans="1:36" ht="27.6" x14ac:dyDescent="0.25">
      <c r="A104" s="96"/>
      <c r="B104" s="244" t="s">
        <v>758</v>
      </c>
      <c r="C104" s="245" t="s">
        <v>169</v>
      </c>
      <c r="D104" s="244" t="s">
        <v>44</v>
      </c>
      <c r="E104" s="244" t="s">
        <v>170</v>
      </c>
      <c r="F104" s="246" t="s">
        <v>45</v>
      </c>
      <c r="G104" s="259">
        <v>7.931</v>
      </c>
      <c r="H104" s="247"/>
      <c r="I104" s="247"/>
      <c r="J104" s="247"/>
      <c r="K104" s="247"/>
      <c r="L104" s="247"/>
      <c r="M104" s="247"/>
      <c r="N104" s="247"/>
      <c r="O104" s="248"/>
      <c r="P104" s="44"/>
      <c r="Q104" s="49"/>
      <c r="R104" s="12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4"/>
      <c r="AI104" s="44"/>
      <c r="AJ104" s="44"/>
    </row>
    <row r="105" spans="1:36" ht="27.6" x14ac:dyDescent="0.25">
      <c r="A105" s="96"/>
      <c r="B105" s="244" t="s">
        <v>759</v>
      </c>
      <c r="C105" s="245" t="s">
        <v>165</v>
      </c>
      <c r="D105" s="244" t="s">
        <v>44</v>
      </c>
      <c r="E105" s="244" t="s">
        <v>166</v>
      </c>
      <c r="F105" s="246" t="s">
        <v>71</v>
      </c>
      <c r="G105" s="259">
        <v>310.8</v>
      </c>
      <c r="H105" s="247"/>
      <c r="I105" s="247"/>
      <c r="J105" s="247"/>
      <c r="K105" s="247"/>
      <c r="L105" s="247"/>
      <c r="M105" s="247"/>
      <c r="N105" s="247"/>
      <c r="O105" s="248"/>
      <c r="P105" s="44"/>
      <c r="Q105" s="49"/>
      <c r="R105" s="12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4"/>
      <c r="AI105" s="44"/>
      <c r="AJ105" s="44"/>
    </row>
    <row r="106" spans="1:36" ht="27.6" x14ac:dyDescent="0.25">
      <c r="A106" s="96"/>
      <c r="B106" s="244" t="s">
        <v>760</v>
      </c>
      <c r="C106" s="245" t="s">
        <v>167</v>
      </c>
      <c r="D106" s="244" t="s">
        <v>44</v>
      </c>
      <c r="E106" s="244" t="s">
        <v>168</v>
      </c>
      <c r="F106" s="246" t="s">
        <v>71</v>
      </c>
      <c r="G106" s="259">
        <v>257.8</v>
      </c>
      <c r="H106" s="247"/>
      <c r="I106" s="247"/>
      <c r="J106" s="247"/>
      <c r="K106" s="247"/>
      <c r="L106" s="247"/>
      <c r="M106" s="247"/>
      <c r="N106" s="247"/>
      <c r="O106" s="248"/>
      <c r="P106" s="44"/>
      <c r="Q106" s="49"/>
      <c r="R106" s="12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4"/>
      <c r="AI106" s="44"/>
      <c r="AJ106" s="44"/>
    </row>
    <row r="107" spans="1:36" ht="27.6" x14ac:dyDescent="0.25">
      <c r="A107" s="96"/>
      <c r="B107" s="244" t="s">
        <v>761</v>
      </c>
      <c r="C107" s="245" t="s">
        <v>762</v>
      </c>
      <c r="D107" s="244" t="s">
        <v>44</v>
      </c>
      <c r="E107" s="244" t="s">
        <v>763</v>
      </c>
      <c r="F107" s="246" t="s">
        <v>71</v>
      </c>
      <c r="G107" s="259">
        <v>1483.69</v>
      </c>
      <c r="H107" s="247"/>
      <c r="I107" s="247"/>
      <c r="J107" s="247"/>
      <c r="K107" s="247"/>
      <c r="L107" s="247"/>
      <c r="M107" s="247"/>
      <c r="N107" s="247"/>
      <c r="O107" s="248"/>
      <c r="P107" s="44"/>
      <c r="Q107" s="49"/>
      <c r="R107" s="12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4"/>
      <c r="AI107" s="44"/>
      <c r="AJ107" s="44"/>
    </row>
    <row r="108" spans="1:36" x14ac:dyDescent="0.25">
      <c r="A108" s="96"/>
      <c r="B108" s="240" t="s">
        <v>163</v>
      </c>
      <c r="C108" s="240"/>
      <c r="D108" s="240"/>
      <c r="E108" s="240" t="s">
        <v>764</v>
      </c>
      <c r="F108" s="240"/>
      <c r="G108" s="258"/>
      <c r="H108" s="241"/>
      <c r="I108" s="240"/>
      <c r="J108" s="240"/>
      <c r="K108" s="240"/>
      <c r="L108" s="240"/>
      <c r="M108" s="240"/>
      <c r="N108" s="242"/>
      <c r="O108" s="243"/>
      <c r="P108" s="44"/>
      <c r="Q108" s="49"/>
      <c r="R108" s="12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4"/>
      <c r="AI108" s="44"/>
      <c r="AJ108" s="44"/>
    </row>
    <row r="109" spans="1:36" ht="41.4" x14ac:dyDescent="0.25">
      <c r="A109" s="96"/>
      <c r="B109" s="244" t="s">
        <v>765</v>
      </c>
      <c r="C109" s="245" t="s">
        <v>766</v>
      </c>
      <c r="D109" s="244" t="s">
        <v>44</v>
      </c>
      <c r="E109" s="244" t="s">
        <v>767</v>
      </c>
      <c r="F109" s="246" t="s">
        <v>45</v>
      </c>
      <c r="G109" s="259">
        <v>2091.94</v>
      </c>
      <c r="H109" s="247"/>
      <c r="I109" s="247"/>
      <c r="J109" s="247"/>
      <c r="K109" s="247"/>
      <c r="L109" s="247"/>
      <c r="M109" s="247"/>
      <c r="N109" s="247"/>
      <c r="O109" s="248"/>
      <c r="P109" s="44"/>
      <c r="Q109" s="49"/>
      <c r="R109" s="12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4"/>
      <c r="AI109" s="44"/>
      <c r="AJ109" s="44"/>
    </row>
    <row r="110" spans="1:36" ht="41.4" x14ac:dyDescent="0.25">
      <c r="A110" s="96"/>
      <c r="B110" s="244" t="s">
        <v>768</v>
      </c>
      <c r="C110" s="245" t="s">
        <v>770</v>
      </c>
      <c r="D110" s="244" t="s">
        <v>121</v>
      </c>
      <c r="E110" s="244" t="s">
        <v>771</v>
      </c>
      <c r="F110" s="246" t="s">
        <v>45</v>
      </c>
      <c r="G110" s="259">
        <v>1861.56</v>
      </c>
      <c r="H110" s="247"/>
      <c r="I110" s="247"/>
      <c r="J110" s="247"/>
      <c r="K110" s="247"/>
      <c r="L110" s="247"/>
      <c r="M110" s="247"/>
      <c r="N110" s="247"/>
      <c r="O110" s="248"/>
      <c r="P110" s="44"/>
      <c r="Q110" s="49"/>
      <c r="R110" s="12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4"/>
      <c r="AI110" s="44"/>
      <c r="AJ110" s="44"/>
    </row>
    <row r="111" spans="1:36" ht="41.4" x14ac:dyDescent="0.25">
      <c r="A111" s="96"/>
      <c r="B111" s="244" t="s">
        <v>769</v>
      </c>
      <c r="C111" s="245" t="s">
        <v>772</v>
      </c>
      <c r="D111" s="244" t="s">
        <v>121</v>
      </c>
      <c r="E111" s="244" t="s">
        <v>773</v>
      </c>
      <c r="F111" s="246" t="s">
        <v>45</v>
      </c>
      <c r="G111" s="259">
        <v>65.64</v>
      </c>
      <c r="H111" s="247"/>
      <c r="I111" s="247"/>
      <c r="J111" s="247"/>
      <c r="K111" s="247"/>
      <c r="L111" s="247"/>
      <c r="M111" s="247"/>
      <c r="N111" s="247"/>
      <c r="O111" s="248"/>
      <c r="P111" s="44"/>
      <c r="Q111" s="49"/>
      <c r="R111" s="12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4"/>
      <c r="AI111" s="44"/>
      <c r="AJ111" s="44"/>
    </row>
    <row r="112" spans="1:36" x14ac:dyDescent="0.25">
      <c r="A112" s="96"/>
      <c r="B112" s="240" t="s">
        <v>164</v>
      </c>
      <c r="C112" s="240"/>
      <c r="D112" s="240"/>
      <c r="E112" s="240" t="s">
        <v>378</v>
      </c>
      <c r="F112" s="240"/>
      <c r="G112" s="258"/>
      <c r="H112" s="241"/>
      <c r="I112" s="240"/>
      <c r="J112" s="240"/>
      <c r="K112" s="240"/>
      <c r="L112" s="240"/>
      <c r="M112" s="240"/>
      <c r="N112" s="242"/>
      <c r="O112" s="243"/>
      <c r="P112" s="44"/>
      <c r="Q112" s="49"/>
      <c r="R112" s="12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4"/>
      <c r="AI112" s="44"/>
      <c r="AJ112" s="44"/>
    </row>
    <row r="113" spans="1:36" ht="27.6" x14ac:dyDescent="0.25">
      <c r="A113" s="96"/>
      <c r="B113" s="244" t="s">
        <v>774</v>
      </c>
      <c r="C113" s="245" t="s">
        <v>380</v>
      </c>
      <c r="D113" s="244" t="s">
        <v>44</v>
      </c>
      <c r="E113" s="244" t="s">
        <v>381</v>
      </c>
      <c r="F113" s="246" t="s">
        <v>45</v>
      </c>
      <c r="G113" s="259">
        <v>30.34</v>
      </c>
      <c r="H113" s="247"/>
      <c r="I113" s="247"/>
      <c r="J113" s="247"/>
      <c r="K113" s="247"/>
      <c r="L113" s="247"/>
      <c r="M113" s="247"/>
      <c r="N113" s="247"/>
      <c r="O113" s="248"/>
      <c r="P113" s="44"/>
      <c r="Q113" s="49"/>
      <c r="R113" s="12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4"/>
      <c r="AI113" s="44"/>
      <c r="AJ113" s="44"/>
    </row>
    <row r="114" spans="1:36" x14ac:dyDescent="0.25">
      <c r="A114" s="96"/>
      <c r="B114" s="240">
        <v>5</v>
      </c>
      <c r="C114" s="240"/>
      <c r="D114" s="240"/>
      <c r="E114" s="240" t="s">
        <v>329</v>
      </c>
      <c r="F114" s="240"/>
      <c r="G114" s="258"/>
      <c r="H114" s="241"/>
      <c r="I114" s="240"/>
      <c r="J114" s="240"/>
      <c r="K114" s="240"/>
      <c r="L114" s="240"/>
      <c r="M114" s="240"/>
      <c r="N114" s="242"/>
      <c r="O114" s="243"/>
      <c r="P114" s="44"/>
      <c r="Q114" s="49"/>
      <c r="R114" s="12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4"/>
      <c r="AI114" s="44"/>
      <c r="AJ114" s="44"/>
    </row>
    <row r="115" spans="1:36" x14ac:dyDescent="0.25">
      <c r="A115" s="96"/>
      <c r="B115" s="240" t="s">
        <v>172</v>
      </c>
      <c r="C115" s="240"/>
      <c r="D115" s="240"/>
      <c r="E115" s="240" t="s">
        <v>561</v>
      </c>
      <c r="F115" s="240"/>
      <c r="G115" s="258"/>
      <c r="H115" s="241"/>
      <c r="I115" s="240"/>
      <c r="J115" s="240"/>
      <c r="K115" s="240"/>
      <c r="L115" s="240"/>
      <c r="M115" s="240"/>
      <c r="N115" s="242"/>
      <c r="O115" s="243"/>
      <c r="P115" s="44"/>
      <c r="Q115" s="49"/>
      <c r="R115" s="12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4"/>
      <c r="AI115" s="44"/>
      <c r="AJ115" s="44"/>
    </row>
    <row r="116" spans="1:36" x14ac:dyDescent="0.25">
      <c r="A116" s="96"/>
      <c r="B116" s="240" t="s">
        <v>775</v>
      </c>
      <c r="C116" s="240"/>
      <c r="D116" s="240"/>
      <c r="E116" s="240" t="s">
        <v>776</v>
      </c>
      <c r="F116" s="240"/>
      <c r="G116" s="258"/>
      <c r="H116" s="241"/>
      <c r="I116" s="240"/>
      <c r="J116" s="240"/>
      <c r="K116" s="240"/>
      <c r="L116" s="240"/>
      <c r="M116" s="240"/>
      <c r="N116" s="242"/>
      <c r="O116" s="243"/>
      <c r="P116" s="44"/>
      <c r="Q116" s="49"/>
      <c r="R116" s="12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4"/>
      <c r="AI116" s="44"/>
      <c r="AJ116" s="44"/>
    </row>
    <row r="117" spans="1:36" ht="41.4" x14ac:dyDescent="0.25">
      <c r="A117" s="96"/>
      <c r="B117" s="244" t="s">
        <v>777</v>
      </c>
      <c r="C117" s="245" t="s">
        <v>778</v>
      </c>
      <c r="D117" s="244" t="s">
        <v>44</v>
      </c>
      <c r="E117" s="244" t="s">
        <v>779</v>
      </c>
      <c r="F117" s="246" t="s">
        <v>55</v>
      </c>
      <c r="G117" s="259">
        <v>44</v>
      </c>
      <c r="H117" s="247"/>
      <c r="I117" s="247"/>
      <c r="J117" s="247"/>
      <c r="K117" s="247"/>
      <c r="L117" s="247"/>
      <c r="M117" s="247"/>
      <c r="N117" s="247"/>
      <c r="O117" s="248"/>
      <c r="P117" s="44"/>
      <c r="Q117" s="49"/>
      <c r="R117" s="12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4"/>
      <c r="AI117" s="44"/>
      <c r="AJ117" s="44"/>
    </row>
    <row r="118" spans="1:36" ht="41.4" x14ac:dyDescent="0.25">
      <c r="A118" s="96"/>
      <c r="B118" s="244" t="s">
        <v>780</v>
      </c>
      <c r="C118" s="245" t="s">
        <v>781</v>
      </c>
      <c r="D118" s="244" t="s">
        <v>44</v>
      </c>
      <c r="E118" s="244" t="s">
        <v>782</v>
      </c>
      <c r="F118" s="246" t="s">
        <v>55</v>
      </c>
      <c r="G118" s="259">
        <v>21</v>
      </c>
      <c r="H118" s="247"/>
      <c r="I118" s="247"/>
      <c r="J118" s="247"/>
      <c r="K118" s="247"/>
      <c r="L118" s="247"/>
      <c r="M118" s="247"/>
      <c r="N118" s="247"/>
      <c r="O118" s="248"/>
      <c r="P118" s="44"/>
      <c r="Q118" s="49"/>
      <c r="R118" s="12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4"/>
      <c r="AI118" s="44"/>
      <c r="AJ118" s="44"/>
    </row>
    <row r="119" spans="1:36" ht="41.4" x14ac:dyDescent="0.25">
      <c r="A119" s="96"/>
      <c r="B119" s="244" t="s">
        <v>783</v>
      </c>
      <c r="C119" s="245" t="s">
        <v>784</v>
      </c>
      <c r="D119" s="244" t="s">
        <v>44</v>
      </c>
      <c r="E119" s="244" t="s">
        <v>785</v>
      </c>
      <c r="F119" s="246" t="s">
        <v>55</v>
      </c>
      <c r="G119" s="259">
        <v>3</v>
      </c>
      <c r="H119" s="247"/>
      <c r="I119" s="247"/>
      <c r="J119" s="247"/>
      <c r="K119" s="247"/>
      <c r="L119" s="247"/>
      <c r="M119" s="247"/>
      <c r="N119" s="247"/>
      <c r="O119" s="248"/>
      <c r="P119" s="44"/>
      <c r="Q119" s="49"/>
      <c r="R119" s="12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4"/>
      <c r="AI119" s="44"/>
      <c r="AJ119" s="44"/>
    </row>
    <row r="120" spans="1:36" ht="41.4" x14ac:dyDescent="0.25">
      <c r="A120" s="96"/>
      <c r="B120" s="244" t="s">
        <v>786</v>
      </c>
      <c r="C120" s="245" t="s">
        <v>337</v>
      </c>
      <c r="D120" s="244" t="s">
        <v>263</v>
      </c>
      <c r="E120" s="244" t="s">
        <v>1884</v>
      </c>
      <c r="F120" s="246" t="s">
        <v>213</v>
      </c>
      <c r="G120" s="259">
        <v>10</v>
      </c>
      <c r="H120" s="247"/>
      <c r="I120" s="247"/>
      <c r="J120" s="247"/>
      <c r="K120" s="247"/>
      <c r="L120" s="247"/>
      <c r="M120" s="247"/>
      <c r="N120" s="247"/>
      <c r="O120" s="248"/>
      <c r="P120" s="44"/>
      <c r="Q120" s="49"/>
      <c r="R120" s="12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4"/>
      <c r="AI120" s="44"/>
      <c r="AJ120" s="44"/>
    </row>
    <row r="121" spans="1:36" x14ac:dyDescent="0.25">
      <c r="A121" s="96"/>
      <c r="B121" s="244" t="s">
        <v>787</v>
      </c>
      <c r="C121" s="245" t="s">
        <v>338</v>
      </c>
      <c r="D121" s="244" t="s">
        <v>65</v>
      </c>
      <c r="E121" s="244" t="s">
        <v>339</v>
      </c>
      <c r="F121" s="246" t="s">
        <v>55</v>
      </c>
      <c r="G121" s="259">
        <v>17</v>
      </c>
      <c r="H121" s="247"/>
      <c r="I121" s="247"/>
      <c r="J121" s="247"/>
      <c r="K121" s="247"/>
      <c r="L121" s="247"/>
      <c r="M121" s="247"/>
      <c r="N121" s="247"/>
      <c r="O121" s="248"/>
      <c r="P121" s="44"/>
      <c r="Q121" s="49"/>
      <c r="R121" s="12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4"/>
      <c r="AI121" s="44"/>
      <c r="AJ121" s="44"/>
    </row>
    <row r="122" spans="1:36" x14ac:dyDescent="0.25">
      <c r="A122" s="96"/>
      <c r="B122" s="244" t="s">
        <v>788</v>
      </c>
      <c r="C122" s="245" t="s">
        <v>789</v>
      </c>
      <c r="D122" s="244" t="s">
        <v>65</v>
      </c>
      <c r="E122" s="244" t="s">
        <v>790</v>
      </c>
      <c r="F122" s="246" t="s">
        <v>45</v>
      </c>
      <c r="G122" s="259">
        <v>47.04</v>
      </c>
      <c r="H122" s="247"/>
      <c r="I122" s="247"/>
      <c r="J122" s="247"/>
      <c r="K122" s="247"/>
      <c r="L122" s="247"/>
      <c r="M122" s="247"/>
      <c r="N122" s="247"/>
      <c r="O122" s="248"/>
      <c r="P122" s="44"/>
      <c r="Q122" s="49"/>
      <c r="R122" s="12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4"/>
      <c r="AI122" s="44"/>
      <c r="AJ122" s="44"/>
    </row>
    <row r="123" spans="1:36" x14ac:dyDescent="0.25">
      <c r="A123" s="96"/>
      <c r="B123" s="244" t="s">
        <v>791</v>
      </c>
      <c r="C123" s="245" t="s">
        <v>792</v>
      </c>
      <c r="D123" s="244" t="s">
        <v>226</v>
      </c>
      <c r="E123" s="244" t="s">
        <v>793</v>
      </c>
      <c r="F123" s="246" t="s">
        <v>55</v>
      </c>
      <c r="G123" s="259">
        <v>6</v>
      </c>
      <c r="H123" s="247"/>
      <c r="I123" s="247"/>
      <c r="J123" s="247"/>
      <c r="K123" s="247"/>
      <c r="L123" s="247"/>
      <c r="M123" s="247"/>
      <c r="N123" s="247"/>
      <c r="O123" s="248"/>
      <c r="P123" s="44"/>
      <c r="Q123" s="49"/>
      <c r="R123" s="12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4"/>
      <c r="AI123" s="44"/>
      <c r="AJ123" s="44"/>
    </row>
    <row r="124" spans="1:36" x14ac:dyDescent="0.25">
      <c r="A124" s="96"/>
      <c r="B124" s="244" t="s">
        <v>794</v>
      </c>
      <c r="C124" s="245" t="s">
        <v>795</v>
      </c>
      <c r="D124" s="244" t="s">
        <v>226</v>
      </c>
      <c r="E124" s="244" t="s">
        <v>796</v>
      </c>
      <c r="F124" s="246" t="s">
        <v>55</v>
      </c>
      <c r="G124" s="259">
        <v>1</v>
      </c>
      <c r="H124" s="247"/>
      <c r="I124" s="247"/>
      <c r="J124" s="247"/>
      <c r="K124" s="247"/>
      <c r="L124" s="247"/>
      <c r="M124" s="247"/>
      <c r="N124" s="247"/>
      <c r="O124" s="248"/>
      <c r="P124" s="44"/>
      <c r="Q124" s="49"/>
      <c r="R124" s="12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4"/>
      <c r="AI124" s="44"/>
      <c r="AJ124" s="44"/>
    </row>
    <row r="125" spans="1:36" x14ac:dyDescent="0.25">
      <c r="A125" s="96"/>
      <c r="B125" s="244" t="s">
        <v>797</v>
      </c>
      <c r="C125" s="245" t="s">
        <v>798</v>
      </c>
      <c r="D125" s="244" t="s">
        <v>121</v>
      </c>
      <c r="E125" s="244" t="s">
        <v>799</v>
      </c>
      <c r="F125" s="246" t="s">
        <v>213</v>
      </c>
      <c r="G125" s="259">
        <v>88</v>
      </c>
      <c r="H125" s="247"/>
      <c r="I125" s="247"/>
      <c r="J125" s="247"/>
      <c r="K125" s="247"/>
      <c r="L125" s="247"/>
      <c r="M125" s="247"/>
      <c r="N125" s="247"/>
      <c r="O125" s="248"/>
      <c r="P125" s="44"/>
      <c r="Q125" s="49"/>
      <c r="R125" s="12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4"/>
      <c r="AI125" s="44"/>
      <c r="AJ125" s="44"/>
    </row>
    <row r="126" spans="1:36" x14ac:dyDescent="0.25">
      <c r="A126" s="96"/>
      <c r="B126" s="244" t="s">
        <v>800</v>
      </c>
      <c r="C126" s="245" t="s">
        <v>801</v>
      </c>
      <c r="D126" s="244" t="s">
        <v>121</v>
      </c>
      <c r="E126" s="244" t="s">
        <v>802</v>
      </c>
      <c r="F126" s="246" t="s">
        <v>213</v>
      </c>
      <c r="G126" s="259">
        <v>5</v>
      </c>
      <c r="H126" s="247"/>
      <c r="I126" s="247"/>
      <c r="J126" s="247"/>
      <c r="K126" s="247"/>
      <c r="L126" s="247"/>
      <c r="M126" s="247"/>
      <c r="N126" s="247"/>
      <c r="O126" s="248"/>
      <c r="P126" s="44"/>
      <c r="Q126" s="49"/>
      <c r="R126" s="12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4"/>
      <c r="AI126" s="44"/>
      <c r="AJ126" s="44"/>
    </row>
    <row r="127" spans="1:36" x14ac:dyDescent="0.25">
      <c r="A127" s="96"/>
      <c r="B127" s="244" t="s">
        <v>803</v>
      </c>
      <c r="C127" s="245" t="s">
        <v>804</v>
      </c>
      <c r="D127" s="244" t="s">
        <v>121</v>
      </c>
      <c r="E127" s="244" t="s">
        <v>2303</v>
      </c>
      <c r="F127" s="246" t="s">
        <v>45</v>
      </c>
      <c r="G127" s="259">
        <v>7.98</v>
      </c>
      <c r="H127" s="247"/>
      <c r="I127" s="247"/>
      <c r="J127" s="247"/>
      <c r="K127" s="247"/>
      <c r="L127" s="247"/>
      <c r="M127" s="247"/>
      <c r="N127" s="247"/>
      <c r="O127" s="248"/>
      <c r="P127" s="44"/>
      <c r="Q127" s="49"/>
      <c r="R127" s="12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4"/>
      <c r="AI127" s="44"/>
      <c r="AJ127" s="44"/>
    </row>
    <row r="128" spans="1:36" x14ac:dyDescent="0.25">
      <c r="A128" s="96"/>
      <c r="B128" s="244" t="s">
        <v>2318</v>
      </c>
      <c r="C128" s="245" t="s">
        <v>2319</v>
      </c>
      <c r="D128" s="244" t="s">
        <v>65</v>
      </c>
      <c r="E128" s="244" t="s">
        <v>2320</v>
      </c>
      <c r="F128" s="246" t="s">
        <v>55</v>
      </c>
      <c r="G128" s="259">
        <v>2</v>
      </c>
      <c r="H128" s="247"/>
      <c r="I128" s="247"/>
      <c r="J128" s="247"/>
      <c r="K128" s="247"/>
      <c r="L128" s="247"/>
      <c r="M128" s="247"/>
      <c r="N128" s="247"/>
      <c r="O128" s="248"/>
      <c r="P128" s="44"/>
      <c r="Q128" s="49"/>
      <c r="R128" s="12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4"/>
      <c r="AI128" s="44"/>
      <c r="AJ128" s="44"/>
    </row>
    <row r="129" spans="1:36" x14ac:dyDescent="0.25">
      <c r="A129" s="96"/>
      <c r="B129" s="240" t="s">
        <v>175</v>
      </c>
      <c r="C129" s="240"/>
      <c r="D129" s="240"/>
      <c r="E129" s="240" t="s">
        <v>805</v>
      </c>
      <c r="F129" s="240"/>
      <c r="G129" s="258"/>
      <c r="H129" s="241"/>
      <c r="I129" s="240"/>
      <c r="J129" s="240"/>
      <c r="K129" s="240"/>
      <c r="L129" s="240"/>
      <c r="M129" s="240"/>
      <c r="N129" s="242"/>
      <c r="O129" s="243"/>
      <c r="P129" s="44"/>
      <c r="Q129" s="49"/>
      <c r="R129" s="12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4"/>
      <c r="AI129" s="44"/>
      <c r="AJ129" s="44"/>
    </row>
    <row r="130" spans="1:36" x14ac:dyDescent="0.25">
      <c r="A130" s="96"/>
      <c r="B130" s="240" t="s">
        <v>806</v>
      </c>
      <c r="C130" s="240"/>
      <c r="D130" s="240"/>
      <c r="E130" s="240" t="s">
        <v>807</v>
      </c>
      <c r="F130" s="240"/>
      <c r="G130" s="258"/>
      <c r="H130" s="241"/>
      <c r="I130" s="240"/>
      <c r="J130" s="240"/>
      <c r="K130" s="240"/>
      <c r="L130" s="240"/>
      <c r="M130" s="240"/>
      <c r="N130" s="242"/>
      <c r="O130" s="243"/>
      <c r="P130" s="44"/>
      <c r="Q130" s="49"/>
      <c r="R130" s="12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4"/>
      <c r="AI130" s="44"/>
      <c r="AJ130" s="44"/>
    </row>
    <row r="131" spans="1:36" ht="27.6" x14ac:dyDescent="0.25">
      <c r="A131" s="96"/>
      <c r="B131" s="244" t="s">
        <v>808</v>
      </c>
      <c r="C131" s="245" t="s">
        <v>340</v>
      </c>
      <c r="D131" s="244" t="s">
        <v>44</v>
      </c>
      <c r="E131" s="244" t="s">
        <v>341</v>
      </c>
      <c r="F131" s="246" t="s">
        <v>45</v>
      </c>
      <c r="G131" s="259">
        <v>20.37</v>
      </c>
      <c r="H131" s="247"/>
      <c r="I131" s="247"/>
      <c r="J131" s="247"/>
      <c r="K131" s="247"/>
      <c r="L131" s="247"/>
      <c r="M131" s="247"/>
      <c r="N131" s="247"/>
      <c r="O131" s="248"/>
      <c r="P131" s="44"/>
      <c r="Q131" s="49"/>
      <c r="R131" s="12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4"/>
      <c r="AI131" s="44"/>
      <c r="AJ131" s="44"/>
    </row>
    <row r="132" spans="1:36" ht="27.6" x14ac:dyDescent="0.25">
      <c r="A132" s="96"/>
      <c r="B132" s="244" t="s">
        <v>809</v>
      </c>
      <c r="C132" s="245" t="s">
        <v>332</v>
      </c>
      <c r="D132" s="244" t="s">
        <v>44</v>
      </c>
      <c r="E132" s="244" t="s">
        <v>333</v>
      </c>
      <c r="F132" s="246" t="s">
        <v>45</v>
      </c>
      <c r="G132" s="259">
        <v>21</v>
      </c>
      <c r="H132" s="247"/>
      <c r="I132" s="247"/>
      <c r="J132" s="247"/>
      <c r="K132" s="247"/>
      <c r="L132" s="247"/>
      <c r="M132" s="247"/>
      <c r="N132" s="247"/>
      <c r="O132" s="248"/>
      <c r="P132" s="44"/>
      <c r="Q132" s="49"/>
      <c r="R132" s="12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4"/>
      <c r="AI132" s="44"/>
      <c r="AJ132" s="44"/>
    </row>
    <row r="133" spans="1:36" ht="27.6" x14ac:dyDescent="0.25">
      <c r="A133" s="96"/>
      <c r="B133" s="244" t="s">
        <v>810</v>
      </c>
      <c r="C133" s="245" t="s">
        <v>342</v>
      </c>
      <c r="D133" s="244" t="s">
        <v>44</v>
      </c>
      <c r="E133" s="244" t="s">
        <v>343</v>
      </c>
      <c r="F133" s="246" t="s">
        <v>45</v>
      </c>
      <c r="G133" s="259">
        <v>10.08</v>
      </c>
      <c r="H133" s="247"/>
      <c r="I133" s="247"/>
      <c r="J133" s="247"/>
      <c r="K133" s="247"/>
      <c r="L133" s="247"/>
      <c r="M133" s="247"/>
      <c r="N133" s="247"/>
      <c r="O133" s="248"/>
      <c r="P133" s="44"/>
      <c r="Q133" s="49"/>
      <c r="R133" s="12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4"/>
      <c r="AI133" s="44"/>
      <c r="AJ133" s="44"/>
    </row>
    <row r="134" spans="1:36" x14ac:dyDescent="0.25">
      <c r="A134" s="96"/>
      <c r="B134" s="240" t="s">
        <v>811</v>
      </c>
      <c r="C134" s="240"/>
      <c r="D134" s="240"/>
      <c r="E134" s="240" t="s">
        <v>812</v>
      </c>
      <c r="F134" s="240"/>
      <c r="G134" s="258"/>
      <c r="H134" s="241"/>
      <c r="I134" s="240"/>
      <c r="J134" s="240"/>
      <c r="K134" s="240"/>
      <c r="L134" s="240"/>
      <c r="M134" s="240"/>
      <c r="N134" s="242"/>
      <c r="O134" s="243"/>
      <c r="P134" s="44"/>
      <c r="Q134" s="49"/>
      <c r="R134" s="12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4"/>
      <c r="AI134" s="44"/>
      <c r="AJ134" s="44"/>
    </row>
    <row r="135" spans="1:36" ht="27.6" x14ac:dyDescent="0.25">
      <c r="A135" s="96"/>
      <c r="B135" s="244" t="s">
        <v>813</v>
      </c>
      <c r="C135" s="245" t="s">
        <v>346</v>
      </c>
      <c r="D135" s="244" t="s">
        <v>44</v>
      </c>
      <c r="E135" s="244" t="s">
        <v>347</v>
      </c>
      <c r="F135" s="246" t="s">
        <v>45</v>
      </c>
      <c r="G135" s="259">
        <v>23.44</v>
      </c>
      <c r="H135" s="247"/>
      <c r="I135" s="247"/>
      <c r="J135" s="247"/>
      <c r="K135" s="247"/>
      <c r="L135" s="247"/>
      <c r="M135" s="247"/>
      <c r="N135" s="247"/>
      <c r="O135" s="248"/>
      <c r="P135" s="44"/>
      <c r="Q135" s="49"/>
      <c r="R135" s="12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4"/>
      <c r="AI135" s="44"/>
      <c r="AJ135" s="44"/>
    </row>
    <row r="136" spans="1:36" ht="27.6" x14ac:dyDescent="0.25">
      <c r="A136" s="96"/>
      <c r="B136" s="244" t="s">
        <v>814</v>
      </c>
      <c r="C136" s="245" t="s">
        <v>348</v>
      </c>
      <c r="D136" s="244" t="s">
        <v>44</v>
      </c>
      <c r="E136" s="244" t="s">
        <v>349</v>
      </c>
      <c r="F136" s="246" t="s">
        <v>45</v>
      </c>
      <c r="G136" s="259">
        <v>5.5</v>
      </c>
      <c r="H136" s="247"/>
      <c r="I136" s="247"/>
      <c r="J136" s="247"/>
      <c r="K136" s="247"/>
      <c r="L136" s="247"/>
      <c r="M136" s="247"/>
      <c r="N136" s="247"/>
      <c r="O136" s="248"/>
      <c r="P136" s="44"/>
      <c r="Q136" s="49"/>
      <c r="R136" s="12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4"/>
      <c r="AI136" s="44"/>
      <c r="AJ136" s="44"/>
    </row>
    <row r="137" spans="1:36" x14ac:dyDescent="0.25">
      <c r="A137" s="96"/>
      <c r="B137" s="244" t="s">
        <v>815</v>
      </c>
      <c r="C137" s="245" t="s">
        <v>816</v>
      </c>
      <c r="D137" s="244" t="s">
        <v>65</v>
      </c>
      <c r="E137" s="244" t="s">
        <v>817</v>
      </c>
      <c r="F137" s="246" t="s">
        <v>45</v>
      </c>
      <c r="G137" s="259">
        <v>156.96</v>
      </c>
      <c r="H137" s="247"/>
      <c r="I137" s="247"/>
      <c r="J137" s="247"/>
      <c r="K137" s="247"/>
      <c r="L137" s="247"/>
      <c r="M137" s="247"/>
      <c r="N137" s="247"/>
      <c r="O137" s="248"/>
      <c r="P137" s="44"/>
      <c r="Q137" s="49"/>
      <c r="R137" s="12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4"/>
      <c r="AI137" s="44"/>
      <c r="AJ137" s="44"/>
    </row>
    <row r="138" spans="1:36" x14ac:dyDescent="0.25">
      <c r="A138" s="96"/>
      <c r="B138" s="244" t="s">
        <v>818</v>
      </c>
      <c r="C138" s="245" t="s">
        <v>2304</v>
      </c>
      <c r="D138" s="244" t="s">
        <v>182</v>
      </c>
      <c r="E138" s="244" t="s">
        <v>2305</v>
      </c>
      <c r="F138" s="246" t="s">
        <v>45</v>
      </c>
      <c r="G138" s="259">
        <v>3</v>
      </c>
      <c r="H138" s="247"/>
      <c r="I138" s="247"/>
      <c r="J138" s="247"/>
      <c r="K138" s="247"/>
      <c r="L138" s="247"/>
      <c r="M138" s="247"/>
      <c r="N138" s="247"/>
      <c r="O138" s="248"/>
      <c r="P138" s="44"/>
      <c r="Q138" s="49"/>
      <c r="R138" s="12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4"/>
      <c r="AI138" s="44"/>
      <c r="AJ138" s="44"/>
    </row>
    <row r="139" spans="1:36" x14ac:dyDescent="0.25">
      <c r="A139" s="96"/>
      <c r="B139" s="244" t="s">
        <v>819</v>
      </c>
      <c r="C139" s="245" t="s">
        <v>820</v>
      </c>
      <c r="D139" s="244" t="s">
        <v>65</v>
      </c>
      <c r="E139" s="244" t="s">
        <v>821</v>
      </c>
      <c r="F139" s="246" t="s">
        <v>45</v>
      </c>
      <c r="G139" s="259">
        <v>1.44</v>
      </c>
      <c r="H139" s="247"/>
      <c r="I139" s="247"/>
      <c r="J139" s="247"/>
      <c r="K139" s="247"/>
      <c r="L139" s="247"/>
      <c r="M139" s="247"/>
      <c r="N139" s="247"/>
      <c r="O139" s="248"/>
      <c r="P139" s="44"/>
      <c r="Q139" s="49"/>
      <c r="R139" s="12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4"/>
      <c r="AI139" s="44"/>
      <c r="AJ139" s="44"/>
    </row>
    <row r="140" spans="1:36" x14ac:dyDescent="0.25">
      <c r="A140" s="96"/>
      <c r="B140" s="240" t="s">
        <v>178</v>
      </c>
      <c r="C140" s="240"/>
      <c r="D140" s="240"/>
      <c r="E140" s="240" t="s">
        <v>822</v>
      </c>
      <c r="F140" s="240"/>
      <c r="G140" s="258"/>
      <c r="H140" s="241"/>
      <c r="I140" s="240"/>
      <c r="J140" s="240"/>
      <c r="K140" s="240"/>
      <c r="L140" s="240"/>
      <c r="M140" s="240"/>
      <c r="N140" s="242"/>
      <c r="O140" s="243"/>
      <c r="P140" s="44"/>
      <c r="Q140" s="49"/>
      <c r="R140" s="12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4"/>
      <c r="AI140" s="44"/>
      <c r="AJ140" s="44"/>
    </row>
    <row r="141" spans="1:36" x14ac:dyDescent="0.25">
      <c r="A141" s="96"/>
      <c r="B141" s="240" t="s">
        <v>823</v>
      </c>
      <c r="C141" s="240"/>
      <c r="D141" s="240"/>
      <c r="E141" s="240" t="s">
        <v>824</v>
      </c>
      <c r="F141" s="240"/>
      <c r="G141" s="258"/>
      <c r="H141" s="241"/>
      <c r="I141" s="240"/>
      <c r="J141" s="240"/>
      <c r="K141" s="240"/>
      <c r="L141" s="240"/>
      <c r="M141" s="240"/>
      <c r="N141" s="242"/>
      <c r="O141" s="243"/>
      <c r="P141" s="44"/>
      <c r="Q141" s="49"/>
      <c r="R141" s="12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4"/>
      <c r="AI141" s="44"/>
      <c r="AJ141" s="44"/>
    </row>
    <row r="142" spans="1:36" ht="27.6" x14ac:dyDescent="0.25">
      <c r="A142" s="96"/>
      <c r="B142" s="244" t="s">
        <v>825</v>
      </c>
      <c r="C142" s="245" t="s">
        <v>335</v>
      </c>
      <c r="D142" s="244" t="s">
        <v>182</v>
      </c>
      <c r="E142" s="244" t="s">
        <v>336</v>
      </c>
      <c r="F142" s="246" t="s">
        <v>45</v>
      </c>
      <c r="G142" s="259">
        <v>13.86</v>
      </c>
      <c r="H142" s="247"/>
      <c r="I142" s="247"/>
      <c r="J142" s="247"/>
      <c r="K142" s="247"/>
      <c r="L142" s="247"/>
      <c r="M142" s="247"/>
      <c r="N142" s="247"/>
      <c r="O142" s="248"/>
      <c r="P142" s="44"/>
      <c r="Q142" s="49"/>
      <c r="R142" s="12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4"/>
      <c r="AI142" s="44"/>
      <c r="AJ142" s="44"/>
    </row>
    <row r="143" spans="1:36" x14ac:dyDescent="0.25">
      <c r="A143" s="96"/>
      <c r="B143" s="240" t="s">
        <v>179</v>
      </c>
      <c r="C143" s="240"/>
      <c r="D143" s="240"/>
      <c r="E143" s="240" t="s">
        <v>826</v>
      </c>
      <c r="F143" s="240"/>
      <c r="G143" s="258"/>
      <c r="H143" s="241"/>
      <c r="I143" s="240"/>
      <c r="J143" s="240"/>
      <c r="K143" s="240"/>
      <c r="L143" s="240"/>
      <c r="M143" s="240"/>
      <c r="N143" s="242"/>
      <c r="O143" s="243"/>
      <c r="P143" s="44"/>
      <c r="Q143" s="49"/>
      <c r="R143" s="12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4"/>
      <c r="AI143" s="44"/>
      <c r="AJ143" s="44"/>
    </row>
    <row r="144" spans="1:36" x14ac:dyDescent="0.25">
      <c r="A144" s="96"/>
      <c r="B144" s="240" t="s">
        <v>827</v>
      </c>
      <c r="C144" s="240"/>
      <c r="D144" s="240"/>
      <c r="E144" s="240" t="s">
        <v>828</v>
      </c>
      <c r="F144" s="240"/>
      <c r="G144" s="258"/>
      <c r="H144" s="241"/>
      <c r="I144" s="240"/>
      <c r="J144" s="240"/>
      <c r="K144" s="240"/>
      <c r="L144" s="240"/>
      <c r="M144" s="240"/>
      <c r="N144" s="242"/>
      <c r="O144" s="243"/>
      <c r="P144" s="44"/>
      <c r="Q144" s="49"/>
      <c r="R144" s="12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4"/>
      <c r="AI144" s="44"/>
      <c r="AJ144" s="44"/>
    </row>
    <row r="145" spans="1:36" ht="41.4" x14ac:dyDescent="0.25">
      <c r="A145" s="96"/>
      <c r="B145" s="244" t="s">
        <v>829</v>
      </c>
      <c r="C145" s="245" t="s">
        <v>830</v>
      </c>
      <c r="D145" s="244" t="s">
        <v>182</v>
      </c>
      <c r="E145" s="244" t="s">
        <v>831</v>
      </c>
      <c r="F145" s="246" t="s">
        <v>45</v>
      </c>
      <c r="G145" s="259">
        <v>3.99</v>
      </c>
      <c r="H145" s="247"/>
      <c r="I145" s="247"/>
      <c r="J145" s="247"/>
      <c r="K145" s="247"/>
      <c r="L145" s="247"/>
      <c r="M145" s="247"/>
      <c r="N145" s="247"/>
      <c r="O145" s="248"/>
      <c r="P145" s="44"/>
      <c r="Q145" s="49"/>
      <c r="R145" s="12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4"/>
      <c r="AI145" s="44"/>
      <c r="AJ145" s="44"/>
    </row>
    <row r="146" spans="1:36" x14ac:dyDescent="0.25">
      <c r="A146" s="96"/>
      <c r="B146" s="240" t="s">
        <v>180</v>
      </c>
      <c r="C146" s="240"/>
      <c r="D146" s="240"/>
      <c r="E146" s="240" t="s">
        <v>832</v>
      </c>
      <c r="F146" s="240"/>
      <c r="G146" s="258"/>
      <c r="H146" s="241"/>
      <c r="I146" s="240"/>
      <c r="J146" s="240"/>
      <c r="K146" s="240"/>
      <c r="L146" s="240"/>
      <c r="M146" s="240"/>
      <c r="N146" s="242"/>
      <c r="O146" s="243"/>
      <c r="P146" s="44"/>
      <c r="Q146" s="49"/>
      <c r="R146" s="12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4"/>
      <c r="AI146" s="44"/>
      <c r="AJ146" s="44"/>
    </row>
    <row r="147" spans="1:36" x14ac:dyDescent="0.25">
      <c r="A147" s="96"/>
      <c r="B147" s="244" t="s">
        <v>833</v>
      </c>
      <c r="C147" s="245" t="s">
        <v>371</v>
      </c>
      <c r="D147" s="244" t="s">
        <v>182</v>
      </c>
      <c r="E147" s="244" t="s">
        <v>372</v>
      </c>
      <c r="F147" s="246" t="s">
        <v>213</v>
      </c>
      <c r="G147" s="259">
        <v>32</v>
      </c>
      <c r="H147" s="247"/>
      <c r="I147" s="247"/>
      <c r="J147" s="247"/>
      <c r="K147" s="247"/>
      <c r="L147" s="247"/>
      <c r="M147" s="247"/>
      <c r="N147" s="247"/>
      <c r="O147" s="248"/>
      <c r="P147" s="44"/>
      <c r="Q147" s="49"/>
      <c r="R147" s="12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4"/>
      <c r="AI147" s="44"/>
      <c r="AJ147" s="44"/>
    </row>
    <row r="148" spans="1:36" x14ac:dyDescent="0.25">
      <c r="A148" s="96"/>
      <c r="B148" s="244" t="s">
        <v>834</v>
      </c>
      <c r="C148" s="245" t="s">
        <v>344</v>
      </c>
      <c r="D148" s="244" t="s">
        <v>44</v>
      </c>
      <c r="E148" s="244" t="s">
        <v>345</v>
      </c>
      <c r="F148" s="246" t="s">
        <v>55</v>
      </c>
      <c r="G148" s="259">
        <v>3</v>
      </c>
      <c r="H148" s="247"/>
      <c r="I148" s="247"/>
      <c r="J148" s="247"/>
      <c r="K148" s="247"/>
      <c r="L148" s="247"/>
      <c r="M148" s="247"/>
      <c r="N148" s="247"/>
      <c r="O148" s="248"/>
      <c r="P148" s="44"/>
      <c r="Q148" s="49"/>
      <c r="R148" s="12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4"/>
      <c r="AI148" s="44"/>
      <c r="AJ148" s="44"/>
    </row>
    <row r="149" spans="1:36" x14ac:dyDescent="0.25">
      <c r="A149" s="96"/>
      <c r="B149" s="244" t="s">
        <v>835</v>
      </c>
      <c r="C149" s="245" t="s">
        <v>836</v>
      </c>
      <c r="D149" s="244" t="s">
        <v>263</v>
      </c>
      <c r="E149" s="244" t="s">
        <v>1885</v>
      </c>
      <c r="F149" s="246" t="s">
        <v>213</v>
      </c>
      <c r="G149" s="259">
        <v>3</v>
      </c>
      <c r="H149" s="247"/>
      <c r="I149" s="247"/>
      <c r="J149" s="247"/>
      <c r="K149" s="247"/>
      <c r="L149" s="247"/>
      <c r="M149" s="247"/>
      <c r="N149" s="247"/>
      <c r="O149" s="248"/>
      <c r="P149" s="44"/>
      <c r="Q149" s="49"/>
      <c r="R149" s="12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4"/>
      <c r="AI149" s="44"/>
      <c r="AJ149" s="44"/>
    </row>
    <row r="150" spans="1:36" x14ac:dyDescent="0.25">
      <c r="A150" s="96"/>
      <c r="B150" s="244" t="s">
        <v>837</v>
      </c>
      <c r="C150" s="245" t="s">
        <v>838</v>
      </c>
      <c r="D150" s="244" t="s">
        <v>44</v>
      </c>
      <c r="E150" s="244" t="s">
        <v>839</v>
      </c>
      <c r="F150" s="246" t="s">
        <v>55</v>
      </c>
      <c r="G150" s="259">
        <v>42</v>
      </c>
      <c r="H150" s="247"/>
      <c r="I150" s="247"/>
      <c r="J150" s="247"/>
      <c r="K150" s="247"/>
      <c r="L150" s="247"/>
      <c r="M150" s="247"/>
      <c r="N150" s="247"/>
      <c r="O150" s="248"/>
      <c r="P150" s="44"/>
      <c r="Q150" s="49"/>
      <c r="R150" s="12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4"/>
      <c r="AI150" s="44"/>
      <c r="AJ150" s="44"/>
    </row>
    <row r="151" spans="1:36" x14ac:dyDescent="0.25">
      <c r="A151" s="96"/>
      <c r="B151" s="244" t="s">
        <v>840</v>
      </c>
      <c r="C151" s="245" t="s">
        <v>841</v>
      </c>
      <c r="D151" s="244" t="s">
        <v>263</v>
      </c>
      <c r="E151" s="244" t="s">
        <v>1886</v>
      </c>
      <c r="F151" s="246" t="s">
        <v>45</v>
      </c>
      <c r="G151" s="259">
        <v>158.4</v>
      </c>
      <c r="H151" s="247"/>
      <c r="I151" s="247"/>
      <c r="J151" s="247"/>
      <c r="K151" s="247"/>
      <c r="L151" s="247"/>
      <c r="M151" s="247"/>
      <c r="N151" s="247"/>
      <c r="O151" s="248"/>
      <c r="P151" s="44"/>
      <c r="Q151" s="49"/>
      <c r="R151" s="12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4"/>
      <c r="AI151" s="44"/>
      <c r="AJ151" s="44"/>
    </row>
    <row r="152" spans="1:36" ht="27.6" x14ac:dyDescent="0.25">
      <c r="A152" s="96"/>
      <c r="B152" s="244" t="s">
        <v>842</v>
      </c>
      <c r="C152" s="245" t="s">
        <v>844</v>
      </c>
      <c r="D152" s="244" t="s">
        <v>44</v>
      </c>
      <c r="E152" s="244" t="s">
        <v>845</v>
      </c>
      <c r="F152" s="246" t="s">
        <v>55</v>
      </c>
      <c r="G152" s="259">
        <v>39</v>
      </c>
      <c r="H152" s="247"/>
      <c r="I152" s="247"/>
      <c r="J152" s="247"/>
      <c r="K152" s="247"/>
      <c r="L152" s="247"/>
      <c r="M152" s="247"/>
      <c r="N152" s="247"/>
      <c r="O152" s="248"/>
      <c r="P152" s="44"/>
      <c r="Q152" s="49"/>
      <c r="R152" s="12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4"/>
      <c r="AI152" s="44"/>
      <c r="AJ152" s="44"/>
    </row>
    <row r="153" spans="1:36" ht="27.6" x14ac:dyDescent="0.25">
      <c r="A153" s="96"/>
      <c r="B153" s="244" t="s">
        <v>843</v>
      </c>
      <c r="C153" s="245" t="s">
        <v>847</v>
      </c>
      <c r="D153" s="244" t="s">
        <v>44</v>
      </c>
      <c r="E153" s="244" t="s">
        <v>848</v>
      </c>
      <c r="F153" s="246" t="s">
        <v>55</v>
      </c>
      <c r="G153" s="259">
        <v>76</v>
      </c>
      <c r="H153" s="247"/>
      <c r="I153" s="247"/>
      <c r="J153" s="247"/>
      <c r="K153" s="247"/>
      <c r="L153" s="247"/>
      <c r="M153" s="247"/>
      <c r="N153" s="247"/>
      <c r="O153" s="248"/>
      <c r="P153" s="44"/>
      <c r="Q153" s="49"/>
      <c r="R153" s="12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4"/>
      <c r="AI153" s="44"/>
      <c r="AJ153" s="44"/>
    </row>
    <row r="154" spans="1:36" ht="27.6" x14ac:dyDescent="0.25">
      <c r="A154" s="96"/>
      <c r="B154" s="244" t="s">
        <v>846</v>
      </c>
      <c r="C154" s="245" t="s">
        <v>850</v>
      </c>
      <c r="D154" s="244" t="s">
        <v>182</v>
      </c>
      <c r="E154" s="244" t="s">
        <v>851</v>
      </c>
      <c r="F154" s="246" t="s">
        <v>213</v>
      </c>
      <c r="G154" s="259">
        <v>1</v>
      </c>
      <c r="H154" s="247"/>
      <c r="I154" s="247"/>
      <c r="J154" s="247"/>
      <c r="K154" s="247"/>
      <c r="L154" s="247"/>
      <c r="M154" s="247"/>
      <c r="N154" s="247"/>
      <c r="O154" s="248"/>
      <c r="P154" s="44"/>
      <c r="Q154" s="49"/>
      <c r="R154" s="12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4"/>
      <c r="AI154" s="44"/>
      <c r="AJ154" s="44"/>
    </row>
    <row r="155" spans="1:36" x14ac:dyDescent="0.25">
      <c r="A155" s="96"/>
      <c r="B155" s="244" t="s">
        <v>849</v>
      </c>
      <c r="C155" s="245" t="s">
        <v>853</v>
      </c>
      <c r="D155" s="244" t="s">
        <v>65</v>
      </c>
      <c r="E155" s="244" t="s">
        <v>854</v>
      </c>
      <c r="F155" s="246" t="s">
        <v>71</v>
      </c>
      <c r="G155" s="259">
        <v>195.6</v>
      </c>
      <c r="H155" s="247"/>
      <c r="I155" s="247"/>
      <c r="J155" s="247"/>
      <c r="K155" s="247"/>
      <c r="L155" s="247"/>
      <c r="M155" s="247"/>
      <c r="N155" s="247"/>
      <c r="O155" s="248"/>
      <c r="P155" s="44"/>
      <c r="Q155" s="49"/>
      <c r="R155" s="12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4"/>
      <c r="AI155" s="44"/>
      <c r="AJ155" s="44"/>
    </row>
    <row r="156" spans="1:36" ht="27.6" x14ac:dyDescent="0.25">
      <c r="A156" s="96"/>
      <c r="B156" s="244" t="s">
        <v>852</v>
      </c>
      <c r="C156" s="245" t="s">
        <v>855</v>
      </c>
      <c r="D156" s="244" t="s">
        <v>44</v>
      </c>
      <c r="E156" s="244" t="s">
        <v>856</v>
      </c>
      <c r="F156" s="246" t="s">
        <v>71</v>
      </c>
      <c r="G156" s="259">
        <v>951.6</v>
      </c>
      <c r="H156" s="247"/>
      <c r="I156" s="247"/>
      <c r="J156" s="247"/>
      <c r="K156" s="247"/>
      <c r="L156" s="247"/>
      <c r="M156" s="247"/>
      <c r="N156" s="247"/>
      <c r="O156" s="248"/>
      <c r="P156" s="44"/>
      <c r="Q156" s="49"/>
      <c r="R156" s="12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4"/>
      <c r="AI156" s="44"/>
      <c r="AJ156" s="44"/>
    </row>
    <row r="157" spans="1:36" x14ac:dyDescent="0.25">
      <c r="A157" s="96"/>
      <c r="B157" s="240">
        <v>6</v>
      </c>
      <c r="C157" s="240"/>
      <c r="D157" s="240"/>
      <c r="E157" s="240" t="s">
        <v>184</v>
      </c>
      <c r="F157" s="240"/>
      <c r="G157" s="258"/>
      <c r="H157" s="241"/>
      <c r="I157" s="240"/>
      <c r="J157" s="240"/>
      <c r="K157" s="240"/>
      <c r="L157" s="240"/>
      <c r="M157" s="240"/>
      <c r="N157" s="242"/>
      <c r="O157" s="243"/>
      <c r="P157" s="44"/>
      <c r="Q157" s="49"/>
      <c r="R157" s="12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4"/>
      <c r="AI157" s="44"/>
      <c r="AJ157" s="44"/>
    </row>
    <row r="158" spans="1:36" x14ac:dyDescent="0.25">
      <c r="A158" s="96"/>
      <c r="B158" s="240" t="s">
        <v>185</v>
      </c>
      <c r="C158" s="240"/>
      <c r="D158" s="240"/>
      <c r="E158" s="240" t="s">
        <v>104</v>
      </c>
      <c r="F158" s="240"/>
      <c r="G158" s="258"/>
      <c r="H158" s="241"/>
      <c r="I158" s="240"/>
      <c r="J158" s="240"/>
      <c r="K158" s="240"/>
      <c r="L158" s="240"/>
      <c r="M158" s="240"/>
      <c r="N158" s="242"/>
      <c r="O158" s="243"/>
      <c r="P158" s="44"/>
      <c r="Q158" s="49"/>
      <c r="R158" s="12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4"/>
      <c r="AI158" s="44"/>
      <c r="AJ158" s="44"/>
    </row>
    <row r="159" spans="1:36" ht="41.4" x14ac:dyDescent="0.25">
      <c r="A159" s="96"/>
      <c r="B159" s="244" t="s">
        <v>857</v>
      </c>
      <c r="C159" s="245" t="s">
        <v>189</v>
      </c>
      <c r="D159" s="244" t="s">
        <v>44</v>
      </c>
      <c r="E159" s="244" t="s">
        <v>190</v>
      </c>
      <c r="F159" s="246" t="s">
        <v>45</v>
      </c>
      <c r="G159" s="259">
        <v>2577.62</v>
      </c>
      <c r="H159" s="247"/>
      <c r="I159" s="247"/>
      <c r="J159" s="247"/>
      <c r="K159" s="247"/>
      <c r="L159" s="247"/>
      <c r="M159" s="247"/>
      <c r="N159" s="247"/>
      <c r="O159" s="248"/>
      <c r="P159" s="44"/>
      <c r="Q159" s="49"/>
      <c r="R159" s="86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4"/>
      <c r="AI159" s="44"/>
      <c r="AJ159" s="44"/>
    </row>
    <row r="160" spans="1:36" ht="41.4" x14ac:dyDescent="0.25">
      <c r="A160" s="96"/>
      <c r="B160" s="244" t="s">
        <v>858</v>
      </c>
      <c r="C160" s="245" t="s">
        <v>192</v>
      </c>
      <c r="D160" s="244" t="s">
        <v>44</v>
      </c>
      <c r="E160" s="244" t="s">
        <v>193</v>
      </c>
      <c r="F160" s="246" t="s">
        <v>45</v>
      </c>
      <c r="G160" s="259">
        <v>2577.62</v>
      </c>
      <c r="H160" s="247"/>
      <c r="I160" s="247"/>
      <c r="J160" s="247"/>
      <c r="K160" s="247"/>
      <c r="L160" s="247"/>
      <c r="M160" s="247"/>
      <c r="N160" s="247"/>
      <c r="O160" s="248"/>
      <c r="P160" s="44"/>
      <c r="Q160" s="49"/>
      <c r="R160" s="86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4"/>
      <c r="AI160" s="44"/>
      <c r="AJ160" s="44"/>
    </row>
    <row r="161" spans="1:36" x14ac:dyDescent="0.25">
      <c r="A161" s="96"/>
      <c r="B161" s="240" t="s">
        <v>188</v>
      </c>
      <c r="C161" s="240"/>
      <c r="D161" s="240"/>
      <c r="E161" s="240" t="s">
        <v>859</v>
      </c>
      <c r="F161" s="240"/>
      <c r="G161" s="258"/>
      <c r="H161" s="241"/>
      <c r="I161" s="240"/>
      <c r="J161" s="240"/>
      <c r="K161" s="240"/>
      <c r="L161" s="240"/>
      <c r="M161" s="240"/>
      <c r="N161" s="242"/>
      <c r="O161" s="243"/>
      <c r="P161" s="44"/>
      <c r="Q161" s="49"/>
      <c r="R161" s="86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4"/>
      <c r="AI161" s="44"/>
      <c r="AJ161" s="44"/>
    </row>
    <row r="162" spans="1:36" ht="41.4" x14ac:dyDescent="0.25">
      <c r="A162" s="96"/>
      <c r="B162" s="244" t="s">
        <v>860</v>
      </c>
      <c r="C162" s="245" t="s">
        <v>186</v>
      </c>
      <c r="D162" s="244" t="s">
        <v>44</v>
      </c>
      <c r="E162" s="244" t="s">
        <v>187</v>
      </c>
      <c r="F162" s="246" t="s">
        <v>45</v>
      </c>
      <c r="G162" s="259">
        <v>75.099999999999994</v>
      </c>
      <c r="H162" s="247"/>
      <c r="I162" s="247"/>
      <c r="J162" s="247"/>
      <c r="K162" s="247"/>
      <c r="L162" s="247"/>
      <c r="M162" s="247"/>
      <c r="N162" s="247"/>
      <c r="O162" s="248"/>
      <c r="P162" s="44"/>
      <c r="Q162" s="49"/>
      <c r="R162" s="86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4"/>
      <c r="AI162" s="44"/>
      <c r="AJ162" s="44"/>
    </row>
    <row r="163" spans="1:36" x14ac:dyDescent="0.25">
      <c r="A163" s="96"/>
      <c r="B163" s="244" t="s">
        <v>861</v>
      </c>
      <c r="C163" s="245" t="s">
        <v>2306</v>
      </c>
      <c r="D163" s="244" t="s">
        <v>182</v>
      </c>
      <c r="E163" s="244" t="s">
        <v>2307</v>
      </c>
      <c r="F163" s="246" t="s">
        <v>45</v>
      </c>
      <c r="G163" s="259">
        <v>2502.52</v>
      </c>
      <c r="H163" s="247"/>
      <c r="I163" s="247"/>
      <c r="J163" s="247"/>
      <c r="K163" s="247"/>
      <c r="L163" s="247"/>
      <c r="M163" s="247"/>
      <c r="N163" s="247"/>
      <c r="O163" s="248"/>
      <c r="P163" s="44"/>
      <c r="Q163" s="49"/>
      <c r="R163" s="86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4"/>
      <c r="AI163" s="44"/>
      <c r="AJ163" s="44"/>
    </row>
    <row r="164" spans="1:36" ht="41.4" x14ac:dyDescent="0.25">
      <c r="A164" s="96"/>
      <c r="B164" s="244" t="s">
        <v>862</v>
      </c>
      <c r="C164" s="245" t="s">
        <v>863</v>
      </c>
      <c r="D164" s="244" t="s">
        <v>864</v>
      </c>
      <c r="E164" s="244" t="s">
        <v>865</v>
      </c>
      <c r="F164" s="246" t="s">
        <v>45</v>
      </c>
      <c r="G164" s="259">
        <v>130.84</v>
      </c>
      <c r="H164" s="247"/>
      <c r="I164" s="247"/>
      <c r="J164" s="247"/>
      <c r="K164" s="247"/>
      <c r="L164" s="247"/>
      <c r="M164" s="247"/>
      <c r="N164" s="247"/>
      <c r="O164" s="248"/>
      <c r="P164" s="44"/>
      <c r="Q164" s="49"/>
      <c r="R164" s="86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4"/>
      <c r="AI164" s="44"/>
      <c r="AJ164" s="44"/>
    </row>
    <row r="165" spans="1:36" x14ac:dyDescent="0.25">
      <c r="A165" s="96"/>
      <c r="B165" s="240" t="s">
        <v>191</v>
      </c>
      <c r="C165" s="240"/>
      <c r="D165" s="240"/>
      <c r="E165" s="240" t="s">
        <v>866</v>
      </c>
      <c r="F165" s="240"/>
      <c r="G165" s="258"/>
      <c r="H165" s="241"/>
      <c r="I165" s="240"/>
      <c r="J165" s="240"/>
      <c r="K165" s="240"/>
      <c r="L165" s="240"/>
      <c r="M165" s="240"/>
      <c r="N165" s="242"/>
      <c r="O165" s="243"/>
      <c r="P165" s="44"/>
      <c r="Q165" s="49"/>
      <c r="R165" s="86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4"/>
      <c r="AI165" s="44"/>
      <c r="AJ165" s="44"/>
    </row>
    <row r="166" spans="1:36" ht="27.6" x14ac:dyDescent="0.25">
      <c r="A166" s="96"/>
      <c r="B166" s="244" t="s">
        <v>867</v>
      </c>
      <c r="C166" s="245" t="s">
        <v>196</v>
      </c>
      <c r="D166" s="244" t="s">
        <v>44</v>
      </c>
      <c r="E166" s="244" t="s">
        <v>197</v>
      </c>
      <c r="F166" s="246" t="s">
        <v>71</v>
      </c>
      <c r="G166" s="259">
        <v>352.56</v>
      </c>
      <c r="H166" s="247"/>
      <c r="I166" s="247"/>
      <c r="J166" s="247"/>
      <c r="K166" s="247"/>
      <c r="L166" s="247"/>
      <c r="M166" s="247"/>
      <c r="N166" s="247"/>
      <c r="O166" s="248"/>
      <c r="P166" s="44"/>
      <c r="Q166" s="49"/>
      <c r="R166" s="86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4"/>
      <c r="AI166" s="44"/>
      <c r="AJ166" s="44"/>
    </row>
    <row r="167" spans="1:36" ht="27.6" x14ac:dyDescent="0.25">
      <c r="A167" s="96"/>
      <c r="B167" s="244" t="s">
        <v>868</v>
      </c>
      <c r="C167" s="245" t="s">
        <v>194</v>
      </c>
      <c r="D167" s="244" t="s">
        <v>44</v>
      </c>
      <c r="E167" s="244" t="s">
        <v>195</v>
      </c>
      <c r="F167" s="246" t="s">
        <v>71</v>
      </c>
      <c r="G167" s="259">
        <v>429.3</v>
      </c>
      <c r="H167" s="247"/>
      <c r="I167" s="247"/>
      <c r="J167" s="247"/>
      <c r="K167" s="247"/>
      <c r="L167" s="247"/>
      <c r="M167" s="247"/>
      <c r="N167" s="247"/>
      <c r="O167" s="248"/>
      <c r="P167" s="44"/>
      <c r="Q167" s="49"/>
      <c r="R167" s="86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4"/>
      <c r="AI167" s="44"/>
      <c r="AJ167" s="44"/>
    </row>
    <row r="168" spans="1:36" x14ac:dyDescent="0.25">
      <c r="A168" s="96"/>
      <c r="B168" s="244" t="s">
        <v>1887</v>
      </c>
      <c r="C168" s="245" t="s">
        <v>869</v>
      </c>
      <c r="D168" s="244" t="s">
        <v>182</v>
      </c>
      <c r="E168" s="244" t="s">
        <v>870</v>
      </c>
      <c r="F168" s="246" t="s">
        <v>324</v>
      </c>
      <c r="G168" s="259">
        <v>116.54</v>
      </c>
      <c r="H168" s="247"/>
      <c r="I168" s="247"/>
      <c r="J168" s="247"/>
      <c r="K168" s="247"/>
      <c r="L168" s="247"/>
      <c r="M168" s="247"/>
      <c r="N168" s="247"/>
      <c r="O168" s="248"/>
      <c r="P168" s="44"/>
      <c r="Q168" s="49"/>
      <c r="R168" s="86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4"/>
      <c r="AI168" s="44"/>
      <c r="AJ168" s="44"/>
    </row>
    <row r="169" spans="1:36" x14ac:dyDescent="0.25">
      <c r="A169" s="96"/>
      <c r="B169" s="240">
        <v>7</v>
      </c>
      <c r="C169" s="240"/>
      <c r="D169" s="240"/>
      <c r="E169" s="240" t="s">
        <v>871</v>
      </c>
      <c r="F169" s="240"/>
      <c r="G169" s="258"/>
      <c r="H169" s="241"/>
      <c r="I169" s="240"/>
      <c r="J169" s="240"/>
      <c r="K169" s="240"/>
      <c r="L169" s="240"/>
      <c r="M169" s="240"/>
      <c r="N169" s="242"/>
      <c r="O169" s="243"/>
      <c r="P169" s="44"/>
      <c r="Q169" s="49"/>
      <c r="R169" s="86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4"/>
      <c r="AI169" s="44"/>
      <c r="AJ169" s="44"/>
    </row>
    <row r="170" spans="1:36" ht="27.6" x14ac:dyDescent="0.25">
      <c r="A170" s="96"/>
      <c r="B170" s="244" t="s">
        <v>202</v>
      </c>
      <c r="C170" s="245" t="s">
        <v>198</v>
      </c>
      <c r="D170" s="244" t="s">
        <v>44</v>
      </c>
      <c r="E170" s="244" t="s">
        <v>199</v>
      </c>
      <c r="F170" s="246" t="s">
        <v>45</v>
      </c>
      <c r="G170" s="259">
        <v>1179.3499999999999</v>
      </c>
      <c r="H170" s="247"/>
      <c r="I170" s="247"/>
      <c r="J170" s="247"/>
      <c r="K170" s="247"/>
      <c r="L170" s="247"/>
      <c r="M170" s="247"/>
      <c r="N170" s="247"/>
      <c r="O170" s="248"/>
      <c r="P170" s="44"/>
      <c r="Q170" s="49"/>
      <c r="R170" s="86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4"/>
      <c r="AI170" s="44"/>
      <c r="AJ170" s="44"/>
    </row>
    <row r="171" spans="1:36" ht="27.6" x14ac:dyDescent="0.25">
      <c r="A171" s="96"/>
      <c r="B171" s="244" t="s">
        <v>227</v>
      </c>
      <c r="C171" s="245" t="s">
        <v>200</v>
      </c>
      <c r="D171" s="244" t="s">
        <v>44</v>
      </c>
      <c r="E171" s="244" t="s">
        <v>201</v>
      </c>
      <c r="F171" s="246" t="s">
        <v>45</v>
      </c>
      <c r="G171" s="259">
        <v>972.93</v>
      </c>
      <c r="H171" s="247"/>
      <c r="I171" s="247"/>
      <c r="J171" s="247"/>
      <c r="K171" s="247"/>
      <c r="L171" s="247"/>
      <c r="M171" s="247"/>
      <c r="N171" s="247"/>
      <c r="O171" s="248"/>
      <c r="P171" s="44"/>
      <c r="Q171" s="49"/>
      <c r="R171" s="86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4"/>
      <c r="AI171" s="44"/>
      <c r="AJ171" s="44"/>
    </row>
    <row r="172" spans="1:36" ht="27.6" x14ac:dyDescent="0.25">
      <c r="A172" s="96"/>
      <c r="B172" s="244" t="s">
        <v>255</v>
      </c>
      <c r="C172" s="245" t="s">
        <v>872</v>
      </c>
      <c r="D172" s="244" t="s">
        <v>44</v>
      </c>
      <c r="E172" s="244" t="s">
        <v>873</v>
      </c>
      <c r="F172" s="246" t="s">
        <v>45</v>
      </c>
      <c r="G172" s="259">
        <v>475.82</v>
      </c>
      <c r="H172" s="247"/>
      <c r="I172" s="247"/>
      <c r="J172" s="247"/>
      <c r="K172" s="247"/>
      <c r="L172" s="247"/>
      <c r="M172" s="247"/>
      <c r="N172" s="247"/>
      <c r="O172" s="248"/>
      <c r="P172" s="44"/>
      <c r="Q172" s="49"/>
      <c r="R172" s="86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4"/>
      <c r="AI172" s="44"/>
      <c r="AJ172" s="44"/>
    </row>
    <row r="173" spans="1:36" x14ac:dyDescent="0.25">
      <c r="A173" s="96"/>
      <c r="B173" s="240">
        <v>8</v>
      </c>
      <c r="C173" s="240"/>
      <c r="D173" s="240"/>
      <c r="E173" s="240" t="s">
        <v>874</v>
      </c>
      <c r="F173" s="240"/>
      <c r="G173" s="258"/>
      <c r="H173" s="241"/>
      <c r="I173" s="240"/>
      <c r="J173" s="240"/>
      <c r="K173" s="240"/>
      <c r="L173" s="240"/>
      <c r="M173" s="240"/>
      <c r="N173" s="242"/>
      <c r="O173" s="243"/>
      <c r="P173" s="44"/>
      <c r="Q173" s="49"/>
      <c r="R173" s="86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4"/>
      <c r="AI173" s="44"/>
      <c r="AJ173" s="44"/>
    </row>
    <row r="174" spans="1:36" x14ac:dyDescent="0.25">
      <c r="A174" s="96"/>
      <c r="B174" s="240" t="s">
        <v>270</v>
      </c>
      <c r="C174" s="240"/>
      <c r="D174" s="240"/>
      <c r="E174" s="240" t="s">
        <v>171</v>
      </c>
      <c r="F174" s="240"/>
      <c r="G174" s="258"/>
      <c r="H174" s="241"/>
      <c r="I174" s="240"/>
      <c r="J174" s="240"/>
      <c r="K174" s="240"/>
      <c r="L174" s="240"/>
      <c r="M174" s="240"/>
      <c r="N174" s="242"/>
      <c r="O174" s="243"/>
      <c r="P174" s="44"/>
      <c r="Q174" s="49"/>
      <c r="R174" s="12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4"/>
      <c r="AI174" s="44"/>
      <c r="AJ174" s="44"/>
    </row>
    <row r="175" spans="1:36" ht="41.4" x14ac:dyDescent="0.25">
      <c r="A175" s="96"/>
      <c r="B175" s="244" t="s">
        <v>875</v>
      </c>
      <c r="C175" s="245" t="s">
        <v>173</v>
      </c>
      <c r="D175" s="244" t="s">
        <v>44</v>
      </c>
      <c r="E175" s="244" t="s">
        <v>174</v>
      </c>
      <c r="F175" s="246" t="s">
        <v>45</v>
      </c>
      <c r="G175" s="259">
        <v>7666.9</v>
      </c>
      <c r="H175" s="247"/>
      <c r="I175" s="247"/>
      <c r="J175" s="247"/>
      <c r="K175" s="247"/>
      <c r="L175" s="247"/>
      <c r="M175" s="247"/>
      <c r="N175" s="247"/>
      <c r="O175" s="248"/>
      <c r="P175" s="44"/>
      <c r="Q175" s="49"/>
      <c r="R175" s="86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4"/>
      <c r="AI175" s="44"/>
      <c r="AJ175" s="44"/>
    </row>
    <row r="176" spans="1:36" ht="41.4" x14ac:dyDescent="0.25">
      <c r="A176" s="96"/>
      <c r="B176" s="244" t="s">
        <v>876</v>
      </c>
      <c r="C176" s="245" t="s">
        <v>176</v>
      </c>
      <c r="D176" s="244" t="s">
        <v>44</v>
      </c>
      <c r="E176" s="244" t="s">
        <v>177</v>
      </c>
      <c r="F176" s="246" t="s">
        <v>45</v>
      </c>
      <c r="G176" s="259">
        <v>7666.9</v>
      </c>
      <c r="H176" s="247"/>
      <c r="I176" s="247"/>
      <c r="J176" s="247"/>
      <c r="K176" s="247"/>
      <c r="L176" s="247"/>
      <c r="M176" s="247"/>
      <c r="N176" s="247"/>
      <c r="O176" s="248"/>
      <c r="P176" s="44"/>
      <c r="Q176" s="49"/>
      <c r="R176" s="86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4"/>
      <c r="AI176" s="44"/>
      <c r="AJ176" s="44"/>
    </row>
    <row r="177" spans="1:36" x14ac:dyDescent="0.25">
      <c r="A177" s="96"/>
      <c r="B177" s="244" t="s">
        <v>877</v>
      </c>
      <c r="C177" s="245" t="s">
        <v>878</v>
      </c>
      <c r="D177" s="244" t="s">
        <v>182</v>
      </c>
      <c r="E177" s="244" t="s">
        <v>879</v>
      </c>
      <c r="F177" s="246" t="s">
        <v>45</v>
      </c>
      <c r="G177" s="259">
        <v>232.19</v>
      </c>
      <c r="H177" s="247"/>
      <c r="I177" s="247"/>
      <c r="J177" s="247"/>
      <c r="K177" s="247"/>
      <c r="L177" s="247"/>
      <c r="M177" s="247"/>
      <c r="N177" s="247"/>
      <c r="O177" s="248"/>
      <c r="P177" s="44"/>
      <c r="Q177" s="49"/>
      <c r="R177" s="86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4"/>
      <c r="AI177" s="44"/>
      <c r="AJ177" s="44"/>
    </row>
    <row r="178" spans="1:36" x14ac:dyDescent="0.25">
      <c r="A178" s="96"/>
      <c r="B178" s="240" t="s">
        <v>271</v>
      </c>
      <c r="C178" s="240"/>
      <c r="D178" s="240"/>
      <c r="E178" s="240" t="s">
        <v>880</v>
      </c>
      <c r="F178" s="240"/>
      <c r="G178" s="258"/>
      <c r="H178" s="241"/>
      <c r="I178" s="240"/>
      <c r="J178" s="240"/>
      <c r="K178" s="240"/>
      <c r="L178" s="240"/>
      <c r="M178" s="240"/>
      <c r="N178" s="242"/>
      <c r="O178" s="243"/>
      <c r="P178" s="44"/>
      <c r="Q178" s="49"/>
      <c r="R178" s="86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4"/>
      <c r="AI178" s="44"/>
      <c r="AJ178" s="44"/>
    </row>
    <row r="179" spans="1:36" ht="27.6" x14ac:dyDescent="0.25">
      <c r="A179" s="96"/>
      <c r="B179" s="244" t="s">
        <v>881</v>
      </c>
      <c r="C179" s="245" t="s">
        <v>316</v>
      </c>
      <c r="D179" s="244" t="s">
        <v>44</v>
      </c>
      <c r="E179" s="244" t="s">
        <v>317</v>
      </c>
      <c r="F179" s="246" t="s">
        <v>45</v>
      </c>
      <c r="G179" s="259">
        <v>1967.56</v>
      </c>
      <c r="H179" s="247"/>
      <c r="I179" s="247"/>
      <c r="J179" s="247"/>
      <c r="K179" s="247"/>
      <c r="L179" s="247"/>
      <c r="M179" s="247"/>
      <c r="N179" s="247"/>
      <c r="O179" s="248"/>
      <c r="P179" s="44"/>
      <c r="Q179" s="49"/>
      <c r="R179" s="86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4"/>
      <c r="AI179" s="44"/>
      <c r="AJ179" s="44"/>
    </row>
    <row r="180" spans="1:36" x14ac:dyDescent="0.25">
      <c r="A180" s="96"/>
      <c r="B180" s="240">
        <v>9</v>
      </c>
      <c r="C180" s="240"/>
      <c r="D180" s="240"/>
      <c r="E180" s="240" t="s">
        <v>882</v>
      </c>
      <c r="F180" s="240"/>
      <c r="G180" s="258"/>
      <c r="H180" s="241"/>
      <c r="I180" s="240"/>
      <c r="J180" s="240"/>
      <c r="K180" s="240"/>
      <c r="L180" s="240"/>
      <c r="M180" s="240"/>
      <c r="N180" s="242"/>
      <c r="O180" s="243"/>
      <c r="P180" s="44"/>
      <c r="Q180" s="49"/>
      <c r="R180" s="86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4"/>
      <c r="AI180" s="44"/>
      <c r="AJ180" s="44"/>
    </row>
    <row r="181" spans="1:36" x14ac:dyDescent="0.25">
      <c r="A181" s="96"/>
      <c r="B181" s="240" t="s">
        <v>310</v>
      </c>
      <c r="C181" s="240"/>
      <c r="D181" s="240"/>
      <c r="E181" s="240" t="s">
        <v>171</v>
      </c>
      <c r="F181" s="240"/>
      <c r="G181" s="258"/>
      <c r="H181" s="241"/>
      <c r="I181" s="240"/>
      <c r="J181" s="240"/>
      <c r="K181" s="240"/>
      <c r="L181" s="240"/>
      <c r="M181" s="240"/>
      <c r="N181" s="242"/>
      <c r="O181" s="243"/>
      <c r="P181" s="44"/>
      <c r="Q181" s="49"/>
      <c r="R181" s="86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4"/>
      <c r="AI181" s="44"/>
      <c r="AJ181" s="44"/>
    </row>
    <row r="182" spans="1:36" ht="27.6" x14ac:dyDescent="0.25">
      <c r="A182" s="96"/>
      <c r="B182" s="244" t="s">
        <v>883</v>
      </c>
      <c r="C182" s="245" t="s">
        <v>884</v>
      </c>
      <c r="D182" s="244" t="s">
        <v>44</v>
      </c>
      <c r="E182" s="244" t="s">
        <v>885</v>
      </c>
      <c r="F182" s="246" t="s">
        <v>45</v>
      </c>
      <c r="G182" s="259">
        <v>3819.55</v>
      </c>
      <c r="H182" s="247"/>
      <c r="I182" s="247"/>
      <c r="J182" s="247"/>
      <c r="K182" s="247"/>
      <c r="L182" s="247"/>
      <c r="M182" s="247"/>
      <c r="N182" s="247"/>
      <c r="O182" s="248"/>
      <c r="P182" s="44"/>
      <c r="Q182" s="49"/>
      <c r="R182" s="86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4"/>
      <c r="AI182" s="44"/>
      <c r="AJ182" s="44"/>
    </row>
    <row r="183" spans="1:36" x14ac:dyDescent="0.25">
      <c r="A183" s="96"/>
      <c r="B183" s="244" t="s">
        <v>886</v>
      </c>
      <c r="C183" s="245" t="s">
        <v>181</v>
      </c>
      <c r="D183" s="244" t="s">
        <v>182</v>
      </c>
      <c r="E183" s="244" t="s">
        <v>183</v>
      </c>
      <c r="F183" s="246" t="s">
        <v>45</v>
      </c>
      <c r="G183" s="259">
        <v>3007.96</v>
      </c>
      <c r="H183" s="247"/>
      <c r="I183" s="247"/>
      <c r="J183" s="247"/>
      <c r="K183" s="247"/>
      <c r="L183" s="247"/>
      <c r="M183" s="247"/>
      <c r="N183" s="247"/>
      <c r="O183" s="248"/>
      <c r="P183" s="44"/>
      <c r="Q183" s="49"/>
      <c r="R183" s="86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4"/>
      <c r="AI183" s="44"/>
      <c r="AJ183" s="44"/>
    </row>
    <row r="184" spans="1:36" ht="27.6" x14ac:dyDescent="0.25">
      <c r="A184" s="96"/>
      <c r="B184" s="244" t="s">
        <v>887</v>
      </c>
      <c r="C184" s="245" t="s">
        <v>888</v>
      </c>
      <c r="D184" s="244" t="s">
        <v>44</v>
      </c>
      <c r="E184" s="244" t="s">
        <v>889</v>
      </c>
      <c r="F184" s="246" t="s">
        <v>45</v>
      </c>
      <c r="G184" s="259">
        <v>72.42</v>
      </c>
      <c r="H184" s="247"/>
      <c r="I184" s="247"/>
      <c r="J184" s="247"/>
      <c r="K184" s="247"/>
      <c r="L184" s="247"/>
      <c r="M184" s="247"/>
      <c r="N184" s="247"/>
      <c r="O184" s="248"/>
      <c r="P184" s="44"/>
      <c r="Q184" s="49"/>
      <c r="R184" s="86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4"/>
      <c r="AI184" s="44"/>
      <c r="AJ184" s="44"/>
    </row>
    <row r="185" spans="1:36" x14ac:dyDescent="0.25">
      <c r="A185" s="96"/>
      <c r="B185" s="240" t="s">
        <v>313</v>
      </c>
      <c r="C185" s="240"/>
      <c r="D185" s="240"/>
      <c r="E185" s="240" t="s">
        <v>890</v>
      </c>
      <c r="F185" s="240"/>
      <c r="G185" s="258"/>
      <c r="H185" s="241"/>
      <c r="I185" s="240"/>
      <c r="J185" s="240"/>
      <c r="K185" s="240"/>
      <c r="L185" s="240"/>
      <c r="M185" s="240"/>
      <c r="N185" s="242"/>
      <c r="O185" s="243"/>
      <c r="P185" s="44"/>
      <c r="Q185" s="49"/>
      <c r="R185" s="12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4"/>
      <c r="AI185" s="44"/>
      <c r="AJ185" s="44"/>
    </row>
    <row r="186" spans="1:36" x14ac:dyDescent="0.25">
      <c r="A186" s="96"/>
      <c r="B186" s="244" t="s">
        <v>891</v>
      </c>
      <c r="C186" s="245" t="s">
        <v>318</v>
      </c>
      <c r="D186" s="244" t="s">
        <v>182</v>
      </c>
      <c r="E186" s="244" t="s">
        <v>319</v>
      </c>
      <c r="F186" s="246" t="s">
        <v>45</v>
      </c>
      <c r="G186" s="259">
        <v>3007.96</v>
      </c>
      <c r="H186" s="247"/>
      <c r="I186" s="247"/>
      <c r="J186" s="247"/>
      <c r="K186" s="247"/>
      <c r="L186" s="247"/>
      <c r="M186" s="247"/>
      <c r="N186" s="247"/>
      <c r="O186" s="248"/>
      <c r="P186" s="44"/>
      <c r="Q186" s="49"/>
      <c r="R186" s="12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4"/>
      <c r="AI186" s="44"/>
      <c r="AJ186" s="44"/>
    </row>
    <row r="187" spans="1:36" x14ac:dyDescent="0.25">
      <c r="A187" s="96"/>
      <c r="B187" s="240" t="s">
        <v>314</v>
      </c>
      <c r="C187" s="240"/>
      <c r="D187" s="240"/>
      <c r="E187" s="240" t="s">
        <v>892</v>
      </c>
      <c r="F187" s="240"/>
      <c r="G187" s="258"/>
      <c r="H187" s="241"/>
      <c r="I187" s="240"/>
      <c r="J187" s="240"/>
      <c r="K187" s="240"/>
      <c r="L187" s="240"/>
      <c r="M187" s="240"/>
      <c r="N187" s="242"/>
      <c r="O187" s="243"/>
      <c r="P187" s="44"/>
      <c r="Q187" s="49"/>
      <c r="R187" s="12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4"/>
      <c r="AI187" s="44"/>
      <c r="AJ187" s="44"/>
    </row>
    <row r="188" spans="1:36" x14ac:dyDescent="0.25">
      <c r="A188" s="96"/>
      <c r="B188" s="244" t="s">
        <v>893</v>
      </c>
      <c r="C188" s="245" t="s">
        <v>894</v>
      </c>
      <c r="D188" s="244" t="s">
        <v>182</v>
      </c>
      <c r="E188" s="244" t="s">
        <v>895</v>
      </c>
      <c r="F188" s="246" t="s">
        <v>45</v>
      </c>
      <c r="G188" s="259">
        <v>72.42</v>
      </c>
      <c r="H188" s="247"/>
      <c r="I188" s="247"/>
      <c r="J188" s="247"/>
      <c r="K188" s="247"/>
      <c r="L188" s="247"/>
      <c r="M188" s="247"/>
      <c r="N188" s="247"/>
      <c r="O188" s="248"/>
      <c r="P188" s="44"/>
      <c r="Q188" s="49"/>
      <c r="R188" s="12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4"/>
      <c r="AI188" s="44"/>
      <c r="AJ188" s="44"/>
    </row>
    <row r="189" spans="1:36" x14ac:dyDescent="0.25">
      <c r="A189" s="96"/>
      <c r="B189" s="240" t="s">
        <v>896</v>
      </c>
      <c r="C189" s="240"/>
      <c r="D189" s="240"/>
      <c r="E189" s="240" t="s">
        <v>897</v>
      </c>
      <c r="F189" s="240"/>
      <c r="G189" s="258"/>
      <c r="H189" s="241"/>
      <c r="I189" s="240"/>
      <c r="J189" s="240"/>
      <c r="K189" s="240"/>
      <c r="L189" s="240"/>
      <c r="M189" s="240"/>
      <c r="N189" s="242"/>
      <c r="O189" s="243"/>
      <c r="P189" s="44"/>
      <c r="Q189" s="49"/>
      <c r="R189" s="12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4"/>
      <c r="AI189" s="44"/>
      <c r="AJ189" s="44"/>
    </row>
    <row r="190" spans="1:36" x14ac:dyDescent="0.25">
      <c r="A190" s="96"/>
      <c r="B190" s="244" t="s">
        <v>898</v>
      </c>
      <c r="C190" s="245" t="s">
        <v>322</v>
      </c>
      <c r="D190" s="244" t="s">
        <v>182</v>
      </c>
      <c r="E190" s="244" t="s">
        <v>323</v>
      </c>
      <c r="F190" s="246" t="s">
        <v>324</v>
      </c>
      <c r="G190" s="259">
        <v>1947.15</v>
      </c>
      <c r="H190" s="247"/>
      <c r="I190" s="247"/>
      <c r="J190" s="247"/>
      <c r="K190" s="247"/>
      <c r="L190" s="247"/>
      <c r="M190" s="247"/>
      <c r="N190" s="247"/>
      <c r="O190" s="248"/>
      <c r="P190" s="44"/>
      <c r="Q190" s="49"/>
      <c r="R190" s="12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4"/>
      <c r="AI190" s="44"/>
      <c r="AJ190" s="44"/>
    </row>
    <row r="191" spans="1:36" x14ac:dyDescent="0.25">
      <c r="A191" s="96"/>
      <c r="B191" s="240">
        <v>10</v>
      </c>
      <c r="C191" s="240"/>
      <c r="D191" s="240"/>
      <c r="E191" s="240" t="s">
        <v>899</v>
      </c>
      <c r="F191" s="240"/>
      <c r="G191" s="258"/>
      <c r="H191" s="241"/>
      <c r="I191" s="240"/>
      <c r="J191" s="240"/>
      <c r="K191" s="240"/>
      <c r="L191" s="240"/>
      <c r="M191" s="240"/>
      <c r="N191" s="242"/>
      <c r="O191" s="243"/>
      <c r="P191" s="44"/>
      <c r="Q191" s="49"/>
      <c r="R191" s="12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4"/>
      <c r="AI191" s="44"/>
      <c r="AJ191" s="44"/>
    </row>
    <row r="192" spans="1:36" ht="27.6" x14ac:dyDescent="0.25">
      <c r="A192" s="96"/>
      <c r="B192" s="244" t="s">
        <v>315</v>
      </c>
      <c r="C192" s="245" t="s">
        <v>320</v>
      </c>
      <c r="D192" s="244" t="s">
        <v>182</v>
      </c>
      <c r="E192" s="244" t="s">
        <v>321</v>
      </c>
      <c r="F192" s="246" t="s">
        <v>45</v>
      </c>
      <c r="G192" s="259">
        <v>150.76</v>
      </c>
      <c r="H192" s="247"/>
      <c r="I192" s="247"/>
      <c r="J192" s="247"/>
      <c r="K192" s="247"/>
      <c r="L192" s="247"/>
      <c r="M192" s="247"/>
      <c r="N192" s="247"/>
      <c r="O192" s="248"/>
      <c r="P192" s="44"/>
      <c r="Q192" s="49"/>
      <c r="R192" s="12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4"/>
      <c r="AI192" s="44"/>
      <c r="AJ192" s="44"/>
    </row>
    <row r="193" spans="1:36" x14ac:dyDescent="0.25">
      <c r="A193" s="96"/>
      <c r="B193" s="240">
        <v>11</v>
      </c>
      <c r="C193" s="240"/>
      <c r="D193" s="240"/>
      <c r="E193" s="240" t="s">
        <v>900</v>
      </c>
      <c r="F193" s="240"/>
      <c r="G193" s="258"/>
      <c r="H193" s="241"/>
      <c r="I193" s="240"/>
      <c r="J193" s="240"/>
      <c r="K193" s="240"/>
      <c r="L193" s="240"/>
      <c r="M193" s="240"/>
      <c r="N193" s="242"/>
      <c r="O193" s="243"/>
      <c r="P193" s="44"/>
      <c r="Q193" s="49"/>
      <c r="R193" s="12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4"/>
      <c r="AI193" s="44"/>
      <c r="AJ193" s="44"/>
    </row>
    <row r="194" spans="1:36" ht="27.6" x14ac:dyDescent="0.25">
      <c r="A194" s="96"/>
      <c r="B194" s="244" t="s">
        <v>325</v>
      </c>
      <c r="C194" s="245" t="s">
        <v>311</v>
      </c>
      <c r="D194" s="244" t="s">
        <v>44</v>
      </c>
      <c r="E194" s="244" t="s">
        <v>312</v>
      </c>
      <c r="F194" s="246" t="s">
        <v>45</v>
      </c>
      <c r="G194" s="259">
        <v>2835.04</v>
      </c>
      <c r="H194" s="247"/>
      <c r="I194" s="247"/>
      <c r="J194" s="247"/>
      <c r="K194" s="247"/>
      <c r="L194" s="247"/>
      <c r="M194" s="247"/>
      <c r="N194" s="247"/>
      <c r="O194" s="248"/>
      <c r="P194" s="44"/>
      <c r="Q194" s="49"/>
      <c r="R194" s="12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4"/>
      <c r="AI194" s="44"/>
      <c r="AJ194" s="44"/>
    </row>
    <row r="195" spans="1:36" x14ac:dyDescent="0.25">
      <c r="A195" s="96"/>
      <c r="B195" s="240">
        <v>12</v>
      </c>
      <c r="C195" s="240"/>
      <c r="D195" s="240"/>
      <c r="E195" s="240" t="s">
        <v>901</v>
      </c>
      <c r="F195" s="240"/>
      <c r="G195" s="258"/>
      <c r="H195" s="241"/>
      <c r="I195" s="240"/>
      <c r="J195" s="240"/>
      <c r="K195" s="240"/>
      <c r="L195" s="240"/>
      <c r="M195" s="240"/>
      <c r="N195" s="242"/>
      <c r="O195" s="243"/>
      <c r="P195" s="44"/>
      <c r="Q195" s="49"/>
      <c r="R195" s="86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4"/>
      <c r="AI195" s="44"/>
      <c r="AJ195" s="44"/>
    </row>
    <row r="196" spans="1:36" ht="27.6" x14ac:dyDescent="0.25">
      <c r="A196" s="96"/>
      <c r="B196" s="244" t="s">
        <v>326</v>
      </c>
      <c r="C196" s="245" t="s">
        <v>410</v>
      </c>
      <c r="D196" s="244" t="s">
        <v>182</v>
      </c>
      <c r="E196" s="244" t="s">
        <v>411</v>
      </c>
      <c r="F196" s="246" t="s">
        <v>45</v>
      </c>
      <c r="G196" s="259">
        <v>238.14</v>
      </c>
      <c r="H196" s="247"/>
      <c r="I196" s="247"/>
      <c r="J196" s="247"/>
      <c r="K196" s="247"/>
      <c r="L196" s="247"/>
      <c r="M196" s="247"/>
      <c r="N196" s="247"/>
      <c r="O196" s="248"/>
      <c r="P196" s="44"/>
      <c r="Q196" s="49"/>
      <c r="R196" s="86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4"/>
      <c r="AI196" s="44"/>
      <c r="AJ196" s="44"/>
    </row>
    <row r="197" spans="1:36" x14ac:dyDescent="0.25">
      <c r="A197" s="96"/>
      <c r="B197" s="240">
        <v>13</v>
      </c>
      <c r="C197" s="240"/>
      <c r="D197" s="240"/>
      <c r="E197" s="240" t="s">
        <v>391</v>
      </c>
      <c r="F197" s="240"/>
      <c r="G197" s="258"/>
      <c r="H197" s="241"/>
      <c r="I197" s="240"/>
      <c r="J197" s="240"/>
      <c r="K197" s="240"/>
      <c r="L197" s="240"/>
      <c r="M197" s="240"/>
      <c r="N197" s="242"/>
      <c r="O197" s="243"/>
      <c r="P197" s="44"/>
      <c r="Q197" s="49"/>
      <c r="R197" s="86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4"/>
      <c r="AI197" s="44"/>
      <c r="AJ197" s="44"/>
    </row>
    <row r="198" spans="1:36" x14ac:dyDescent="0.25">
      <c r="A198" s="96"/>
      <c r="B198" s="240" t="s">
        <v>330</v>
      </c>
      <c r="C198" s="240"/>
      <c r="D198" s="240"/>
      <c r="E198" s="240" t="s">
        <v>902</v>
      </c>
      <c r="F198" s="240"/>
      <c r="G198" s="258"/>
      <c r="H198" s="241"/>
      <c r="I198" s="240"/>
      <c r="J198" s="240"/>
      <c r="K198" s="240"/>
      <c r="L198" s="240"/>
      <c r="M198" s="240"/>
      <c r="N198" s="242"/>
      <c r="O198" s="243"/>
      <c r="P198" s="44"/>
      <c r="Q198" s="49"/>
      <c r="R198" s="12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4"/>
      <c r="AI198" s="44"/>
      <c r="AJ198" s="44"/>
    </row>
    <row r="199" spans="1:36" x14ac:dyDescent="0.25">
      <c r="A199" s="96"/>
      <c r="B199" s="244" t="s">
        <v>903</v>
      </c>
      <c r="C199" s="245" t="s">
        <v>393</v>
      </c>
      <c r="D199" s="244" t="s">
        <v>44</v>
      </c>
      <c r="E199" s="244" t="s">
        <v>394</v>
      </c>
      <c r="F199" s="246" t="s">
        <v>45</v>
      </c>
      <c r="G199" s="259">
        <v>14077.65</v>
      </c>
      <c r="H199" s="247"/>
      <c r="I199" s="247"/>
      <c r="J199" s="247"/>
      <c r="K199" s="247"/>
      <c r="L199" s="247"/>
      <c r="M199" s="247"/>
      <c r="N199" s="247"/>
      <c r="O199" s="248"/>
      <c r="P199" s="44"/>
      <c r="Q199" s="49"/>
      <c r="R199" s="12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4"/>
      <c r="AI199" s="44"/>
      <c r="AJ199" s="44"/>
    </row>
    <row r="200" spans="1:36" ht="27.6" x14ac:dyDescent="0.25">
      <c r="A200" s="96"/>
      <c r="B200" s="244" t="s">
        <v>904</v>
      </c>
      <c r="C200" s="245" t="s">
        <v>397</v>
      </c>
      <c r="D200" s="244" t="s">
        <v>44</v>
      </c>
      <c r="E200" s="244" t="s">
        <v>398</v>
      </c>
      <c r="F200" s="246" t="s">
        <v>45</v>
      </c>
      <c r="G200" s="259">
        <v>10423.209999999999</v>
      </c>
      <c r="H200" s="247"/>
      <c r="I200" s="247"/>
      <c r="J200" s="247"/>
      <c r="K200" s="247"/>
      <c r="L200" s="247"/>
      <c r="M200" s="247"/>
      <c r="N200" s="247"/>
      <c r="O200" s="248"/>
      <c r="P200" s="44"/>
      <c r="Q200" s="49"/>
      <c r="R200" s="12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4"/>
      <c r="AI200" s="44"/>
      <c r="AJ200" s="44"/>
    </row>
    <row r="201" spans="1:36" x14ac:dyDescent="0.25">
      <c r="A201" s="96"/>
      <c r="B201" s="244" t="s">
        <v>905</v>
      </c>
      <c r="C201" s="245" t="s">
        <v>399</v>
      </c>
      <c r="D201" s="244" t="s">
        <v>44</v>
      </c>
      <c r="E201" s="244" t="s">
        <v>400</v>
      </c>
      <c r="F201" s="246" t="s">
        <v>45</v>
      </c>
      <c r="G201" s="259">
        <v>10423.209999999999</v>
      </c>
      <c r="H201" s="247"/>
      <c r="I201" s="247"/>
      <c r="J201" s="247"/>
      <c r="K201" s="247"/>
      <c r="L201" s="247"/>
      <c r="M201" s="247"/>
      <c r="N201" s="247"/>
      <c r="O201" s="248"/>
      <c r="P201" s="44"/>
      <c r="Q201" s="49"/>
      <c r="R201" s="12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4"/>
      <c r="AI201" s="44"/>
      <c r="AJ201" s="44"/>
    </row>
    <row r="202" spans="1:36" x14ac:dyDescent="0.25">
      <c r="A202" s="96"/>
      <c r="B202" s="244" t="s">
        <v>906</v>
      </c>
      <c r="C202" s="245" t="s">
        <v>401</v>
      </c>
      <c r="D202" s="244" t="s">
        <v>44</v>
      </c>
      <c r="E202" s="244" t="s">
        <v>402</v>
      </c>
      <c r="F202" s="246" t="s">
        <v>45</v>
      </c>
      <c r="G202" s="259">
        <v>3654.44</v>
      </c>
      <c r="H202" s="247"/>
      <c r="I202" s="247"/>
      <c r="J202" s="247"/>
      <c r="K202" s="247"/>
      <c r="L202" s="247"/>
      <c r="M202" s="247"/>
      <c r="N202" s="247"/>
      <c r="O202" s="248"/>
      <c r="P202" s="44"/>
      <c r="Q202" s="49"/>
      <c r="R202" s="86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4"/>
      <c r="AI202" s="44"/>
      <c r="AJ202" s="44"/>
    </row>
    <row r="203" spans="1:36" x14ac:dyDescent="0.25">
      <c r="A203" s="96"/>
      <c r="B203" s="240" t="s">
        <v>331</v>
      </c>
      <c r="C203" s="240"/>
      <c r="D203" s="240"/>
      <c r="E203" s="240" t="s">
        <v>907</v>
      </c>
      <c r="F203" s="240"/>
      <c r="G203" s="258"/>
      <c r="H203" s="241"/>
      <c r="I203" s="240"/>
      <c r="J203" s="240"/>
      <c r="K203" s="240"/>
      <c r="L203" s="240"/>
      <c r="M203" s="240"/>
      <c r="N203" s="242"/>
      <c r="O203" s="243"/>
      <c r="P203" s="44"/>
      <c r="Q203" s="49"/>
      <c r="R203" s="86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4"/>
      <c r="AI203" s="44"/>
      <c r="AJ203" s="44"/>
    </row>
    <row r="204" spans="1:36" x14ac:dyDescent="0.25">
      <c r="A204" s="96"/>
      <c r="B204" s="244" t="s">
        <v>908</v>
      </c>
      <c r="C204" s="245" t="s">
        <v>909</v>
      </c>
      <c r="D204" s="244" t="s">
        <v>44</v>
      </c>
      <c r="E204" s="244" t="s">
        <v>910</v>
      </c>
      <c r="F204" s="246" t="s">
        <v>45</v>
      </c>
      <c r="G204" s="259">
        <v>2906.83</v>
      </c>
      <c r="H204" s="247"/>
      <c r="I204" s="247"/>
      <c r="J204" s="247"/>
      <c r="K204" s="247"/>
      <c r="L204" s="247"/>
      <c r="M204" s="247"/>
      <c r="N204" s="247"/>
      <c r="O204" s="248"/>
      <c r="P204" s="44"/>
      <c r="Q204" s="49"/>
      <c r="R204" s="12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4"/>
      <c r="AI204" s="44"/>
      <c r="AJ204" s="44"/>
    </row>
    <row r="205" spans="1:36" ht="27.6" x14ac:dyDescent="0.25">
      <c r="A205" s="96"/>
      <c r="B205" s="244" t="s">
        <v>911</v>
      </c>
      <c r="C205" s="245" t="s">
        <v>912</v>
      </c>
      <c r="D205" s="244" t="s">
        <v>44</v>
      </c>
      <c r="E205" s="244" t="s">
        <v>913</v>
      </c>
      <c r="F205" s="246" t="s">
        <v>45</v>
      </c>
      <c r="G205" s="259">
        <v>2906.83</v>
      </c>
      <c r="H205" s="247"/>
      <c r="I205" s="247"/>
      <c r="J205" s="247"/>
      <c r="K205" s="247"/>
      <c r="L205" s="247"/>
      <c r="M205" s="247"/>
      <c r="N205" s="247"/>
      <c r="O205" s="248"/>
      <c r="P205" s="44"/>
      <c r="Q205" s="49"/>
      <c r="R205" s="12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4"/>
      <c r="AI205" s="44"/>
      <c r="AJ205" s="44"/>
    </row>
    <row r="206" spans="1:36" x14ac:dyDescent="0.25">
      <c r="A206" s="96"/>
      <c r="B206" s="244" t="s">
        <v>914</v>
      </c>
      <c r="C206" s="245" t="s">
        <v>403</v>
      </c>
      <c r="D206" s="244" t="s">
        <v>44</v>
      </c>
      <c r="E206" s="244" t="s">
        <v>404</v>
      </c>
      <c r="F206" s="246" t="s">
        <v>45</v>
      </c>
      <c r="G206" s="259">
        <v>2906.83</v>
      </c>
      <c r="H206" s="247"/>
      <c r="I206" s="247"/>
      <c r="J206" s="247"/>
      <c r="K206" s="247"/>
      <c r="L206" s="247"/>
      <c r="M206" s="247"/>
      <c r="N206" s="247"/>
      <c r="O206" s="248"/>
      <c r="P206" s="44"/>
      <c r="Q206" s="49"/>
      <c r="R206" s="12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4"/>
      <c r="AI206" s="44"/>
      <c r="AJ206" s="44"/>
    </row>
    <row r="207" spans="1:36" x14ac:dyDescent="0.25">
      <c r="A207" s="96"/>
      <c r="B207" s="240" t="s">
        <v>334</v>
      </c>
      <c r="C207" s="240"/>
      <c r="D207" s="240"/>
      <c r="E207" s="240" t="s">
        <v>329</v>
      </c>
      <c r="F207" s="240"/>
      <c r="G207" s="258"/>
      <c r="H207" s="241"/>
      <c r="I207" s="240"/>
      <c r="J207" s="240"/>
      <c r="K207" s="240"/>
      <c r="L207" s="240"/>
      <c r="M207" s="240"/>
      <c r="N207" s="242"/>
      <c r="O207" s="243"/>
      <c r="P207" s="44"/>
      <c r="Q207" s="49"/>
      <c r="R207" s="12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4"/>
      <c r="AI207" s="44"/>
      <c r="AJ207" s="44"/>
    </row>
    <row r="208" spans="1:36" x14ac:dyDescent="0.25">
      <c r="A208" s="96"/>
      <c r="B208" s="244" t="s">
        <v>915</v>
      </c>
      <c r="C208" s="245" t="s">
        <v>405</v>
      </c>
      <c r="D208" s="244" t="s">
        <v>44</v>
      </c>
      <c r="E208" s="244" t="s">
        <v>406</v>
      </c>
      <c r="F208" s="246" t="s">
        <v>45</v>
      </c>
      <c r="G208" s="259">
        <v>910.35</v>
      </c>
      <c r="H208" s="247"/>
      <c r="I208" s="247"/>
      <c r="J208" s="247"/>
      <c r="K208" s="247"/>
      <c r="L208" s="247"/>
      <c r="M208" s="247"/>
      <c r="N208" s="247"/>
      <c r="O208" s="248"/>
      <c r="P208" s="44"/>
      <c r="Q208" s="49"/>
      <c r="R208" s="12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4"/>
      <c r="AI208" s="44"/>
      <c r="AJ208" s="44"/>
    </row>
    <row r="209" spans="1:36" ht="27.6" x14ac:dyDescent="0.25">
      <c r="A209" s="96"/>
      <c r="B209" s="244" t="s">
        <v>916</v>
      </c>
      <c r="C209" s="245" t="s">
        <v>407</v>
      </c>
      <c r="D209" s="244" t="s">
        <v>44</v>
      </c>
      <c r="E209" s="244" t="s">
        <v>408</v>
      </c>
      <c r="F209" s="246" t="s">
        <v>45</v>
      </c>
      <c r="G209" s="259">
        <v>910.35</v>
      </c>
      <c r="H209" s="247"/>
      <c r="I209" s="247"/>
      <c r="J209" s="247"/>
      <c r="K209" s="247"/>
      <c r="L209" s="247"/>
      <c r="M209" s="247"/>
      <c r="N209" s="247"/>
      <c r="O209" s="248"/>
      <c r="P209" s="44"/>
      <c r="Q209" s="49"/>
      <c r="R209" s="12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4"/>
      <c r="AI209" s="44"/>
      <c r="AJ209" s="44"/>
    </row>
    <row r="210" spans="1:36" x14ac:dyDescent="0.25">
      <c r="A210" s="96"/>
      <c r="B210" s="240">
        <v>14</v>
      </c>
      <c r="C210" s="240"/>
      <c r="D210" s="240"/>
      <c r="E210" s="240" t="s">
        <v>917</v>
      </c>
      <c r="F210" s="240"/>
      <c r="G210" s="258"/>
      <c r="H210" s="241"/>
      <c r="I210" s="240"/>
      <c r="J210" s="240"/>
      <c r="K210" s="240"/>
      <c r="L210" s="240"/>
      <c r="M210" s="240"/>
      <c r="N210" s="242"/>
      <c r="O210" s="243"/>
      <c r="P210" s="44"/>
      <c r="Q210" s="49"/>
      <c r="R210" s="12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4"/>
      <c r="AI210" s="44"/>
      <c r="AJ210" s="44"/>
    </row>
    <row r="211" spans="1:36" x14ac:dyDescent="0.25">
      <c r="A211" s="96"/>
      <c r="B211" s="244" t="s">
        <v>350</v>
      </c>
      <c r="C211" s="245" t="s">
        <v>327</v>
      </c>
      <c r="D211" s="244" t="s">
        <v>182</v>
      </c>
      <c r="E211" s="244" t="s">
        <v>328</v>
      </c>
      <c r="F211" s="246" t="s">
        <v>45</v>
      </c>
      <c r="G211" s="259">
        <v>52.9</v>
      </c>
      <c r="H211" s="247"/>
      <c r="I211" s="247"/>
      <c r="J211" s="247"/>
      <c r="K211" s="247"/>
      <c r="L211" s="247"/>
      <c r="M211" s="247"/>
      <c r="N211" s="247"/>
      <c r="O211" s="248"/>
      <c r="P211" s="44"/>
      <c r="Q211" s="49"/>
      <c r="R211" s="12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4"/>
      <c r="AI211" s="44"/>
      <c r="AJ211" s="44"/>
    </row>
    <row r="212" spans="1:36" x14ac:dyDescent="0.25">
      <c r="A212" s="96"/>
      <c r="B212" s="240">
        <v>15</v>
      </c>
      <c r="C212" s="240"/>
      <c r="D212" s="240"/>
      <c r="E212" s="240" t="s">
        <v>918</v>
      </c>
      <c r="F212" s="240"/>
      <c r="G212" s="258"/>
      <c r="H212" s="241"/>
      <c r="I212" s="240"/>
      <c r="J212" s="240"/>
      <c r="K212" s="240"/>
      <c r="L212" s="240"/>
      <c r="M212" s="240"/>
      <c r="N212" s="242"/>
      <c r="O212" s="243"/>
      <c r="P212" s="44"/>
      <c r="Q212" s="49"/>
      <c r="R212" s="12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4"/>
      <c r="AI212" s="44"/>
      <c r="AJ212" s="44"/>
    </row>
    <row r="213" spans="1:36" x14ac:dyDescent="0.25">
      <c r="A213" s="96"/>
      <c r="B213" s="240" t="s">
        <v>367</v>
      </c>
      <c r="C213" s="240"/>
      <c r="D213" s="240"/>
      <c r="E213" s="240" t="s">
        <v>919</v>
      </c>
      <c r="F213" s="240"/>
      <c r="G213" s="258"/>
      <c r="H213" s="241"/>
      <c r="I213" s="240"/>
      <c r="J213" s="240"/>
      <c r="K213" s="240"/>
      <c r="L213" s="240"/>
      <c r="M213" s="240"/>
      <c r="N213" s="242"/>
      <c r="O213" s="243"/>
      <c r="P213" s="44"/>
      <c r="Q213" s="49"/>
      <c r="R213" s="12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4"/>
      <c r="AI213" s="44"/>
      <c r="AJ213" s="44"/>
    </row>
    <row r="214" spans="1:36" x14ac:dyDescent="0.25">
      <c r="A214" s="96"/>
      <c r="B214" s="244" t="s">
        <v>920</v>
      </c>
      <c r="C214" s="245" t="s">
        <v>353</v>
      </c>
      <c r="D214" s="244" t="s">
        <v>44</v>
      </c>
      <c r="E214" s="244" t="s">
        <v>354</v>
      </c>
      <c r="F214" s="246" t="s">
        <v>55</v>
      </c>
      <c r="G214" s="259">
        <v>6</v>
      </c>
      <c r="H214" s="247"/>
      <c r="I214" s="247"/>
      <c r="J214" s="247"/>
      <c r="K214" s="247"/>
      <c r="L214" s="247"/>
      <c r="M214" s="247"/>
      <c r="N214" s="247"/>
      <c r="O214" s="248"/>
      <c r="P214" s="44"/>
      <c r="Q214" s="49"/>
      <c r="R214" s="12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4"/>
      <c r="AI214" s="44"/>
      <c r="AJ214" s="44"/>
    </row>
    <row r="215" spans="1:36" x14ac:dyDescent="0.25">
      <c r="A215" s="96"/>
      <c r="B215" s="240" t="s">
        <v>370</v>
      </c>
      <c r="C215" s="240"/>
      <c r="D215" s="240"/>
      <c r="E215" s="240" t="s">
        <v>921</v>
      </c>
      <c r="F215" s="240"/>
      <c r="G215" s="258"/>
      <c r="H215" s="241"/>
      <c r="I215" s="240"/>
      <c r="J215" s="240"/>
      <c r="K215" s="240"/>
      <c r="L215" s="240"/>
      <c r="M215" s="240"/>
      <c r="N215" s="242"/>
      <c r="O215" s="243"/>
      <c r="P215" s="44"/>
      <c r="Q215" s="49"/>
      <c r="R215" s="12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4"/>
      <c r="AI215" s="44"/>
      <c r="AJ215" s="44"/>
    </row>
    <row r="216" spans="1:36" ht="27.6" x14ac:dyDescent="0.25">
      <c r="A216" s="96"/>
      <c r="B216" s="244" t="s">
        <v>922</v>
      </c>
      <c r="C216" s="245" t="s">
        <v>355</v>
      </c>
      <c r="D216" s="244" t="s">
        <v>44</v>
      </c>
      <c r="E216" s="244" t="s">
        <v>356</v>
      </c>
      <c r="F216" s="246" t="s">
        <v>55</v>
      </c>
      <c r="G216" s="259">
        <v>23</v>
      </c>
      <c r="H216" s="247"/>
      <c r="I216" s="247"/>
      <c r="J216" s="247"/>
      <c r="K216" s="247"/>
      <c r="L216" s="247"/>
      <c r="M216" s="247"/>
      <c r="N216" s="247"/>
      <c r="O216" s="248"/>
      <c r="P216" s="44"/>
      <c r="Q216" s="49"/>
      <c r="R216" s="12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4"/>
      <c r="AI216" s="44"/>
      <c r="AJ216" s="44"/>
    </row>
    <row r="217" spans="1:36" ht="27.6" x14ac:dyDescent="0.25">
      <c r="A217" s="96"/>
      <c r="B217" s="244" t="s">
        <v>923</v>
      </c>
      <c r="C217" s="245" t="s">
        <v>924</v>
      </c>
      <c r="D217" s="244" t="s">
        <v>925</v>
      </c>
      <c r="E217" s="244" t="s">
        <v>926</v>
      </c>
      <c r="F217" s="246" t="s">
        <v>55</v>
      </c>
      <c r="G217" s="259">
        <v>2</v>
      </c>
      <c r="H217" s="247"/>
      <c r="I217" s="247"/>
      <c r="J217" s="247"/>
      <c r="K217" s="247"/>
      <c r="L217" s="247"/>
      <c r="M217" s="247"/>
      <c r="N217" s="247"/>
      <c r="O217" s="248"/>
      <c r="P217" s="44"/>
      <c r="Q217" s="49"/>
      <c r="R217" s="12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4"/>
      <c r="AI217" s="44"/>
      <c r="AJ217" s="44"/>
    </row>
    <row r="218" spans="1:36" x14ac:dyDescent="0.25">
      <c r="A218" s="96"/>
      <c r="B218" s="244" t="s">
        <v>927</v>
      </c>
      <c r="C218" s="245" t="s">
        <v>928</v>
      </c>
      <c r="D218" s="244" t="s">
        <v>65</v>
      </c>
      <c r="E218" s="244" t="s">
        <v>929</v>
      </c>
      <c r="F218" s="246" t="s">
        <v>55</v>
      </c>
      <c r="G218" s="259">
        <v>7</v>
      </c>
      <c r="H218" s="247"/>
      <c r="I218" s="247"/>
      <c r="J218" s="247"/>
      <c r="K218" s="247"/>
      <c r="L218" s="247"/>
      <c r="M218" s="247"/>
      <c r="N218" s="247"/>
      <c r="O218" s="248"/>
      <c r="P218" s="44"/>
      <c r="Q218" s="49"/>
      <c r="R218" s="12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4"/>
      <c r="AI218" s="44"/>
      <c r="AJ218" s="44"/>
    </row>
    <row r="219" spans="1:36" ht="27.6" x14ac:dyDescent="0.25">
      <c r="A219" s="96"/>
      <c r="B219" s="244" t="s">
        <v>930</v>
      </c>
      <c r="C219" s="245" t="s">
        <v>931</v>
      </c>
      <c r="D219" s="244" t="s">
        <v>864</v>
      </c>
      <c r="E219" s="244" t="s">
        <v>932</v>
      </c>
      <c r="F219" s="246" t="s">
        <v>71</v>
      </c>
      <c r="G219" s="259">
        <v>2.2000000000000002</v>
      </c>
      <c r="H219" s="247"/>
      <c r="I219" s="247"/>
      <c r="J219" s="247"/>
      <c r="K219" s="247"/>
      <c r="L219" s="247"/>
      <c r="M219" s="247"/>
      <c r="N219" s="247"/>
      <c r="O219" s="248"/>
      <c r="P219" s="44"/>
      <c r="Q219" s="49"/>
      <c r="R219" s="12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4"/>
      <c r="AI219" s="44"/>
      <c r="AJ219" s="44"/>
    </row>
    <row r="220" spans="1:36" ht="27.6" x14ac:dyDescent="0.25">
      <c r="A220" s="96"/>
      <c r="B220" s="244" t="s">
        <v>933</v>
      </c>
      <c r="C220" s="245" t="s">
        <v>205</v>
      </c>
      <c r="D220" s="244" t="s">
        <v>44</v>
      </c>
      <c r="E220" s="244" t="s">
        <v>206</v>
      </c>
      <c r="F220" s="246" t="s">
        <v>55</v>
      </c>
      <c r="G220" s="259">
        <v>8</v>
      </c>
      <c r="H220" s="247"/>
      <c r="I220" s="247"/>
      <c r="J220" s="247"/>
      <c r="K220" s="247"/>
      <c r="L220" s="247"/>
      <c r="M220" s="247"/>
      <c r="N220" s="247"/>
      <c r="O220" s="248"/>
      <c r="P220" s="44"/>
      <c r="Q220" s="49"/>
      <c r="R220" s="12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4"/>
      <c r="AI220" s="44"/>
      <c r="AJ220" s="44"/>
    </row>
    <row r="221" spans="1:36" x14ac:dyDescent="0.25">
      <c r="A221" s="96"/>
      <c r="B221" s="244" t="s">
        <v>934</v>
      </c>
      <c r="C221" s="245" t="s">
        <v>361</v>
      </c>
      <c r="D221" s="244" t="s">
        <v>182</v>
      </c>
      <c r="E221" s="244" t="s">
        <v>362</v>
      </c>
      <c r="F221" s="246" t="s">
        <v>213</v>
      </c>
      <c r="G221" s="259">
        <v>118</v>
      </c>
      <c r="H221" s="247"/>
      <c r="I221" s="247"/>
      <c r="J221" s="247"/>
      <c r="K221" s="247"/>
      <c r="L221" s="247"/>
      <c r="M221" s="247"/>
      <c r="N221" s="247"/>
      <c r="O221" s="248"/>
      <c r="P221" s="44"/>
      <c r="Q221" s="49"/>
      <c r="R221" s="12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4"/>
      <c r="AI221" s="44"/>
      <c r="AJ221" s="44"/>
    </row>
    <row r="222" spans="1:36" x14ac:dyDescent="0.25">
      <c r="A222" s="96"/>
      <c r="B222" s="244" t="s">
        <v>935</v>
      </c>
      <c r="C222" s="245" t="s">
        <v>936</v>
      </c>
      <c r="D222" s="244" t="s">
        <v>263</v>
      </c>
      <c r="E222" s="244" t="s">
        <v>1888</v>
      </c>
      <c r="F222" s="246" t="s">
        <v>213</v>
      </c>
      <c r="G222" s="259">
        <v>31</v>
      </c>
      <c r="H222" s="247"/>
      <c r="I222" s="247"/>
      <c r="J222" s="247"/>
      <c r="K222" s="247"/>
      <c r="L222" s="247"/>
      <c r="M222" s="247"/>
      <c r="N222" s="247"/>
      <c r="O222" s="248"/>
      <c r="P222" s="44"/>
      <c r="Q222" s="49"/>
      <c r="R222" s="12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4"/>
      <c r="AI222" s="44"/>
      <c r="AJ222" s="44"/>
    </row>
    <row r="223" spans="1:36" x14ac:dyDescent="0.25">
      <c r="A223" s="96"/>
      <c r="B223" s="244" t="s">
        <v>937</v>
      </c>
      <c r="C223" s="245" t="s">
        <v>363</v>
      </c>
      <c r="D223" s="244" t="s">
        <v>182</v>
      </c>
      <c r="E223" s="244" t="s">
        <v>364</v>
      </c>
      <c r="F223" s="246" t="s">
        <v>213</v>
      </c>
      <c r="G223" s="259">
        <v>17</v>
      </c>
      <c r="H223" s="247"/>
      <c r="I223" s="247"/>
      <c r="J223" s="247"/>
      <c r="K223" s="247"/>
      <c r="L223" s="247"/>
      <c r="M223" s="247"/>
      <c r="N223" s="247"/>
      <c r="O223" s="248"/>
      <c r="P223" s="44"/>
      <c r="Q223" s="49"/>
      <c r="R223" s="12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4"/>
      <c r="AI223" s="44"/>
      <c r="AJ223" s="44"/>
    </row>
    <row r="224" spans="1:36" x14ac:dyDescent="0.25">
      <c r="A224" s="96"/>
      <c r="B224" s="244" t="s">
        <v>938</v>
      </c>
      <c r="C224" s="245" t="s">
        <v>368</v>
      </c>
      <c r="D224" s="244" t="s">
        <v>182</v>
      </c>
      <c r="E224" s="244" t="s">
        <v>369</v>
      </c>
      <c r="F224" s="246" t="s">
        <v>213</v>
      </c>
      <c r="G224" s="259">
        <v>54</v>
      </c>
      <c r="H224" s="247"/>
      <c r="I224" s="247"/>
      <c r="J224" s="247"/>
      <c r="K224" s="247"/>
      <c r="L224" s="247"/>
      <c r="M224" s="247"/>
      <c r="N224" s="247"/>
      <c r="O224" s="248"/>
      <c r="P224" s="44"/>
      <c r="Q224" s="49"/>
      <c r="R224" s="12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4"/>
      <c r="AI224" s="44"/>
      <c r="AJ224" s="44"/>
    </row>
    <row r="225" spans="1:36" x14ac:dyDescent="0.25">
      <c r="A225" s="96"/>
      <c r="B225" s="244" t="s">
        <v>939</v>
      </c>
      <c r="C225" s="245" t="s">
        <v>371</v>
      </c>
      <c r="D225" s="244" t="s">
        <v>182</v>
      </c>
      <c r="E225" s="244" t="s">
        <v>372</v>
      </c>
      <c r="F225" s="246" t="s">
        <v>213</v>
      </c>
      <c r="G225" s="259">
        <v>20</v>
      </c>
      <c r="H225" s="247"/>
      <c r="I225" s="247"/>
      <c r="J225" s="247"/>
      <c r="K225" s="247"/>
      <c r="L225" s="247"/>
      <c r="M225" s="247"/>
      <c r="N225" s="247"/>
      <c r="O225" s="248"/>
      <c r="P225" s="44"/>
      <c r="Q225" s="49"/>
      <c r="R225" s="12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4"/>
      <c r="AI225" s="44"/>
      <c r="AJ225" s="44"/>
    </row>
    <row r="226" spans="1:36" ht="27.6" x14ac:dyDescent="0.25">
      <c r="A226" s="96"/>
      <c r="B226" s="244" t="s">
        <v>940</v>
      </c>
      <c r="C226" s="245" t="s">
        <v>374</v>
      </c>
      <c r="D226" s="244" t="s">
        <v>44</v>
      </c>
      <c r="E226" s="244" t="s">
        <v>375</v>
      </c>
      <c r="F226" s="246" t="s">
        <v>55</v>
      </c>
      <c r="G226" s="259">
        <v>35</v>
      </c>
      <c r="H226" s="247"/>
      <c r="I226" s="247"/>
      <c r="J226" s="247"/>
      <c r="K226" s="247"/>
      <c r="L226" s="247"/>
      <c r="M226" s="247"/>
      <c r="N226" s="247"/>
      <c r="O226" s="248"/>
      <c r="P226" s="44"/>
      <c r="Q226" s="49"/>
      <c r="R226" s="12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4"/>
      <c r="AI226" s="44"/>
      <c r="AJ226" s="44"/>
    </row>
    <row r="227" spans="1:36" ht="27.6" x14ac:dyDescent="0.25">
      <c r="A227" s="96"/>
      <c r="B227" s="244" t="s">
        <v>941</v>
      </c>
      <c r="C227" s="245" t="s">
        <v>376</v>
      </c>
      <c r="D227" s="244" t="s">
        <v>44</v>
      </c>
      <c r="E227" s="244" t="s">
        <v>377</v>
      </c>
      <c r="F227" s="246" t="s">
        <v>55</v>
      </c>
      <c r="G227" s="259">
        <v>2</v>
      </c>
      <c r="H227" s="247"/>
      <c r="I227" s="247"/>
      <c r="J227" s="247"/>
      <c r="K227" s="247"/>
      <c r="L227" s="247"/>
      <c r="M227" s="247"/>
      <c r="N227" s="247"/>
      <c r="O227" s="248"/>
      <c r="P227" s="44"/>
      <c r="Q227" s="49"/>
      <c r="R227" s="12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4"/>
      <c r="AI227" s="44"/>
      <c r="AJ227" s="44"/>
    </row>
    <row r="228" spans="1:36" x14ac:dyDescent="0.25">
      <c r="A228" s="96"/>
      <c r="B228" s="244" t="s">
        <v>942</v>
      </c>
      <c r="C228" s="245" t="s">
        <v>943</v>
      </c>
      <c r="D228" s="244" t="s">
        <v>65</v>
      </c>
      <c r="E228" s="244" t="s">
        <v>944</v>
      </c>
      <c r="F228" s="246" t="s">
        <v>55</v>
      </c>
      <c r="G228" s="259">
        <v>6</v>
      </c>
      <c r="H228" s="247"/>
      <c r="I228" s="247"/>
      <c r="J228" s="247"/>
      <c r="K228" s="247"/>
      <c r="L228" s="247"/>
      <c r="M228" s="247"/>
      <c r="N228" s="247"/>
      <c r="O228" s="248"/>
      <c r="P228" s="44"/>
      <c r="Q228" s="49"/>
      <c r="R228" s="12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4"/>
      <c r="AI228" s="44"/>
      <c r="AJ228" s="44"/>
    </row>
    <row r="229" spans="1:36" x14ac:dyDescent="0.25">
      <c r="A229" s="96"/>
      <c r="B229" s="244" t="s">
        <v>945</v>
      </c>
      <c r="C229" s="245" t="s">
        <v>946</v>
      </c>
      <c r="D229" s="244" t="s">
        <v>121</v>
      </c>
      <c r="E229" s="244" t="s">
        <v>947</v>
      </c>
      <c r="F229" s="246" t="s">
        <v>55</v>
      </c>
      <c r="G229" s="259">
        <v>62</v>
      </c>
      <c r="H229" s="247"/>
      <c r="I229" s="247"/>
      <c r="J229" s="247"/>
      <c r="K229" s="247"/>
      <c r="L229" s="247"/>
      <c r="M229" s="247"/>
      <c r="N229" s="247"/>
      <c r="O229" s="248"/>
      <c r="P229" s="44"/>
      <c r="Q229" s="49"/>
      <c r="R229" s="12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4"/>
      <c r="AI229" s="44"/>
      <c r="AJ229" s="44"/>
    </row>
    <row r="230" spans="1:36" ht="41.4" x14ac:dyDescent="0.25">
      <c r="A230" s="96"/>
      <c r="B230" s="244" t="s">
        <v>2321</v>
      </c>
      <c r="C230" s="245" t="s">
        <v>2322</v>
      </c>
      <c r="D230" s="244" t="s">
        <v>121</v>
      </c>
      <c r="E230" s="244" t="s">
        <v>2323</v>
      </c>
      <c r="F230" s="246" t="s">
        <v>213</v>
      </c>
      <c r="G230" s="259">
        <v>2</v>
      </c>
      <c r="H230" s="247"/>
      <c r="I230" s="247"/>
      <c r="J230" s="247"/>
      <c r="K230" s="247"/>
      <c r="L230" s="247"/>
      <c r="M230" s="247"/>
      <c r="N230" s="247"/>
      <c r="O230" s="248"/>
      <c r="P230" s="44"/>
      <c r="Q230" s="49"/>
      <c r="R230" s="12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4"/>
      <c r="AI230" s="44"/>
      <c r="AJ230" s="44"/>
    </row>
    <row r="231" spans="1:36" x14ac:dyDescent="0.25">
      <c r="A231" s="96"/>
      <c r="B231" s="240" t="s">
        <v>373</v>
      </c>
      <c r="C231" s="240"/>
      <c r="D231" s="240"/>
      <c r="E231" s="240" t="s">
        <v>948</v>
      </c>
      <c r="F231" s="240"/>
      <c r="G231" s="258"/>
      <c r="H231" s="241"/>
      <c r="I231" s="240"/>
      <c r="J231" s="240"/>
      <c r="K231" s="240"/>
      <c r="L231" s="240"/>
      <c r="M231" s="240"/>
      <c r="N231" s="242"/>
      <c r="O231" s="243"/>
      <c r="P231" s="44"/>
      <c r="Q231" s="49"/>
      <c r="R231" s="12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4"/>
      <c r="AI231" s="44"/>
      <c r="AJ231" s="44"/>
    </row>
    <row r="232" spans="1:36" ht="27.6" x14ac:dyDescent="0.25">
      <c r="A232" s="96"/>
      <c r="B232" s="244" t="s">
        <v>949</v>
      </c>
      <c r="C232" s="245" t="s">
        <v>351</v>
      </c>
      <c r="D232" s="244" t="s">
        <v>44</v>
      </c>
      <c r="E232" s="244" t="s">
        <v>352</v>
      </c>
      <c r="F232" s="246" t="s">
        <v>55</v>
      </c>
      <c r="G232" s="259">
        <v>37</v>
      </c>
      <c r="H232" s="247"/>
      <c r="I232" s="247"/>
      <c r="J232" s="247"/>
      <c r="K232" s="247"/>
      <c r="L232" s="247"/>
      <c r="M232" s="247"/>
      <c r="N232" s="247"/>
      <c r="O232" s="248"/>
      <c r="P232" s="44"/>
      <c r="Q232" s="49"/>
      <c r="R232" s="12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4"/>
      <c r="AI232" s="44"/>
      <c r="AJ232" s="44"/>
    </row>
    <row r="233" spans="1:36" ht="41.4" x14ac:dyDescent="0.25">
      <c r="A233" s="96"/>
      <c r="B233" s="244" t="s">
        <v>950</v>
      </c>
      <c r="C233" s="245" t="s">
        <v>951</v>
      </c>
      <c r="D233" s="244" t="s">
        <v>121</v>
      </c>
      <c r="E233" s="244" t="s">
        <v>952</v>
      </c>
      <c r="F233" s="246" t="s">
        <v>55</v>
      </c>
      <c r="G233" s="259">
        <v>103</v>
      </c>
      <c r="H233" s="247"/>
      <c r="I233" s="247"/>
      <c r="J233" s="247"/>
      <c r="K233" s="247"/>
      <c r="L233" s="247"/>
      <c r="M233" s="247"/>
      <c r="N233" s="247"/>
      <c r="O233" s="248"/>
      <c r="P233" s="44"/>
      <c r="Q233" s="49"/>
      <c r="R233" s="12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4"/>
      <c r="AI233" s="44"/>
      <c r="AJ233" s="44"/>
    </row>
    <row r="234" spans="1:36" x14ac:dyDescent="0.25">
      <c r="A234" s="96"/>
      <c r="B234" s="244" t="s">
        <v>953</v>
      </c>
      <c r="C234" s="245" t="s">
        <v>357</v>
      </c>
      <c r="D234" s="244" t="s">
        <v>182</v>
      </c>
      <c r="E234" s="244" t="s">
        <v>358</v>
      </c>
      <c r="F234" s="246" t="s">
        <v>213</v>
      </c>
      <c r="G234" s="259">
        <v>6</v>
      </c>
      <c r="H234" s="247"/>
      <c r="I234" s="247"/>
      <c r="J234" s="247"/>
      <c r="K234" s="247"/>
      <c r="L234" s="247"/>
      <c r="M234" s="247"/>
      <c r="N234" s="247"/>
      <c r="O234" s="248"/>
      <c r="P234" s="44"/>
      <c r="Q234" s="49"/>
      <c r="R234" s="12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4"/>
      <c r="AI234" s="44"/>
      <c r="AJ234" s="44"/>
    </row>
    <row r="235" spans="1:36" ht="27.6" x14ac:dyDescent="0.25">
      <c r="A235" s="96"/>
      <c r="B235" s="244" t="s">
        <v>954</v>
      </c>
      <c r="C235" s="245" t="s">
        <v>955</v>
      </c>
      <c r="D235" s="244" t="s">
        <v>956</v>
      </c>
      <c r="E235" s="244" t="s">
        <v>1889</v>
      </c>
      <c r="F235" s="246" t="s">
        <v>957</v>
      </c>
      <c r="G235" s="259">
        <v>9</v>
      </c>
      <c r="H235" s="247"/>
      <c r="I235" s="247"/>
      <c r="J235" s="247"/>
      <c r="K235" s="247"/>
      <c r="L235" s="247"/>
      <c r="M235" s="247"/>
      <c r="N235" s="247"/>
      <c r="O235" s="248"/>
      <c r="P235" s="44"/>
      <c r="Q235" s="49"/>
      <c r="R235" s="12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4"/>
      <c r="AI235" s="44"/>
      <c r="AJ235" s="44"/>
    </row>
    <row r="236" spans="1:36" ht="41.4" x14ac:dyDescent="0.25">
      <c r="A236" s="96"/>
      <c r="B236" s="244" t="s">
        <v>958</v>
      </c>
      <c r="C236" s="245" t="s">
        <v>359</v>
      </c>
      <c r="D236" s="244" t="s">
        <v>44</v>
      </c>
      <c r="E236" s="244" t="s">
        <v>360</v>
      </c>
      <c r="F236" s="246" t="s">
        <v>55</v>
      </c>
      <c r="G236" s="259">
        <v>5</v>
      </c>
      <c r="H236" s="247"/>
      <c r="I236" s="247"/>
      <c r="J236" s="247"/>
      <c r="K236" s="247"/>
      <c r="L236" s="247"/>
      <c r="M236" s="247"/>
      <c r="N236" s="247"/>
      <c r="O236" s="248"/>
      <c r="P236" s="44"/>
      <c r="Q236" s="49"/>
      <c r="R236" s="12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4"/>
      <c r="AI236" s="44"/>
      <c r="AJ236" s="44"/>
    </row>
    <row r="237" spans="1:36" x14ac:dyDescent="0.25">
      <c r="A237" s="96"/>
      <c r="B237" s="244" t="s">
        <v>2324</v>
      </c>
      <c r="C237" s="245" t="s">
        <v>2325</v>
      </c>
      <c r="D237" s="244" t="s">
        <v>44</v>
      </c>
      <c r="E237" s="244" t="s">
        <v>2326</v>
      </c>
      <c r="F237" s="246" t="s">
        <v>55</v>
      </c>
      <c r="G237" s="259">
        <v>1</v>
      </c>
      <c r="H237" s="247"/>
      <c r="I237" s="247"/>
      <c r="J237" s="247"/>
      <c r="K237" s="247"/>
      <c r="L237" s="247"/>
      <c r="M237" s="247"/>
      <c r="N237" s="247"/>
      <c r="O237" s="248"/>
      <c r="P237" s="44"/>
      <c r="Q237" s="49"/>
      <c r="R237" s="12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4"/>
      <c r="AI237" s="44"/>
      <c r="AJ237" s="44"/>
    </row>
    <row r="238" spans="1:36" x14ac:dyDescent="0.25">
      <c r="A238" s="96"/>
      <c r="B238" s="240">
        <v>16</v>
      </c>
      <c r="C238" s="240"/>
      <c r="D238" s="240"/>
      <c r="E238" s="240" t="s">
        <v>959</v>
      </c>
      <c r="F238" s="240"/>
      <c r="G238" s="258"/>
      <c r="H238" s="241"/>
      <c r="I238" s="240"/>
      <c r="J238" s="240"/>
      <c r="K238" s="240"/>
      <c r="L238" s="240"/>
      <c r="M238" s="240"/>
      <c r="N238" s="242"/>
      <c r="O238" s="243"/>
      <c r="P238" s="44"/>
      <c r="Q238" s="49"/>
      <c r="R238" s="12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4"/>
      <c r="AI238" s="44"/>
      <c r="AJ238" s="44"/>
    </row>
    <row r="239" spans="1:36" ht="27.6" x14ac:dyDescent="0.25">
      <c r="A239" s="96"/>
      <c r="B239" s="244" t="s">
        <v>379</v>
      </c>
      <c r="C239" s="245" t="s">
        <v>960</v>
      </c>
      <c r="D239" s="244" t="s">
        <v>182</v>
      </c>
      <c r="E239" s="244" t="s">
        <v>961</v>
      </c>
      <c r="F239" s="246" t="s">
        <v>324</v>
      </c>
      <c r="G239" s="259">
        <v>19.2</v>
      </c>
      <c r="H239" s="247"/>
      <c r="I239" s="247"/>
      <c r="J239" s="247"/>
      <c r="K239" s="247"/>
      <c r="L239" s="247"/>
      <c r="M239" s="247"/>
      <c r="N239" s="247"/>
      <c r="O239" s="248"/>
      <c r="P239" s="44"/>
      <c r="Q239" s="49"/>
      <c r="R239" s="12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4"/>
      <c r="AI239" s="44"/>
      <c r="AJ239" s="44"/>
    </row>
    <row r="240" spans="1:36" x14ac:dyDescent="0.25">
      <c r="A240" s="96"/>
      <c r="B240" s="244" t="s">
        <v>2308</v>
      </c>
      <c r="C240" s="245" t="s">
        <v>2309</v>
      </c>
      <c r="D240" s="244" t="s">
        <v>65</v>
      </c>
      <c r="E240" s="244" t="s">
        <v>2310</v>
      </c>
      <c r="F240" s="246" t="s">
        <v>71</v>
      </c>
      <c r="G240" s="259">
        <v>12</v>
      </c>
      <c r="H240" s="247"/>
      <c r="I240" s="247"/>
      <c r="J240" s="247"/>
      <c r="K240" s="247"/>
      <c r="L240" s="247"/>
      <c r="M240" s="247"/>
      <c r="N240" s="247"/>
      <c r="O240" s="248"/>
      <c r="P240" s="44"/>
      <c r="Q240" s="49"/>
      <c r="R240" s="12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4"/>
      <c r="AI240" s="44"/>
      <c r="AJ240" s="44"/>
    </row>
    <row r="241" spans="1:36" x14ac:dyDescent="0.25">
      <c r="A241" s="96"/>
      <c r="B241" s="240">
        <v>17</v>
      </c>
      <c r="C241" s="240"/>
      <c r="D241" s="240"/>
      <c r="E241" s="240" t="s">
        <v>962</v>
      </c>
      <c r="F241" s="240"/>
      <c r="G241" s="258"/>
      <c r="H241" s="241"/>
      <c r="I241" s="240"/>
      <c r="J241" s="240"/>
      <c r="K241" s="240"/>
      <c r="L241" s="240"/>
      <c r="M241" s="240"/>
      <c r="N241" s="242"/>
      <c r="O241" s="243"/>
      <c r="P241" s="44"/>
      <c r="Q241" s="49"/>
      <c r="R241" s="12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4"/>
      <c r="AI241" s="44"/>
      <c r="AJ241" s="44"/>
    </row>
    <row r="242" spans="1:36" x14ac:dyDescent="0.25">
      <c r="A242" s="96"/>
      <c r="B242" s="240" t="s">
        <v>383</v>
      </c>
      <c r="C242" s="240"/>
      <c r="D242" s="240"/>
      <c r="E242" s="240" t="s">
        <v>963</v>
      </c>
      <c r="F242" s="240"/>
      <c r="G242" s="258"/>
      <c r="H242" s="241"/>
      <c r="I242" s="240"/>
      <c r="J242" s="240"/>
      <c r="K242" s="240"/>
      <c r="L242" s="240"/>
      <c r="M242" s="240"/>
      <c r="N242" s="242"/>
      <c r="O242" s="243"/>
      <c r="P242" s="44"/>
      <c r="Q242" s="49"/>
      <c r="R242" s="12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4"/>
      <c r="AI242" s="44"/>
      <c r="AJ242" s="44"/>
    </row>
    <row r="243" spans="1:36" x14ac:dyDescent="0.25">
      <c r="A243" s="96"/>
      <c r="B243" s="244" t="s">
        <v>964</v>
      </c>
      <c r="C243" s="245" t="s">
        <v>965</v>
      </c>
      <c r="D243" s="244" t="s">
        <v>263</v>
      </c>
      <c r="E243" s="244" t="s">
        <v>1890</v>
      </c>
      <c r="F243" s="246" t="s">
        <v>213</v>
      </c>
      <c r="G243" s="259">
        <v>2</v>
      </c>
      <c r="H243" s="247"/>
      <c r="I243" s="247"/>
      <c r="J243" s="247"/>
      <c r="K243" s="247"/>
      <c r="L243" s="247"/>
      <c r="M243" s="247"/>
      <c r="N243" s="247"/>
      <c r="O243" s="248"/>
      <c r="P243" s="44"/>
      <c r="Q243" s="49"/>
      <c r="R243" s="12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4"/>
      <c r="AI243" s="44"/>
      <c r="AJ243" s="44"/>
    </row>
    <row r="244" spans="1:36" ht="27.6" x14ac:dyDescent="0.25">
      <c r="A244" s="96"/>
      <c r="B244" s="244" t="s">
        <v>966</v>
      </c>
      <c r="C244" s="245" t="s">
        <v>968</v>
      </c>
      <c r="D244" s="244" t="s">
        <v>44</v>
      </c>
      <c r="E244" s="244" t="s">
        <v>969</v>
      </c>
      <c r="F244" s="246" t="s">
        <v>55</v>
      </c>
      <c r="G244" s="259">
        <v>1</v>
      </c>
      <c r="H244" s="247"/>
      <c r="I244" s="247"/>
      <c r="J244" s="247"/>
      <c r="K244" s="247"/>
      <c r="L244" s="247"/>
      <c r="M244" s="247"/>
      <c r="N244" s="247"/>
      <c r="O244" s="248"/>
      <c r="P244" s="44"/>
      <c r="Q244" s="49"/>
      <c r="R244" s="12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4"/>
      <c r="AI244" s="44"/>
      <c r="AJ244" s="44"/>
    </row>
    <row r="245" spans="1:36" ht="27.6" x14ac:dyDescent="0.25">
      <c r="A245" s="96"/>
      <c r="B245" s="244" t="s">
        <v>967</v>
      </c>
      <c r="C245" s="245" t="s">
        <v>214</v>
      </c>
      <c r="D245" s="244" t="s">
        <v>44</v>
      </c>
      <c r="E245" s="244" t="s">
        <v>215</v>
      </c>
      <c r="F245" s="246" t="s">
        <v>55</v>
      </c>
      <c r="G245" s="259">
        <v>7</v>
      </c>
      <c r="H245" s="247"/>
      <c r="I245" s="247"/>
      <c r="J245" s="247"/>
      <c r="K245" s="247"/>
      <c r="L245" s="247"/>
      <c r="M245" s="247"/>
      <c r="N245" s="247"/>
      <c r="O245" s="248"/>
      <c r="P245" s="44"/>
      <c r="Q245" s="49"/>
      <c r="R245" s="12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4"/>
      <c r="AI245" s="44"/>
      <c r="AJ245" s="44"/>
    </row>
    <row r="246" spans="1:36" ht="27.6" x14ac:dyDescent="0.25">
      <c r="A246" s="96"/>
      <c r="B246" s="244" t="s">
        <v>970</v>
      </c>
      <c r="C246" s="245" t="s">
        <v>972</v>
      </c>
      <c r="D246" s="244" t="s">
        <v>44</v>
      </c>
      <c r="E246" s="244" t="s">
        <v>973</v>
      </c>
      <c r="F246" s="246" t="s">
        <v>55</v>
      </c>
      <c r="G246" s="259">
        <v>1</v>
      </c>
      <c r="H246" s="247"/>
      <c r="I246" s="247"/>
      <c r="J246" s="247"/>
      <c r="K246" s="247"/>
      <c r="L246" s="247"/>
      <c r="M246" s="247"/>
      <c r="N246" s="247"/>
      <c r="O246" s="248"/>
      <c r="P246" s="44"/>
      <c r="Q246" s="49"/>
      <c r="R246" s="12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4"/>
      <c r="AI246" s="44"/>
      <c r="AJ246" s="44"/>
    </row>
    <row r="247" spans="1:36" ht="27.6" x14ac:dyDescent="0.25">
      <c r="A247" s="96"/>
      <c r="B247" s="244" t="s">
        <v>971</v>
      </c>
      <c r="C247" s="245" t="s">
        <v>976</v>
      </c>
      <c r="D247" s="244" t="s">
        <v>44</v>
      </c>
      <c r="E247" s="244" t="s">
        <v>977</v>
      </c>
      <c r="F247" s="246" t="s">
        <v>55</v>
      </c>
      <c r="G247" s="259">
        <v>2</v>
      </c>
      <c r="H247" s="247"/>
      <c r="I247" s="247"/>
      <c r="J247" s="247"/>
      <c r="K247" s="247"/>
      <c r="L247" s="247"/>
      <c r="M247" s="247"/>
      <c r="N247" s="247"/>
      <c r="O247" s="248"/>
      <c r="P247" s="44"/>
      <c r="Q247" s="49"/>
      <c r="R247" s="12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4"/>
      <c r="AI247" s="44"/>
      <c r="AJ247" s="44"/>
    </row>
    <row r="248" spans="1:36" ht="27.6" x14ac:dyDescent="0.25">
      <c r="A248" s="96"/>
      <c r="B248" s="244" t="s">
        <v>974</v>
      </c>
      <c r="C248" s="245" t="s">
        <v>979</v>
      </c>
      <c r="D248" s="244" t="s">
        <v>44</v>
      </c>
      <c r="E248" s="244" t="s">
        <v>980</v>
      </c>
      <c r="F248" s="246" t="s">
        <v>55</v>
      </c>
      <c r="G248" s="259">
        <v>1</v>
      </c>
      <c r="H248" s="247"/>
      <c r="I248" s="247"/>
      <c r="J248" s="247"/>
      <c r="K248" s="247"/>
      <c r="L248" s="247"/>
      <c r="M248" s="247"/>
      <c r="N248" s="247"/>
      <c r="O248" s="248"/>
      <c r="P248" s="44"/>
      <c r="Q248" s="49"/>
      <c r="R248" s="12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4"/>
      <c r="AI248" s="44"/>
      <c r="AJ248" s="44"/>
    </row>
    <row r="249" spans="1:36" ht="41.4" x14ac:dyDescent="0.25">
      <c r="A249" s="96"/>
      <c r="B249" s="244" t="s">
        <v>975</v>
      </c>
      <c r="C249" s="245" t="s">
        <v>982</v>
      </c>
      <c r="D249" s="244" t="s">
        <v>44</v>
      </c>
      <c r="E249" s="244" t="s">
        <v>983</v>
      </c>
      <c r="F249" s="246" t="s">
        <v>55</v>
      </c>
      <c r="G249" s="259">
        <v>1</v>
      </c>
      <c r="H249" s="247"/>
      <c r="I249" s="247"/>
      <c r="J249" s="247"/>
      <c r="K249" s="247"/>
      <c r="L249" s="247"/>
      <c r="M249" s="247"/>
      <c r="N249" s="247"/>
      <c r="O249" s="248"/>
      <c r="P249" s="44"/>
      <c r="Q249" s="49"/>
      <c r="R249" s="12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4"/>
      <c r="AI249" s="44"/>
      <c r="AJ249" s="44"/>
    </row>
    <row r="250" spans="1:36" ht="41.4" x14ac:dyDescent="0.25">
      <c r="A250" s="96"/>
      <c r="B250" s="244" t="s">
        <v>978</v>
      </c>
      <c r="C250" s="245" t="s">
        <v>985</v>
      </c>
      <c r="D250" s="244" t="s">
        <v>44</v>
      </c>
      <c r="E250" s="244" t="s">
        <v>986</v>
      </c>
      <c r="F250" s="246" t="s">
        <v>55</v>
      </c>
      <c r="G250" s="259">
        <v>23</v>
      </c>
      <c r="H250" s="247"/>
      <c r="I250" s="247"/>
      <c r="J250" s="247"/>
      <c r="K250" s="247"/>
      <c r="L250" s="247"/>
      <c r="M250" s="247"/>
      <c r="N250" s="247"/>
      <c r="O250" s="248"/>
      <c r="P250" s="44"/>
      <c r="Q250" s="49"/>
      <c r="R250" s="12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4"/>
      <c r="AI250" s="44"/>
      <c r="AJ250" s="44"/>
    </row>
    <row r="251" spans="1:36" ht="27.6" x14ac:dyDescent="0.25">
      <c r="A251" s="96"/>
      <c r="B251" s="244" t="s">
        <v>981</v>
      </c>
      <c r="C251" s="245" t="s">
        <v>988</v>
      </c>
      <c r="D251" s="244" t="s">
        <v>44</v>
      </c>
      <c r="E251" s="244" t="s">
        <v>989</v>
      </c>
      <c r="F251" s="246" t="s">
        <v>55</v>
      </c>
      <c r="G251" s="259">
        <v>5</v>
      </c>
      <c r="H251" s="247"/>
      <c r="I251" s="247"/>
      <c r="J251" s="247"/>
      <c r="K251" s="247"/>
      <c r="L251" s="247"/>
      <c r="M251" s="247"/>
      <c r="N251" s="247"/>
      <c r="O251" s="248"/>
      <c r="P251" s="44"/>
      <c r="Q251" s="49"/>
      <c r="R251" s="12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4"/>
      <c r="AI251" s="44"/>
      <c r="AJ251" s="44"/>
    </row>
    <row r="252" spans="1:36" ht="27.6" x14ac:dyDescent="0.25">
      <c r="A252" s="96"/>
      <c r="B252" s="244" t="s">
        <v>984</v>
      </c>
      <c r="C252" s="245" t="s">
        <v>991</v>
      </c>
      <c r="D252" s="244" t="s">
        <v>44</v>
      </c>
      <c r="E252" s="244" t="s">
        <v>992</v>
      </c>
      <c r="F252" s="246" t="s">
        <v>55</v>
      </c>
      <c r="G252" s="259">
        <v>38</v>
      </c>
      <c r="H252" s="247"/>
      <c r="I252" s="247"/>
      <c r="J252" s="247"/>
      <c r="K252" s="247"/>
      <c r="L252" s="247"/>
      <c r="M252" s="247"/>
      <c r="N252" s="247"/>
      <c r="O252" s="248"/>
      <c r="P252" s="44"/>
      <c r="Q252" s="49"/>
      <c r="R252" s="12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4"/>
      <c r="AI252" s="44"/>
      <c r="AJ252" s="44"/>
    </row>
    <row r="253" spans="1:36" x14ac:dyDescent="0.25">
      <c r="A253" s="96"/>
      <c r="B253" s="244" t="s">
        <v>987</v>
      </c>
      <c r="C253" s="245" t="s">
        <v>994</v>
      </c>
      <c r="D253" s="244" t="s">
        <v>44</v>
      </c>
      <c r="E253" s="244" t="s">
        <v>995</v>
      </c>
      <c r="F253" s="246" t="s">
        <v>55</v>
      </c>
      <c r="G253" s="259">
        <v>2</v>
      </c>
      <c r="H253" s="247"/>
      <c r="I253" s="247"/>
      <c r="J253" s="247"/>
      <c r="K253" s="247"/>
      <c r="L253" s="247"/>
      <c r="M253" s="247"/>
      <c r="N253" s="247"/>
      <c r="O253" s="248"/>
      <c r="P253" s="44"/>
      <c r="Q253" s="49"/>
      <c r="R253" s="12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4"/>
      <c r="AI253" s="44"/>
      <c r="AJ253" s="44"/>
    </row>
    <row r="254" spans="1:36" ht="27.6" x14ac:dyDescent="0.25">
      <c r="A254" s="96"/>
      <c r="B254" s="244" t="s">
        <v>990</v>
      </c>
      <c r="C254" s="245" t="s">
        <v>997</v>
      </c>
      <c r="D254" s="244" t="s">
        <v>44</v>
      </c>
      <c r="E254" s="244" t="s">
        <v>998</v>
      </c>
      <c r="F254" s="246" t="s">
        <v>71</v>
      </c>
      <c r="G254" s="259">
        <v>527.4</v>
      </c>
      <c r="H254" s="247"/>
      <c r="I254" s="247"/>
      <c r="J254" s="247"/>
      <c r="K254" s="247"/>
      <c r="L254" s="247"/>
      <c r="M254" s="247"/>
      <c r="N254" s="247"/>
      <c r="O254" s="248"/>
      <c r="P254" s="44"/>
      <c r="Q254" s="49"/>
      <c r="R254" s="12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4"/>
      <c r="AI254" s="44"/>
      <c r="AJ254" s="44"/>
    </row>
    <row r="255" spans="1:36" ht="27.6" x14ac:dyDescent="0.25">
      <c r="A255" s="96"/>
      <c r="B255" s="244" t="s">
        <v>993</v>
      </c>
      <c r="C255" s="245" t="s">
        <v>1000</v>
      </c>
      <c r="D255" s="244" t="s">
        <v>44</v>
      </c>
      <c r="E255" s="244" t="s">
        <v>1001</v>
      </c>
      <c r="F255" s="246" t="s">
        <v>55</v>
      </c>
      <c r="G255" s="259">
        <v>14</v>
      </c>
      <c r="H255" s="247"/>
      <c r="I255" s="247"/>
      <c r="J255" s="247"/>
      <c r="K255" s="247"/>
      <c r="L255" s="247"/>
      <c r="M255" s="247"/>
      <c r="N255" s="247"/>
      <c r="O255" s="248"/>
      <c r="P255" s="44"/>
      <c r="Q255" s="49"/>
      <c r="R255" s="12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4"/>
      <c r="AI255" s="44"/>
      <c r="AJ255" s="44"/>
    </row>
    <row r="256" spans="1:36" x14ac:dyDescent="0.25">
      <c r="A256" s="96"/>
      <c r="B256" s="244" t="s">
        <v>996</v>
      </c>
      <c r="C256" s="245" t="s">
        <v>1003</v>
      </c>
      <c r="D256" s="244" t="s">
        <v>182</v>
      </c>
      <c r="E256" s="244" t="s">
        <v>1004</v>
      </c>
      <c r="F256" s="246" t="s">
        <v>213</v>
      </c>
      <c r="G256" s="259">
        <v>2</v>
      </c>
      <c r="H256" s="247"/>
      <c r="I256" s="247"/>
      <c r="J256" s="247"/>
      <c r="K256" s="247"/>
      <c r="L256" s="247"/>
      <c r="M256" s="247"/>
      <c r="N256" s="247"/>
      <c r="O256" s="248"/>
      <c r="P256" s="44"/>
      <c r="Q256" s="49"/>
      <c r="R256" s="12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4"/>
      <c r="AI256" s="44"/>
      <c r="AJ256" s="44"/>
    </row>
    <row r="257" spans="1:36" x14ac:dyDescent="0.25">
      <c r="A257" s="96"/>
      <c r="B257" s="244" t="s">
        <v>999</v>
      </c>
      <c r="C257" s="245" t="s">
        <v>1006</v>
      </c>
      <c r="D257" s="244" t="s">
        <v>182</v>
      </c>
      <c r="E257" s="244" t="s">
        <v>1007</v>
      </c>
      <c r="F257" s="246" t="s">
        <v>265</v>
      </c>
      <c r="G257" s="259">
        <v>2</v>
      </c>
      <c r="H257" s="247"/>
      <c r="I257" s="247"/>
      <c r="J257" s="247"/>
      <c r="K257" s="247"/>
      <c r="L257" s="247"/>
      <c r="M257" s="247"/>
      <c r="N257" s="247"/>
      <c r="O257" s="248"/>
      <c r="P257" s="44"/>
      <c r="Q257" s="49"/>
      <c r="R257" s="12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4"/>
      <c r="AI257" s="44"/>
      <c r="AJ257" s="44"/>
    </row>
    <row r="258" spans="1:36" x14ac:dyDescent="0.25">
      <c r="A258" s="96"/>
      <c r="B258" s="244" t="s">
        <v>1002</v>
      </c>
      <c r="C258" s="245" t="s">
        <v>1009</v>
      </c>
      <c r="D258" s="244" t="s">
        <v>182</v>
      </c>
      <c r="E258" s="244" t="s">
        <v>1010</v>
      </c>
      <c r="F258" s="246" t="s">
        <v>213</v>
      </c>
      <c r="G258" s="259">
        <v>1</v>
      </c>
      <c r="H258" s="247"/>
      <c r="I258" s="247"/>
      <c r="J258" s="247"/>
      <c r="K258" s="247"/>
      <c r="L258" s="247"/>
      <c r="M258" s="247"/>
      <c r="N258" s="247"/>
      <c r="O258" s="248"/>
      <c r="P258" s="44"/>
      <c r="Q258" s="49"/>
      <c r="R258" s="12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4"/>
      <c r="AI258" s="44"/>
      <c r="AJ258" s="44"/>
    </row>
    <row r="259" spans="1:36" x14ac:dyDescent="0.25">
      <c r="A259" s="96"/>
      <c r="B259" s="244" t="s">
        <v>1005</v>
      </c>
      <c r="C259" s="245" t="s">
        <v>1012</v>
      </c>
      <c r="D259" s="244" t="s">
        <v>44</v>
      </c>
      <c r="E259" s="244" t="s">
        <v>1013</v>
      </c>
      <c r="F259" s="246" t="s">
        <v>55</v>
      </c>
      <c r="G259" s="259">
        <v>2</v>
      </c>
      <c r="H259" s="247"/>
      <c r="I259" s="247"/>
      <c r="J259" s="247"/>
      <c r="K259" s="247"/>
      <c r="L259" s="247"/>
      <c r="M259" s="247"/>
      <c r="N259" s="247"/>
      <c r="O259" s="248"/>
      <c r="P259" s="44"/>
      <c r="Q259" s="49"/>
      <c r="R259" s="12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4"/>
      <c r="AI259" s="44"/>
      <c r="AJ259" s="44"/>
    </row>
    <row r="260" spans="1:36" ht="27.6" x14ac:dyDescent="0.25">
      <c r="A260" s="96"/>
      <c r="B260" s="244" t="s">
        <v>1008</v>
      </c>
      <c r="C260" s="245" t="s">
        <v>1015</v>
      </c>
      <c r="D260" s="244" t="s">
        <v>44</v>
      </c>
      <c r="E260" s="244" t="s">
        <v>1016</v>
      </c>
      <c r="F260" s="246" t="s">
        <v>55</v>
      </c>
      <c r="G260" s="259">
        <v>2</v>
      </c>
      <c r="H260" s="247"/>
      <c r="I260" s="247"/>
      <c r="J260" s="247"/>
      <c r="K260" s="247"/>
      <c r="L260" s="247"/>
      <c r="M260" s="247"/>
      <c r="N260" s="247"/>
      <c r="O260" s="248"/>
      <c r="P260" s="44"/>
      <c r="Q260" s="49"/>
      <c r="R260" s="12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4"/>
      <c r="AI260" s="44"/>
      <c r="AJ260" s="44"/>
    </row>
    <row r="261" spans="1:36" ht="27.6" x14ac:dyDescent="0.25">
      <c r="A261" s="96"/>
      <c r="B261" s="244" t="s">
        <v>1011</v>
      </c>
      <c r="C261" s="245" t="s">
        <v>1018</v>
      </c>
      <c r="D261" s="244" t="s">
        <v>44</v>
      </c>
      <c r="E261" s="244" t="s">
        <v>1019</v>
      </c>
      <c r="F261" s="246" t="s">
        <v>55</v>
      </c>
      <c r="G261" s="259">
        <v>3</v>
      </c>
      <c r="H261" s="247"/>
      <c r="I261" s="247"/>
      <c r="J261" s="247"/>
      <c r="K261" s="247"/>
      <c r="L261" s="247"/>
      <c r="M261" s="247"/>
      <c r="N261" s="247"/>
      <c r="O261" s="248"/>
      <c r="P261" s="44"/>
      <c r="Q261" s="49"/>
      <c r="R261" s="12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4"/>
      <c r="AI261" s="44"/>
      <c r="AJ261" s="44"/>
    </row>
    <row r="262" spans="1:36" ht="27.6" x14ac:dyDescent="0.25">
      <c r="A262" s="96"/>
      <c r="B262" s="244" t="s">
        <v>1014</v>
      </c>
      <c r="C262" s="245" t="s">
        <v>1021</v>
      </c>
      <c r="D262" s="244" t="s">
        <v>44</v>
      </c>
      <c r="E262" s="244" t="s">
        <v>1022</v>
      </c>
      <c r="F262" s="246" t="s">
        <v>55</v>
      </c>
      <c r="G262" s="259">
        <v>10</v>
      </c>
      <c r="H262" s="247"/>
      <c r="I262" s="247"/>
      <c r="J262" s="247"/>
      <c r="K262" s="247"/>
      <c r="L262" s="247"/>
      <c r="M262" s="247"/>
      <c r="N262" s="247"/>
      <c r="O262" s="248"/>
      <c r="P262" s="44"/>
      <c r="Q262" s="49"/>
      <c r="R262" s="12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4"/>
      <c r="AI262" s="44"/>
      <c r="AJ262" s="44"/>
    </row>
    <row r="263" spans="1:36" ht="27.6" x14ac:dyDescent="0.25">
      <c r="A263" s="96"/>
      <c r="B263" s="244" t="s">
        <v>1017</v>
      </c>
      <c r="C263" s="245" t="s">
        <v>256</v>
      </c>
      <c r="D263" s="244" t="s">
        <v>44</v>
      </c>
      <c r="E263" s="244" t="s">
        <v>257</v>
      </c>
      <c r="F263" s="246" t="s">
        <v>55</v>
      </c>
      <c r="G263" s="259">
        <v>1</v>
      </c>
      <c r="H263" s="247"/>
      <c r="I263" s="247"/>
      <c r="J263" s="247"/>
      <c r="K263" s="247"/>
      <c r="L263" s="247"/>
      <c r="M263" s="247"/>
      <c r="N263" s="247"/>
      <c r="O263" s="248"/>
      <c r="P263" s="44"/>
      <c r="Q263" s="49"/>
      <c r="R263" s="12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4"/>
      <c r="AI263" s="44"/>
      <c r="AJ263" s="44"/>
    </row>
    <row r="264" spans="1:36" ht="41.4" x14ac:dyDescent="0.25">
      <c r="A264" s="96"/>
      <c r="B264" s="244" t="s">
        <v>1020</v>
      </c>
      <c r="C264" s="245" t="s">
        <v>1027</v>
      </c>
      <c r="D264" s="244" t="s">
        <v>44</v>
      </c>
      <c r="E264" s="244" t="s">
        <v>1028</v>
      </c>
      <c r="F264" s="246" t="s">
        <v>55</v>
      </c>
      <c r="G264" s="259">
        <v>8</v>
      </c>
      <c r="H264" s="247"/>
      <c r="I264" s="247"/>
      <c r="J264" s="247"/>
      <c r="K264" s="247"/>
      <c r="L264" s="247"/>
      <c r="M264" s="247"/>
      <c r="N264" s="247"/>
      <c r="O264" s="248"/>
      <c r="P264" s="44"/>
      <c r="Q264" s="49"/>
      <c r="R264" s="86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4"/>
      <c r="AI264" s="44"/>
      <c r="AJ264" s="44"/>
    </row>
    <row r="265" spans="1:36" ht="27.6" x14ac:dyDescent="0.25">
      <c r="A265" s="96"/>
      <c r="B265" s="244" t="s">
        <v>1023</v>
      </c>
      <c r="C265" s="245" t="s">
        <v>220</v>
      </c>
      <c r="D265" s="244" t="s">
        <v>44</v>
      </c>
      <c r="E265" s="244" t="s">
        <v>221</v>
      </c>
      <c r="F265" s="246" t="s">
        <v>55</v>
      </c>
      <c r="G265" s="259">
        <v>7</v>
      </c>
      <c r="H265" s="247"/>
      <c r="I265" s="247"/>
      <c r="J265" s="247"/>
      <c r="K265" s="247"/>
      <c r="L265" s="247"/>
      <c r="M265" s="247"/>
      <c r="N265" s="247"/>
      <c r="O265" s="248"/>
      <c r="P265" s="44"/>
      <c r="Q265" s="49"/>
      <c r="R265" s="86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4"/>
      <c r="AI265" s="44"/>
      <c r="AJ265" s="44"/>
    </row>
    <row r="266" spans="1:36" ht="27.6" x14ac:dyDescent="0.25">
      <c r="A266" s="96"/>
      <c r="B266" s="244" t="s">
        <v>1025</v>
      </c>
      <c r="C266" s="245" t="s">
        <v>218</v>
      </c>
      <c r="D266" s="244" t="s">
        <v>44</v>
      </c>
      <c r="E266" s="244" t="s">
        <v>219</v>
      </c>
      <c r="F266" s="246" t="s">
        <v>55</v>
      </c>
      <c r="G266" s="259">
        <v>132</v>
      </c>
      <c r="H266" s="247"/>
      <c r="I266" s="247"/>
      <c r="J266" s="247"/>
      <c r="K266" s="247"/>
      <c r="L266" s="247"/>
      <c r="M266" s="247"/>
      <c r="N266" s="247"/>
      <c r="O266" s="248"/>
      <c r="P266" s="44"/>
      <c r="Q266" s="49"/>
      <c r="R266" s="86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4"/>
      <c r="AI266" s="44"/>
      <c r="AJ266" s="44"/>
    </row>
    <row r="267" spans="1:36" ht="27.6" x14ac:dyDescent="0.25">
      <c r="A267" s="96"/>
      <c r="B267" s="244" t="s">
        <v>1026</v>
      </c>
      <c r="C267" s="245" t="s">
        <v>216</v>
      </c>
      <c r="D267" s="244" t="s">
        <v>44</v>
      </c>
      <c r="E267" s="244" t="s">
        <v>217</v>
      </c>
      <c r="F267" s="246" t="s">
        <v>55</v>
      </c>
      <c r="G267" s="259">
        <v>7</v>
      </c>
      <c r="H267" s="247"/>
      <c r="I267" s="247"/>
      <c r="J267" s="247"/>
      <c r="K267" s="247"/>
      <c r="L267" s="247"/>
      <c r="M267" s="247"/>
      <c r="N267" s="247"/>
      <c r="O267" s="248"/>
      <c r="P267" s="44"/>
      <c r="Q267" s="49"/>
      <c r="R267" s="12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4"/>
      <c r="AI267" s="44"/>
      <c r="AJ267" s="44"/>
    </row>
    <row r="268" spans="1:36" ht="27.6" x14ac:dyDescent="0.25">
      <c r="A268" s="96"/>
      <c r="B268" s="244" t="s">
        <v>1029</v>
      </c>
      <c r="C268" s="245" t="s">
        <v>1034</v>
      </c>
      <c r="D268" s="244" t="s">
        <v>44</v>
      </c>
      <c r="E268" s="244" t="s">
        <v>1035</v>
      </c>
      <c r="F268" s="246" t="s">
        <v>55</v>
      </c>
      <c r="G268" s="259">
        <v>1</v>
      </c>
      <c r="H268" s="247"/>
      <c r="I268" s="247"/>
      <c r="J268" s="247"/>
      <c r="K268" s="247"/>
      <c r="L268" s="247"/>
      <c r="M268" s="247"/>
      <c r="N268" s="247"/>
      <c r="O268" s="248"/>
      <c r="P268" s="44"/>
      <c r="Q268" s="49"/>
      <c r="R268" s="12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4"/>
      <c r="AI268" s="44"/>
      <c r="AJ268" s="44"/>
    </row>
    <row r="269" spans="1:36" ht="27.6" x14ac:dyDescent="0.25">
      <c r="A269" s="96"/>
      <c r="B269" s="244" t="s">
        <v>1030</v>
      </c>
      <c r="C269" s="245" t="s">
        <v>1037</v>
      </c>
      <c r="D269" s="244" t="s">
        <v>44</v>
      </c>
      <c r="E269" s="244" t="s">
        <v>1038</v>
      </c>
      <c r="F269" s="246" t="s">
        <v>71</v>
      </c>
      <c r="G269" s="259">
        <v>2</v>
      </c>
      <c r="H269" s="247"/>
      <c r="I269" s="247"/>
      <c r="J269" s="247"/>
      <c r="K269" s="247"/>
      <c r="L269" s="247"/>
      <c r="M269" s="247"/>
      <c r="N269" s="247"/>
      <c r="O269" s="248"/>
      <c r="P269" s="44"/>
      <c r="Q269" s="49"/>
      <c r="R269" s="12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4"/>
      <c r="AI269" s="44"/>
      <c r="AJ269" s="44"/>
    </row>
    <row r="270" spans="1:36" ht="27.6" x14ac:dyDescent="0.25">
      <c r="A270" s="44"/>
      <c r="B270" s="244" t="s">
        <v>1031</v>
      </c>
      <c r="C270" s="245" t="s">
        <v>1040</v>
      </c>
      <c r="D270" s="244" t="s">
        <v>44</v>
      </c>
      <c r="E270" s="244" t="s">
        <v>1041</v>
      </c>
      <c r="F270" s="246" t="s">
        <v>71</v>
      </c>
      <c r="G270" s="259">
        <v>6</v>
      </c>
      <c r="H270" s="247"/>
      <c r="I270" s="247"/>
      <c r="J270" s="247"/>
      <c r="K270" s="247"/>
      <c r="L270" s="247"/>
      <c r="M270" s="247"/>
      <c r="N270" s="247"/>
      <c r="O270" s="248"/>
      <c r="P270" s="44"/>
      <c r="Q270" s="49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</row>
    <row r="271" spans="1:36" ht="27.6" x14ac:dyDescent="0.25">
      <c r="A271" s="96"/>
      <c r="B271" s="244" t="s">
        <v>1032</v>
      </c>
      <c r="C271" s="245" t="s">
        <v>1043</v>
      </c>
      <c r="D271" s="244" t="s">
        <v>44</v>
      </c>
      <c r="E271" s="244" t="s">
        <v>1044</v>
      </c>
      <c r="F271" s="246" t="s">
        <v>55</v>
      </c>
      <c r="G271" s="259">
        <v>1</v>
      </c>
      <c r="H271" s="247"/>
      <c r="I271" s="247"/>
      <c r="J271" s="247"/>
      <c r="K271" s="247"/>
      <c r="L271" s="247"/>
      <c r="M271" s="247"/>
      <c r="N271" s="247"/>
      <c r="O271" s="248"/>
      <c r="P271" s="44"/>
      <c r="Q271" s="49"/>
      <c r="R271" s="103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4"/>
      <c r="AJ271" s="44"/>
    </row>
    <row r="272" spans="1:36" ht="27.6" x14ac:dyDescent="0.25">
      <c r="A272" s="96"/>
      <c r="B272" s="244" t="s">
        <v>1033</v>
      </c>
      <c r="C272" s="245" t="s">
        <v>1046</v>
      </c>
      <c r="D272" s="244" t="s">
        <v>44</v>
      </c>
      <c r="E272" s="244" t="s">
        <v>1047</v>
      </c>
      <c r="F272" s="246" t="s">
        <v>55</v>
      </c>
      <c r="G272" s="259">
        <v>7</v>
      </c>
      <c r="H272" s="247"/>
      <c r="I272" s="247"/>
      <c r="J272" s="247"/>
      <c r="K272" s="247"/>
      <c r="L272" s="247"/>
      <c r="M272" s="247"/>
      <c r="N272" s="247"/>
      <c r="O272" s="248"/>
      <c r="P272" s="44"/>
      <c r="Q272" s="49"/>
      <c r="R272" s="103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4"/>
      <c r="AJ272" s="44"/>
    </row>
    <row r="273" spans="1:36" ht="27.6" x14ac:dyDescent="0.25">
      <c r="A273" s="141"/>
      <c r="B273" s="244" t="s">
        <v>1036</v>
      </c>
      <c r="C273" s="245" t="s">
        <v>1049</v>
      </c>
      <c r="D273" s="244" t="s">
        <v>44</v>
      </c>
      <c r="E273" s="244" t="s">
        <v>1050</v>
      </c>
      <c r="F273" s="246" t="s">
        <v>55</v>
      </c>
      <c r="G273" s="259">
        <v>2</v>
      </c>
      <c r="H273" s="247"/>
      <c r="I273" s="247"/>
      <c r="J273" s="247"/>
      <c r="K273" s="247"/>
      <c r="L273" s="247"/>
      <c r="M273" s="247"/>
      <c r="N273" s="247"/>
      <c r="O273" s="248"/>
      <c r="P273" s="44"/>
      <c r="Q273" s="49"/>
      <c r="R273" s="142"/>
      <c r="S273" s="143"/>
      <c r="T273" s="143"/>
      <c r="U273" s="143"/>
      <c r="V273" s="143"/>
      <c r="W273" s="143"/>
      <c r="X273" s="143"/>
      <c r="Y273" s="143"/>
      <c r="Z273" s="143"/>
      <c r="AA273" s="143"/>
      <c r="AB273" s="143"/>
      <c r="AC273" s="143"/>
      <c r="AD273" s="143"/>
      <c r="AE273" s="143"/>
      <c r="AF273" s="143"/>
      <c r="AG273" s="143"/>
      <c r="AH273" s="143"/>
      <c r="AI273" s="44"/>
      <c r="AJ273" s="44"/>
    </row>
    <row r="274" spans="1:36" ht="41.4" x14ac:dyDescent="0.25">
      <c r="A274" s="96"/>
      <c r="B274" s="244" t="s">
        <v>1039</v>
      </c>
      <c r="C274" s="245" t="s">
        <v>1052</v>
      </c>
      <c r="D274" s="244" t="s">
        <v>44</v>
      </c>
      <c r="E274" s="244" t="s">
        <v>1053</v>
      </c>
      <c r="F274" s="246" t="s">
        <v>55</v>
      </c>
      <c r="G274" s="259">
        <v>1</v>
      </c>
      <c r="H274" s="247"/>
      <c r="I274" s="247"/>
      <c r="J274" s="247"/>
      <c r="K274" s="247"/>
      <c r="L274" s="247"/>
      <c r="M274" s="247"/>
      <c r="N274" s="247"/>
      <c r="O274" s="248"/>
      <c r="P274" s="44"/>
      <c r="Q274" s="49"/>
      <c r="R274" s="103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4"/>
      <c r="AJ274" s="44"/>
    </row>
    <row r="275" spans="1:36" ht="41.4" x14ac:dyDescent="0.25">
      <c r="A275" s="96"/>
      <c r="B275" s="244" t="s">
        <v>1042</v>
      </c>
      <c r="C275" s="245" t="s">
        <v>1055</v>
      </c>
      <c r="D275" s="244" t="s">
        <v>44</v>
      </c>
      <c r="E275" s="244" t="s">
        <v>1056</v>
      </c>
      <c r="F275" s="246" t="s">
        <v>55</v>
      </c>
      <c r="G275" s="259">
        <v>271</v>
      </c>
      <c r="H275" s="247"/>
      <c r="I275" s="247"/>
      <c r="J275" s="247"/>
      <c r="K275" s="247"/>
      <c r="L275" s="247"/>
      <c r="M275" s="247"/>
      <c r="N275" s="247"/>
      <c r="O275" s="248"/>
      <c r="P275" s="44"/>
      <c r="Q275" s="49"/>
      <c r="R275" s="103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4"/>
      <c r="AJ275" s="44"/>
    </row>
    <row r="276" spans="1:36" ht="27.6" x14ac:dyDescent="0.25">
      <c r="A276" s="96"/>
      <c r="B276" s="244" t="s">
        <v>1045</v>
      </c>
      <c r="C276" s="245" t="s">
        <v>1058</v>
      </c>
      <c r="D276" s="244" t="s">
        <v>44</v>
      </c>
      <c r="E276" s="244" t="s">
        <v>1059</v>
      </c>
      <c r="F276" s="246" t="s">
        <v>55</v>
      </c>
      <c r="G276" s="259">
        <v>6</v>
      </c>
      <c r="H276" s="247"/>
      <c r="I276" s="247"/>
      <c r="J276" s="247"/>
      <c r="K276" s="247"/>
      <c r="L276" s="247"/>
      <c r="M276" s="247"/>
      <c r="N276" s="247"/>
      <c r="O276" s="248"/>
      <c r="P276" s="44"/>
      <c r="Q276" s="49"/>
      <c r="R276" s="103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4"/>
      <c r="AJ276" s="44"/>
    </row>
    <row r="277" spans="1:36" ht="27.6" x14ac:dyDescent="0.25">
      <c r="A277" s="96"/>
      <c r="B277" s="244" t="s">
        <v>1048</v>
      </c>
      <c r="C277" s="245" t="s">
        <v>1061</v>
      </c>
      <c r="D277" s="244" t="s">
        <v>44</v>
      </c>
      <c r="E277" s="244" t="s">
        <v>1062</v>
      </c>
      <c r="F277" s="246" t="s">
        <v>55</v>
      </c>
      <c r="G277" s="259">
        <v>4</v>
      </c>
      <c r="H277" s="247"/>
      <c r="I277" s="247"/>
      <c r="J277" s="247"/>
      <c r="K277" s="247"/>
      <c r="L277" s="247"/>
      <c r="M277" s="247"/>
      <c r="N277" s="247"/>
      <c r="O277" s="248"/>
      <c r="P277" s="44"/>
      <c r="Q277" s="49"/>
      <c r="R277" s="103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4"/>
      <c r="AJ277" s="44"/>
    </row>
    <row r="278" spans="1:36" ht="27.6" x14ac:dyDescent="0.25">
      <c r="A278" s="96"/>
      <c r="B278" s="244" t="s">
        <v>1051</v>
      </c>
      <c r="C278" s="245" t="s">
        <v>1064</v>
      </c>
      <c r="D278" s="244" t="s">
        <v>44</v>
      </c>
      <c r="E278" s="244" t="s">
        <v>1065</v>
      </c>
      <c r="F278" s="246" t="s">
        <v>55</v>
      </c>
      <c r="G278" s="259">
        <v>20</v>
      </c>
      <c r="H278" s="247"/>
      <c r="I278" s="247"/>
      <c r="J278" s="247"/>
      <c r="K278" s="247"/>
      <c r="L278" s="247"/>
      <c r="M278" s="247"/>
      <c r="N278" s="247"/>
      <c r="O278" s="248"/>
      <c r="P278" s="44"/>
      <c r="Q278" s="49"/>
      <c r="R278" s="103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4"/>
      <c r="AJ278" s="44"/>
    </row>
    <row r="279" spans="1:36" ht="27.6" x14ac:dyDescent="0.25">
      <c r="A279" s="96"/>
      <c r="B279" s="244" t="s">
        <v>1054</v>
      </c>
      <c r="C279" s="245" t="s">
        <v>1067</v>
      </c>
      <c r="D279" s="244" t="s">
        <v>44</v>
      </c>
      <c r="E279" s="244" t="s">
        <v>1068</v>
      </c>
      <c r="F279" s="246" t="s">
        <v>55</v>
      </c>
      <c r="G279" s="259">
        <v>1</v>
      </c>
      <c r="H279" s="247"/>
      <c r="I279" s="247"/>
      <c r="J279" s="247"/>
      <c r="K279" s="247"/>
      <c r="L279" s="247"/>
      <c r="M279" s="247"/>
      <c r="N279" s="247"/>
      <c r="O279" s="248"/>
      <c r="P279" s="44"/>
      <c r="Q279" s="49"/>
      <c r="R279" s="103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4"/>
      <c r="AJ279" s="44"/>
    </row>
    <row r="280" spans="1:36" ht="27.6" x14ac:dyDescent="0.25">
      <c r="A280" s="96"/>
      <c r="B280" s="244" t="s">
        <v>1057</v>
      </c>
      <c r="C280" s="245" t="s">
        <v>1071</v>
      </c>
      <c r="D280" s="244" t="s">
        <v>44</v>
      </c>
      <c r="E280" s="244" t="s">
        <v>1072</v>
      </c>
      <c r="F280" s="246" t="s">
        <v>55</v>
      </c>
      <c r="G280" s="259">
        <v>373</v>
      </c>
      <c r="H280" s="247"/>
      <c r="I280" s="247"/>
      <c r="J280" s="247"/>
      <c r="K280" s="247"/>
      <c r="L280" s="247"/>
      <c r="M280" s="247"/>
      <c r="N280" s="247"/>
      <c r="O280" s="248"/>
      <c r="P280" s="44"/>
      <c r="Q280" s="49"/>
      <c r="R280" s="103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4"/>
      <c r="AJ280" s="44"/>
    </row>
    <row r="281" spans="1:36" ht="27.6" x14ac:dyDescent="0.25">
      <c r="A281" s="96"/>
      <c r="B281" s="244" t="s">
        <v>1060</v>
      </c>
      <c r="C281" s="245" t="s">
        <v>1075</v>
      </c>
      <c r="D281" s="244" t="s">
        <v>44</v>
      </c>
      <c r="E281" s="244" t="s">
        <v>1076</v>
      </c>
      <c r="F281" s="246" t="s">
        <v>55</v>
      </c>
      <c r="G281" s="259">
        <v>10</v>
      </c>
      <c r="H281" s="247"/>
      <c r="I281" s="247"/>
      <c r="J281" s="247"/>
      <c r="K281" s="247"/>
      <c r="L281" s="247"/>
      <c r="M281" s="247"/>
      <c r="N281" s="247"/>
      <c r="O281" s="248"/>
      <c r="P281" s="44"/>
      <c r="Q281" s="49"/>
      <c r="R281" s="103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4"/>
      <c r="AJ281" s="44"/>
    </row>
    <row r="282" spans="1:36" ht="27.6" x14ac:dyDescent="0.25">
      <c r="A282" s="96"/>
      <c r="B282" s="244" t="s">
        <v>1063</v>
      </c>
      <c r="C282" s="245" t="s">
        <v>1078</v>
      </c>
      <c r="D282" s="244" t="s">
        <v>44</v>
      </c>
      <c r="E282" s="244" t="s">
        <v>1079</v>
      </c>
      <c r="F282" s="246" t="s">
        <v>55</v>
      </c>
      <c r="G282" s="259">
        <v>4</v>
      </c>
      <c r="H282" s="247"/>
      <c r="I282" s="247"/>
      <c r="J282" s="247"/>
      <c r="K282" s="247"/>
      <c r="L282" s="247"/>
      <c r="M282" s="247"/>
      <c r="N282" s="247"/>
      <c r="O282" s="248"/>
      <c r="P282" s="44"/>
      <c r="Q282" s="49"/>
      <c r="R282" s="103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4"/>
      <c r="AJ282" s="44"/>
    </row>
    <row r="283" spans="1:36" ht="27.6" x14ac:dyDescent="0.25">
      <c r="A283" s="96"/>
      <c r="B283" s="244" t="s">
        <v>1066</v>
      </c>
      <c r="C283" s="245" t="s">
        <v>222</v>
      </c>
      <c r="D283" s="244" t="s">
        <v>44</v>
      </c>
      <c r="E283" s="244" t="s">
        <v>223</v>
      </c>
      <c r="F283" s="246" t="s">
        <v>55</v>
      </c>
      <c r="G283" s="259">
        <v>4</v>
      </c>
      <c r="H283" s="247"/>
      <c r="I283" s="247"/>
      <c r="J283" s="247"/>
      <c r="K283" s="247"/>
      <c r="L283" s="247"/>
      <c r="M283" s="247"/>
      <c r="N283" s="247"/>
      <c r="O283" s="248"/>
      <c r="P283" s="44"/>
      <c r="Q283" s="49"/>
      <c r="R283" s="103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4"/>
      <c r="AJ283" s="44"/>
    </row>
    <row r="284" spans="1:36" ht="27.6" x14ac:dyDescent="0.25">
      <c r="A284" s="96"/>
      <c r="B284" s="244" t="s">
        <v>1069</v>
      </c>
      <c r="C284" s="245" t="s">
        <v>1082</v>
      </c>
      <c r="D284" s="244" t="s">
        <v>44</v>
      </c>
      <c r="E284" s="244" t="s">
        <v>1083</v>
      </c>
      <c r="F284" s="246" t="s">
        <v>55</v>
      </c>
      <c r="G284" s="259">
        <v>133</v>
      </c>
      <c r="H284" s="247"/>
      <c r="I284" s="247"/>
      <c r="J284" s="247"/>
      <c r="K284" s="247"/>
      <c r="L284" s="247"/>
      <c r="M284" s="247"/>
      <c r="N284" s="247"/>
      <c r="O284" s="248"/>
      <c r="P284" s="44"/>
      <c r="Q284" s="49"/>
      <c r="R284" s="103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4"/>
      <c r="AJ284" s="44"/>
    </row>
    <row r="285" spans="1:36" ht="27.6" x14ac:dyDescent="0.25">
      <c r="A285" s="96"/>
      <c r="B285" s="244" t="s">
        <v>1070</v>
      </c>
      <c r="C285" s="245" t="s">
        <v>1085</v>
      </c>
      <c r="D285" s="244" t="s">
        <v>44</v>
      </c>
      <c r="E285" s="244" t="s">
        <v>1086</v>
      </c>
      <c r="F285" s="246" t="s">
        <v>55</v>
      </c>
      <c r="G285" s="259">
        <v>9</v>
      </c>
      <c r="H285" s="247"/>
      <c r="I285" s="247"/>
      <c r="J285" s="247"/>
      <c r="K285" s="247"/>
      <c r="L285" s="247"/>
      <c r="M285" s="247"/>
      <c r="N285" s="247"/>
      <c r="O285" s="248"/>
      <c r="P285" s="44"/>
      <c r="Q285" s="49"/>
      <c r="R285" s="103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4"/>
      <c r="AJ285" s="44"/>
    </row>
    <row r="286" spans="1:36" ht="27.6" x14ac:dyDescent="0.25">
      <c r="A286" s="96"/>
      <c r="B286" s="244" t="s">
        <v>1073</v>
      </c>
      <c r="C286" s="245" t="s">
        <v>586</v>
      </c>
      <c r="D286" s="244" t="s">
        <v>44</v>
      </c>
      <c r="E286" s="244" t="s">
        <v>587</v>
      </c>
      <c r="F286" s="246" t="s">
        <v>71</v>
      </c>
      <c r="G286" s="259">
        <v>1128.7</v>
      </c>
      <c r="H286" s="247"/>
      <c r="I286" s="247"/>
      <c r="J286" s="247"/>
      <c r="K286" s="247"/>
      <c r="L286" s="247"/>
      <c r="M286" s="247"/>
      <c r="N286" s="247"/>
      <c r="O286" s="248"/>
      <c r="P286" s="44"/>
      <c r="Q286" s="49"/>
      <c r="R286" s="144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4"/>
      <c r="AJ286" s="44"/>
    </row>
    <row r="287" spans="1:36" ht="27.6" x14ac:dyDescent="0.25">
      <c r="A287" s="96"/>
      <c r="B287" s="244" t="s">
        <v>1074</v>
      </c>
      <c r="C287" s="245" t="s">
        <v>1089</v>
      </c>
      <c r="D287" s="244" t="s">
        <v>44</v>
      </c>
      <c r="E287" s="244" t="s">
        <v>1090</v>
      </c>
      <c r="F287" s="246" t="s">
        <v>71</v>
      </c>
      <c r="G287" s="259">
        <v>0.4</v>
      </c>
      <c r="H287" s="247"/>
      <c r="I287" s="247"/>
      <c r="J287" s="247"/>
      <c r="K287" s="247"/>
      <c r="L287" s="247"/>
      <c r="M287" s="247"/>
      <c r="N287" s="247"/>
      <c r="O287" s="248"/>
      <c r="P287" s="44"/>
      <c r="Q287" s="49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4"/>
      <c r="AJ287" s="44"/>
    </row>
    <row r="288" spans="1:36" ht="27.6" x14ac:dyDescent="0.25">
      <c r="A288" s="145"/>
      <c r="B288" s="244" t="s">
        <v>1077</v>
      </c>
      <c r="C288" s="245" t="s">
        <v>1093</v>
      </c>
      <c r="D288" s="244" t="s">
        <v>44</v>
      </c>
      <c r="E288" s="244" t="s">
        <v>1094</v>
      </c>
      <c r="F288" s="246" t="s">
        <v>71</v>
      </c>
      <c r="G288" s="259">
        <v>164.2</v>
      </c>
      <c r="H288" s="247"/>
      <c r="I288" s="247"/>
      <c r="J288" s="247"/>
      <c r="K288" s="247"/>
      <c r="L288" s="247"/>
      <c r="M288" s="247"/>
      <c r="N288" s="247"/>
      <c r="O288" s="248"/>
      <c r="P288" s="44"/>
      <c r="Q288" s="49"/>
      <c r="R288" s="146"/>
      <c r="S288" s="146"/>
      <c r="T288" s="146"/>
      <c r="U288" s="146"/>
      <c r="V288" s="146"/>
      <c r="W288" s="146"/>
      <c r="X288" s="146"/>
      <c r="Y288" s="146"/>
      <c r="Z288" s="146"/>
      <c r="AA288" s="146"/>
      <c r="AB288" s="146"/>
      <c r="AC288" s="146"/>
      <c r="AD288" s="146"/>
      <c r="AE288" s="146"/>
      <c r="AF288" s="146"/>
      <c r="AG288" s="146"/>
      <c r="AH288" s="146"/>
      <c r="AI288" s="44"/>
      <c r="AJ288" s="44"/>
    </row>
    <row r="289" spans="1:36" ht="27.6" x14ac:dyDescent="0.25">
      <c r="A289" s="145"/>
      <c r="B289" s="244" t="s">
        <v>1080</v>
      </c>
      <c r="C289" s="245" t="s">
        <v>258</v>
      </c>
      <c r="D289" s="244" t="s">
        <v>44</v>
      </c>
      <c r="E289" s="244" t="s">
        <v>259</v>
      </c>
      <c r="F289" s="246" t="s">
        <v>55</v>
      </c>
      <c r="G289" s="259">
        <v>112</v>
      </c>
      <c r="H289" s="247"/>
      <c r="I289" s="247"/>
      <c r="J289" s="247"/>
      <c r="K289" s="247"/>
      <c r="L289" s="247"/>
      <c r="M289" s="247"/>
      <c r="N289" s="247"/>
      <c r="O289" s="248"/>
      <c r="P289" s="44"/>
      <c r="Q289" s="49"/>
      <c r="R289" s="146"/>
      <c r="S289" s="146"/>
      <c r="T289" s="146"/>
      <c r="U289" s="146"/>
      <c r="V289" s="146"/>
      <c r="W289" s="146"/>
      <c r="X289" s="146"/>
      <c r="Y289" s="146"/>
      <c r="Z289" s="146"/>
      <c r="AA289" s="146"/>
      <c r="AB289" s="146"/>
      <c r="AC289" s="146"/>
      <c r="AD289" s="146"/>
      <c r="AE289" s="146"/>
      <c r="AF289" s="146"/>
      <c r="AG289" s="146"/>
      <c r="AH289" s="146"/>
      <c r="AI289" s="44"/>
      <c r="AJ289" s="44"/>
    </row>
    <row r="290" spans="1:36" ht="27.6" x14ac:dyDescent="0.25">
      <c r="A290" s="145"/>
      <c r="B290" s="244" t="s">
        <v>1081</v>
      </c>
      <c r="C290" s="245" t="s">
        <v>1098</v>
      </c>
      <c r="D290" s="244" t="s">
        <v>44</v>
      </c>
      <c r="E290" s="244" t="s">
        <v>1099</v>
      </c>
      <c r="F290" s="246" t="s">
        <v>55</v>
      </c>
      <c r="G290" s="259">
        <v>4</v>
      </c>
      <c r="H290" s="247"/>
      <c r="I290" s="247"/>
      <c r="J290" s="247"/>
      <c r="K290" s="247"/>
      <c r="L290" s="247"/>
      <c r="M290" s="247"/>
      <c r="N290" s="247"/>
      <c r="O290" s="248"/>
      <c r="P290" s="44"/>
      <c r="Q290" s="49"/>
      <c r="R290" s="146"/>
      <c r="S290" s="146"/>
      <c r="T290" s="146"/>
      <c r="U290" s="146"/>
      <c r="V290" s="146"/>
      <c r="W290" s="146"/>
      <c r="X290" s="146"/>
      <c r="Y290" s="146"/>
      <c r="Z290" s="146"/>
      <c r="AA290" s="146"/>
      <c r="AB290" s="146"/>
      <c r="AC290" s="146"/>
      <c r="AD290" s="146"/>
      <c r="AE290" s="146"/>
      <c r="AF290" s="146"/>
      <c r="AG290" s="146"/>
      <c r="AH290" s="146"/>
      <c r="AI290" s="44"/>
      <c r="AJ290" s="44"/>
    </row>
    <row r="291" spans="1:36" ht="27.6" x14ac:dyDescent="0.25">
      <c r="A291" s="145"/>
      <c r="B291" s="244" t="s">
        <v>1084</v>
      </c>
      <c r="C291" s="245" t="s">
        <v>211</v>
      </c>
      <c r="D291" s="244" t="s">
        <v>44</v>
      </c>
      <c r="E291" s="244" t="s">
        <v>212</v>
      </c>
      <c r="F291" s="246" t="s">
        <v>55</v>
      </c>
      <c r="G291" s="259">
        <v>71</v>
      </c>
      <c r="H291" s="247"/>
      <c r="I291" s="247"/>
      <c r="J291" s="247"/>
      <c r="K291" s="247"/>
      <c r="L291" s="247"/>
      <c r="M291" s="247"/>
      <c r="N291" s="247"/>
      <c r="O291" s="248"/>
      <c r="P291" s="44"/>
      <c r="Q291" s="49"/>
      <c r="R291" s="146"/>
      <c r="S291" s="146"/>
      <c r="T291" s="146"/>
      <c r="U291" s="146"/>
      <c r="V291" s="146"/>
      <c r="W291" s="146"/>
      <c r="X291" s="146"/>
      <c r="Y291" s="146"/>
      <c r="Z291" s="146"/>
      <c r="AA291" s="146"/>
      <c r="AB291" s="146"/>
      <c r="AC291" s="146"/>
      <c r="AD291" s="146"/>
      <c r="AE291" s="146"/>
      <c r="AF291" s="146"/>
      <c r="AG291" s="146"/>
      <c r="AH291" s="146"/>
      <c r="AI291" s="44"/>
      <c r="AJ291" s="44"/>
    </row>
    <row r="292" spans="1:36" x14ac:dyDescent="0.25">
      <c r="A292" s="22"/>
      <c r="B292" s="244" t="s">
        <v>1087</v>
      </c>
      <c r="C292" s="245" t="s">
        <v>1102</v>
      </c>
      <c r="D292" s="244" t="s">
        <v>182</v>
      </c>
      <c r="E292" s="244" t="s">
        <v>1103</v>
      </c>
      <c r="F292" s="246" t="s">
        <v>213</v>
      </c>
      <c r="G292" s="259">
        <v>22</v>
      </c>
      <c r="H292" s="247"/>
      <c r="I292" s="247"/>
      <c r="J292" s="247"/>
      <c r="K292" s="247"/>
      <c r="L292" s="247"/>
      <c r="M292" s="247"/>
      <c r="N292" s="247"/>
      <c r="O292" s="248"/>
      <c r="P292" s="44"/>
      <c r="Q292" s="49"/>
      <c r="R292" s="146"/>
      <c r="S292" s="146"/>
      <c r="T292" s="146"/>
      <c r="U292" s="146"/>
      <c r="V292" s="146"/>
      <c r="W292" s="146"/>
      <c r="X292" s="146"/>
      <c r="Y292" s="146"/>
      <c r="Z292" s="146"/>
      <c r="AA292" s="146"/>
      <c r="AB292" s="146"/>
      <c r="AC292" s="146"/>
      <c r="AD292" s="146"/>
      <c r="AE292" s="146"/>
      <c r="AF292" s="146"/>
      <c r="AG292" s="146"/>
      <c r="AH292" s="146"/>
      <c r="AI292" s="44"/>
      <c r="AJ292" s="44"/>
    </row>
    <row r="293" spans="1:36" ht="27.6" x14ac:dyDescent="0.25">
      <c r="A293" s="22"/>
      <c r="B293" s="244" t="s">
        <v>1088</v>
      </c>
      <c r="C293" s="245" t="s">
        <v>209</v>
      </c>
      <c r="D293" s="244" t="s">
        <v>44</v>
      </c>
      <c r="E293" s="244" t="s">
        <v>210</v>
      </c>
      <c r="F293" s="246" t="s">
        <v>55</v>
      </c>
      <c r="G293" s="259">
        <v>27</v>
      </c>
      <c r="H293" s="247"/>
      <c r="I293" s="247"/>
      <c r="J293" s="247"/>
      <c r="K293" s="247"/>
      <c r="L293" s="247"/>
      <c r="M293" s="247"/>
      <c r="N293" s="247"/>
      <c r="O293" s="248"/>
      <c r="P293" s="44"/>
      <c r="Q293" s="49"/>
      <c r="R293" s="146"/>
      <c r="S293" s="146"/>
      <c r="T293" s="146"/>
      <c r="U293" s="146"/>
      <c r="V293" s="146"/>
      <c r="W293" s="146"/>
      <c r="X293" s="146"/>
      <c r="Y293" s="146"/>
      <c r="Z293" s="146"/>
      <c r="AA293" s="146"/>
      <c r="AB293" s="146"/>
      <c r="AC293" s="146"/>
      <c r="AD293" s="146"/>
      <c r="AE293" s="146"/>
      <c r="AF293" s="146"/>
      <c r="AG293" s="146"/>
      <c r="AH293" s="146"/>
      <c r="AI293" s="44"/>
      <c r="AJ293" s="44"/>
    </row>
    <row r="294" spans="1:36" ht="27.6" x14ac:dyDescent="0.25">
      <c r="A294" s="22"/>
      <c r="B294" s="244" t="s">
        <v>1091</v>
      </c>
      <c r="C294" s="245" t="s">
        <v>203</v>
      </c>
      <c r="D294" s="244" t="s">
        <v>44</v>
      </c>
      <c r="E294" s="244" t="s">
        <v>204</v>
      </c>
      <c r="F294" s="246" t="s">
        <v>55</v>
      </c>
      <c r="G294" s="259">
        <v>207</v>
      </c>
      <c r="H294" s="247"/>
      <c r="I294" s="247"/>
      <c r="J294" s="247"/>
      <c r="K294" s="247"/>
      <c r="L294" s="247"/>
      <c r="M294" s="247"/>
      <c r="N294" s="247"/>
      <c r="O294" s="248"/>
      <c r="P294" s="44"/>
      <c r="Q294" s="49"/>
      <c r="R294" s="146"/>
      <c r="S294" s="146"/>
      <c r="T294" s="146"/>
      <c r="U294" s="146"/>
      <c r="V294" s="146"/>
      <c r="W294" s="146"/>
      <c r="X294" s="146"/>
      <c r="Y294" s="146"/>
      <c r="Z294" s="146"/>
      <c r="AA294" s="146"/>
      <c r="AB294" s="146"/>
      <c r="AC294" s="146"/>
      <c r="AD294" s="146"/>
      <c r="AE294" s="146"/>
      <c r="AF294" s="146"/>
      <c r="AG294" s="146"/>
      <c r="AH294" s="146"/>
      <c r="AI294" s="44"/>
      <c r="AJ294" s="44"/>
    </row>
    <row r="295" spans="1:36" ht="27.6" x14ac:dyDescent="0.25">
      <c r="A295" s="22"/>
      <c r="B295" s="244" t="s">
        <v>1092</v>
      </c>
      <c r="C295" s="245" t="s">
        <v>207</v>
      </c>
      <c r="D295" s="244" t="s">
        <v>44</v>
      </c>
      <c r="E295" s="244" t="s">
        <v>208</v>
      </c>
      <c r="F295" s="246" t="s">
        <v>55</v>
      </c>
      <c r="G295" s="259">
        <v>4</v>
      </c>
      <c r="H295" s="247"/>
      <c r="I295" s="247"/>
      <c r="J295" s="247"/>
      <c r="K295" s="247"/>
      <c r="L295" s="247"/>
      <c r="M295" s="247"/>
      <c r="N295" s="247"/>
      <c r="O295" s="248"/>
      <c r="P295" s="44"/>
      <c r="Q295" s="49"/>
      <c r="R295" s="146"/>
      <c r="S295" s="146"/>
      <c r="T295" s="146"/>
      <c r="U295" s="146"/>
      <c r="V295" s="146"/>
      <c r="W295" s="146"/>
      <c r="X295" s="146"/>
      <c r="Y295" s="146"/>
      <c r="Z295" s="146"/>
      <c r="AA295" s="146"/>
      <c r="AB295" s="146"/>
      <c r="AC295" s="146"/>
      <c r="AD295" s="146"/>
      <c r="AE295" s="146"/>
      <c r="AF295" s="146"/>
      <c r="AG295" s="146"/>
      <c r="AH295" s="146"/>
      <c r="AI295" s="44"/>
      <c r="AJ295" s="44"/>
    </row>
    <row r="296" spans="1:36" x14ac:dyDescent="0.25">
      <c r="A296" s="22"/>
      <c r="B296" s="244" t="s">
        <v>1095</v>
      </c>
      <c r="C296" s="245" t="s">
        <v>1109</v>
      </c>
      <c r="D296" s="244" t="s">
        <v>263</v>
      </c>
      <c r="E296" s="244" t="s">
        <v>1892</v>
      </c>
      <c r="F296" s="246" t="s">
        <v>213</v>
      </c>
      <c r="G296" s="259">
        <v>1</v>
      </c>
      <c r="H296" s="247"/>
      <c r="I296" s="247"/>
      <c r="J296" s="247"/>
      <c r="K296" s="247"/>
      <c r="L296" s="247"/>
      <c r="M296" s="247"/>
      <c r="N296" s="247"/>
      <c r="O296" s="248"/>
      <c r="P296" s="44"/>
      <c r="Q296" s="49"/>
      <c r="R296" s="146"/>
      <c r="S296" s="146"/>
      <c r="T296" s="146"/>
      <c r="U296" s="146"/>
      <c r="V296" s="146"/>
      <c r="W296" s="146"/>
      <c r="X296" s="146"/>
      <c r="Y296" s="146"/>
      <c r="Z296" s="146"/>
      <c r="AA296" s="146"/>
      <c r="AB296" s="146"/>
      <c r="AC296" s="146"/>
      <c r="AD296" s="146"/>
      <c r="AE296" s="146"/>
      <c r="AF296" s="146"/>
      <c r="AG296" s="146"/>
      <c r="AH296" s="146"/>
      <c r="AI296" s="44"/>
      <c r="AJ296" s="44"/>
    </row>
    <row r="297" spans="1:36" ht="41.4" x14ac:dyDescent="0.25">
      <c r="A297" s="22"/>
      <c r="B297" s="244" t="s">
        <v>1096</v>
      </c>
      <c r="C297" s="245" t="s">
        <v>1111</v>
      </c>
      <c r="D297" s="244" t="s">
        <v>182</v>
      </c>
      <c r="E297" s="244" t="s">
        <v>1112</v>
      </c>
      <c r="F297" s="246" t="s">
        <v>213</v>
      </c>
      <c r="G297" s="259">
        <v>1</v>
      </c>
      <c r="H297" s="247"/>
      <c r="I297" s="247"/>
      <c r="J297" s="247"/>
      <c r="K297" s="247"/>
      <c r="L297" s="247"/>
      <c r="M297" s="247"/>
      <c r="N297" s="247"/>
      <c r="O297" s="248"/>
      <c r="P297" s="44"/>
      <c r="Q297" s="49"/>
      <c r="R297" s="146"/>
      <c r="S297" s="146"/>
      <c r="T297" s="146"/>
      <c r="U297" s="146"/>
      <c r="V297" s="146"/>
      <c r="W297" s="146"/>
      <c r="X297" s="146"/>
      <c r="Y297" s="146"/>
      <c r="Z297" s="146"/>
      <c r="AA297" s="146"/>
      <c r="AB297" s="146"/>
      <c r="AC297" s="146"/>
      <c r="AD297" s="146"/>
      <c r="AE297" s="146"/>
      <c r="AF297" s="146"/>
      <c r="AG297" s="146"/>
      <c r="AH297" s="146"/>
      <c r="AI297" s="44"/>
      <c r="AJ297" s="44"/>
    </row>
    <row r="298" spans="1:36" x14ac:dyDescent="0.25">
      <c r="A298" s="22"/>
      <c r="B298" s="244" t="s">
        <v>1097</v>
      </c>
      <c r="C298" s="245" t="s">
        <v>1114</v>
      </c>
      <c r="D298" s="244" t="s">
        <v>44</v>
      </c>
      <c r="E298" s="244" t="s">
        <v>1115</v>
      </c>
      <c r="F298" s="246" t="s">
        <v>55</v>
      </c>
      <c r="G298" s="259">
        <v>1</v>
      </c>
      <c r="H298" s="247"/>
      <c r="I298" s="247"/>
      <c r="J298" s="247"/>
      <c r="K298" s="247"/>
      <c r="L298" s="247"/>
      <c r="M298" s="247"/>
      <c r="N298" s="247"/>
      <c r="O298" s="248"/>
      <c r="P298" s="44"/>
      <c r="Q298" s="49"/>
      <c r="R298" s="146"/>
      <c r="S298" s="146"/>
      <c r="T298" s="146"/>
      <c r="U298" s="146"/>
      <c r="V298" s="146"/>
      <c r="W298" s="146"/>
      <c r="X298" s="146"/>
      <c r="Y298" s="146"/>
      <c r="Z298" s="146"/>
      <c r="AA298" s="146"/>
      <c r="AB298" s="146"/>
      <c r="AC298" s="146"/>
      <c r="AD298" s="146"/>
      <c r="AE298" s="146"/>
      <c r="AF298" s="146"/>
      <c r="AG298" s="146"/>
      <c r="AH298" s="146"/>
      <c r="AI298" s="44"/>
      <c r="AJ298" s="44"/>
    </row>
    <row r="299" spans="1:36" ht="41.4" x14ac:dyDescent="0.25">
      <c r="A299" s="22"/>
      <c r="B299" s="244" t="s">
        <v>1100</v>
      </c>
      <c r="C299" s="245" t="s">
        <v>1117</v>
      </c>
      <c r="D299" s="244" t="s">
        <v>44</v>
      </c>
      <c r="E299" s="244" t="s">
        <v>1118</v>
      </c>
      <c r="F299" s="246" t="s">
        <v>55</v>
      </c>
      <c r="G299" s="259">
        <v>1</v>
      </c>
      <c r="H299" s="247"/>
      <c r="I299" s="247"/>
      <c r="J299" s="247"/>
      <c r="K299" s="247"/>
      <c r="L299" s="247"/>
      <c r="M299" s="247"/>
      <c r="N299" s="247"/>
      <c r="O299" s="248"/>
      <c r="P299" s="44"/>
      <c r="Q299" s="49"/>
      <c r="R299" s="146"/>
      <c r="S299" s="146"/>
      <c r="T299" s="146"/>
      <c r="U299" s="146"/>
      <c r="V299" s="146"/>
      <c r="W299" s="146"/>
      <c r="X299" s="146"/>
      <c r="Y299" s="146"/>
      <c r="Z299" s="146"/>
      <c r="AA299" s="146"/>
      <c r="AB299" s="146"/>
      <c r="AC299" s="146"/>
      <c r="AD299" s="146"/>
      <c r="AE299" s="146"/>
      <c r="AF299" s="146"/>
      <c r="AG299" s="146"/>
      <c r="AH299" s="146"/>
      <c r="AI299" s="44"/>
      <c r="AJ299" s="44"/>
    </row>
    <row r="300" spans="1:36" ht="41.4" x14ac:dyDescent="0.25">
      <c r="A300" s="22"/>
      <c r="B300" s="244" t="s">
        <v>1101</v>
      </c>
      <c r="C300" s="245" t="s">
        <v>1120</v>
      </c>
      <c r="D300" s="244" t="s">
        <v>44</v>
      </c>
      <c r="E300" s="244" t="s">
        <v>1121</v>
      </c>
      <c r="F300" s="246" t="s">
        <v>55</v>
      </c>
      <c r="G300" s="259">
        <v>2</v>
      </c>
      <c r="H300" s="247"/>
      <c r="I300" s="247"/>
      <c r="J300" s="247"/>
      <c r="K300" s="247"/>
      <c r="L300" s="247"/>
      <c r="M300" s="247"/>
      <c r="N300" s="247"/>
      <c r="O300" s="248"/>
      <c r="P300" s="44"/>
      <c r="Q300" s="49"/>
      <c r="R300" s="146"/>
      <c r="S300" s="146"/>
      <c r="T300" s="146"/>
      <c r="U300" s="146"/>
      <c r="V300" s="146"/>
      <c r="W300" s="146"/>
      <c r="X300" s="146"/>
      <c r="Y300" s="146"/>
      <c r="Z300" s="146"/>
      <c r="AA300" s="146"/>
      <c r="AB300" s="146"/>
      <c r="AC300" s="146"/>
      <c r="AD300" s="146"/>
      <c r="AE300" s="146"/>
      <c r="AF300" s="146"/>
      <c r="AG300" s="146"/>
      <c r="AH300" s="146"/>
      <c r="AI300" s="44"/>
      <c r="AJ300" s="44"/>
    </row>
    <row r="301" spans="1:36" ht="27.6" x14ac:dyDescent="0.25">
      <c r="A301" s="55"/>
      <c r="B301" s="244" t="s">
        <v>1104</v>
      </c>
      <c r="C301" s="245" t="s">
        <v>1123</v>
      </c>
      <c r="D301" s="244" t="s">
        <v>44</v>
      </c>
      <c r="E301" s="244" t="s">
        <v>1124</v>
      </c>
      <c r="F301" s="246" t="s">
        <v>55</v>
      </c>
      <c r="G301" s="259">
        <v>3</v>
      </c>
      <c r="H301" s="247"/>
      <c r="I301" s="247"/>
      <c r="J301" s="247"/>
      <c r="K301" s="247"/>
      <c r="L301" s="247"/>
      <c r="M301" s="247"/>
      <c r="N301" s="247"/>
      <c r="O301" s="248"/>
      <c r="P301" s="44"/>
      <c r="Q301" s="49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</row>
    <row r="302" spans="1:36" ht="27.6" x14ac:dyDescent="0.25">
      <c r="A302" s="55"/>
      <c r="B302" s="244" t="s">
        <v>1105</v>
      </c>
      <c r="C302" s="245" t="s">
        <v>1126</v>
      </c>
      <c r="D302" s="244" t="s">
        <v>44</v>
      </c>
      <c r="E302" s="244" t="s">
        <v>1127</v>
      </c>
      <c r="F302" s="246" t="s">
        <v>55</v>
      </c>
      <c r="G302" s="259">
        <v>3</v>
      </c>
      <c r="H302" s="247"/>
      <c r="I302" s="247"/>
      <c r="J302" s="247"/>
      <c r="K302" s="247"/>
      <c r="L302" s="247"/>
      <c r="M302" s="247"/>
      <c r="N302" s="247"/>
      <c r="O302" s="248"/>
      <c r="P302" s="44"/>
      <c r="Q302" s="49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</row>
    <row r="303" spans="1:36" ht="27.6" x14ac:dyDescent="0.25">
      <c r="A303" s="55"/>
      <c r="B303" s="244" t="s">
        <v>1106</v>
      </c>
      <c r="C303" s="245" t="s">
        <v>1129</v>
      </c>
      <c r="D303" s="244" t="s">
        <v>44</v>
      </c>
      <c r="E303" s="244" t="s">
        <v>1130</v>
      </c>
      <c r="F303" s="246" t="s">
        <v>71</v>
      </c>
      <c r="G303" s="259">
        <v>68.2</v>
      </c>
      <c r="H303" s="247"/>
      <c r="I303" s="247"/>
      <c r="J303" s="247"/>
      <c r="K303" s="247"/>
      <c r="L303" s="247"/>
      <c r="M303" s="247"/>
      <c r="N303" s="247"/>
      <c r="O303" s="248"/>
      <c r="P303" s="44"/>
      <c r="Q303" s="49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</row>
    <row r="304" spans="1:36" ht="27.6" x14ac:dyDescent="0.25">
      <c r="A304" s="55"/>
      <c r="B304" s="244" t="s">
        <v>1107</v>
      </c>
      <c r="C304" s="245" t="s">
        <v>1132</v>
      </c>
      <c r="D304" s="244" t="s">
        <v>44</v>
      </c>
      <c r="E304" s="244" t="s">
        <v>1133</v>
      </c>
      <c r="F304" s="246" t="s">
        <v>55</v>
      </c>
      <c r="G304" s="259">
        <v>3</v>
      </c>
      <c r="H304" s="247"/>
      <c r="I304" s="247"/>
      <c r="J304" s="247"/>
      <c r="K304" s="247"/>
      <c r="L304" s="247"/>
      <c r="M304" s="247"/>
      <c r="N304" s="247"/>
      <c r="O304" s="248"/>
      <c r="P304" s="44"/>
      <c r="Q304" s="49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</row>
    <row r="305" spans="1:36" ht="27.6" x14ac:dyDescent="0.25">
      <c r="A305" s="55"/>
      <c r="B305" s="244" t="s">
        <v>1108</v>
      </c>
      <c r="C305" s="245" t="s">
        <v>1135</v>
      </c>
      <c r="D305" s="244" t="s">
        <v>44</v>
      </c>
      <c r="E305" s="244" t="s">
        <v>1136</v>
      </c>
      <c r="F305" s="246" t="s">
        <v>55</v>
      </c>
      <c r="G305" s="259">
        <v>3</v>
      </c>
      <c r="H305" s="247"/>
      <c r="I305" s="247"/>
      <c r="J305" s="247"/>
      <c r="K305" s="247"/>
      <c r="L305" s="247"/>
      <c r="M305" s="247"/>
      <c r="N305" s="247"/>
      <c r="O305" s="248"/>
      <c r="P305" s="44"/>
      <c r="Q305" s="49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</row>
    <row r="306" spans="1:36" ht="27.6" x14ac:dyDescent="0.25">
      <c r="A306" s="55"/>
      <c r="B306" s="244" t="s">
        <v>1110</v>
      </c>
      <c r="C306" s="245" t="s">
        <v>1138</v>
      </c>
      <c r="D306" s="244" t="s">
        <v>44</v>
      </c>
      <c r="E306" s="244" t="s">
        <v>1139</v>
      </c>
      <c r="F306" s="246" t="s">
        <v>55</v>
      </c>
      <c r="G306" s="259">
        <v>2</v>
      </c>
      <c r="H306" s="247"/>
      <c r="I306" s="247"/>
      <c r="J306" s="247"/>
      <c r="K306" s="247"/>
      <c r="L306" s="247"/>
      <c r="M306" s="247"/>
      <c r="N306" s="247"/>
      <c r="O306" s="248"/>
      <c r="P306" s="44"/>
      <c r="Q306" s="49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</row>
    <row r="307" spans="1:36" ht="27.6" x14ac:dyDescent="0.25">
      <c r="A307" s="55"/>
      <c r="B307" s="244" t="s">
        <v>1113</v>
      </c>
      <c r="C307" s="245" t="s">
        <v>1141</v>
      </c>
      <c r="D307" s="244" t="s">
        <v>44</v>
      </c>
      <c r="E307" s="244" t="s">
        <v>1142</v>
      </c>
      <c r="F307" s="246" t="s">
        <v>55</v>
      </c>
      <c r="G307" s="259">
        <v>1</v>
      </c>
      <c r="H307" s="247"/>
      <c r="I307" s="247"/>
      <c r="J307" s="247"/>
      <c r="K307" s="247"/>
      <c r="L307" s="247"/>
      <c r="M307" s="247"/>
      <c r="N307" s="247"/>
      <c r="O307" s="248"/>
      <c r="P307" s="44"/>
      <c r="Q307" s="49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</row>
    <row r="308" spans="1:36" ht="27.6" x14ac:dyDescent="0.25">
      <c r="A308" s="55"/>
      <c r="B308" s="244" t="s">
        <v>1116</v>
      </c>
      <c r="C308" s="245" t="s">
        <v>1143</v>
      </c>
      <c r="D308" s="244" t="s">
        <v>44</v>
      </c>
      <c r="E308" s="244" t="s">
        <v>1144</v>
      </c>
      <c r="F308" s="246" t="s">
        <v>55</v>
      </c>
      <c r="G308" s="259">
        <v>4</v>
      </c>
      <c r="H308" s="247"/>
      <c r="I308" s="247"/>
      <c r="J308" s="247"/>
      <c r="K308" s="247"/>
      <c r="L308" s="247"/>
      <c r="M308" s="247"/>
      <c r="N308" s="247"/>
      <c r="O308" s="248"/>
      <c r="P308" s="44"/>
      <c r="Q308" s="49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</row>
    <row r="309" spans="1:36" ht="27.6" x14ac:dyDescent="0.25">
      <c r="A309" s="55"/>
      <c r="B309" s="244" t="s">
        <v>1119</v>
      </c>
      <c r="C309" s="245" t="s">
        <v>1145</v>
      </c>
      <c r="D309" s="244" t="s">
        <v>44</v>
      </c>
      <c r="E309" s="244" t="s">
        <v>1146</v>
      </c>
      <c r="F309" s="246" t="s">
        <v>55</v>
      </c>
      <c r="G309" s="259">
        <v>2</v>
      </c>
      <c r="H309" s="247"/>
      <c r="I309" s="247"/>
      <c r="J309" s="247"/>
      <c r="K309" s="247"/>
      <c r="L309" s="247"/>
      <c r="M309" s="247"/>
      <c r="N309" s="247"/>
      <c r="O309" s="248"/>
      <c r="P309" s="44"/>
      <c r="Q309" s="49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</row>
    <row r="310" spans="1:36" ht="27.6" x14ac:dyDescent="0.25">
      <c r="A310" s="55"/>
      <c r="B310" s="244" t="s">
        <v>1122</v>
      </c>
      <c r="C310" s="245" t="s">
        <v>1147</v>
      </c>
      <c r="D310" s="244" t="s">
        <v>44</v>
      </c>
      <c r="E310" s="244" t="s">
        <v>1148</v>
      </c>
      <c r="F310" s="246" t="s">
        <v>55</v>
      </c>
      <c r="G310" s="259">
        <v>8</v>
      </c>
      <c r="H310" s="247"/>
      <c r="I310" s="247"/>
      <c r="J310" s="247"/>
      <c r="K310" s="247"/>
      <c r="L310" s="247"/>
      <c r="M310" s="247"/>
      <c r="N310" s="247"/>
      <c r="O310" s="248"/>
      <c r="P310" s="44"/>
      <c r="Q310" s="49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</row>
    <row r="311" spans="1:36" x14ac:dyDescent="0.25">
      <c r="A311" s="55"/>
      <c r="B311" s="244" t="s">
        <v>1125</v>
      </c>
      <c r="C311" s="245" t="s">
        <v>1149</v>
      </c>
      <c r="D311" s="244" t="s">
        <v>263</v>
      </c>
      <c r="E311" s="244" t="s">
        <v>1893</v>
      </c>
      <c r="F311" s="246" t="s">
        <v>213</v>
      </c>
      <c r="G311" s="259">
        <v>1</v>
      </c>
      <c r="H311" s="247"/>
      <c r="I311" s="247"/>
      <c r="J311" s="247"/>
      <c r="K311" s="247"/>
      <c r="L311" s="247"/>
      <c r="M311" s="247"/>
      <c r="N311" s="247"/>
      <c r="O311" s="248"/>
      <c r="P311" s="44"/>
      <c r="Q311" s="49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</row>
    <row r="312" spans="1:36" ht="27.6" x14ac:dyDescent="0.25">
      <c r="A312" s="55"/>
      <c r="B312" s="244" t="s">
        <v>1128</v>
      </c>
      <c r="C312" s="245" t="s">
        <v>1150</v>
      </c>
      <c r="D312" s="244" t="s">
        <v>44</v>
      </c>
      <c r="E312" s="244" t="s">
        <v>1151</v>
      </c>
      <c r="F312" s="246" t="s">
        <v>71</v>
      </c>
      <c r="G312" s="259">
        <v>158.5</v>
      </c>
      <c r="H312" s="247"/>
      <c r="I312" s="247"/>
      <c r="J312" s="247"/>
      <c r="K312" s="247"/>
      <c r="L312" s="247"/>
      <c r="M312" s="247"/>
      <c r="N312" s="247"/>
      <c r="O312" s="248"/>
      <c r="P312" s="44"/>
      <c r="Q312" s="49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</row>
    <row r="313" spans="1:36" ht="27.6" x14ac:dyDescent="0.25">
      <c r="A313" s="55"/>
      <c r="B313" s="244" t="s">
        <v>1131</v>
      </c>
      <c r="C313" s="245" t="s">
        <v>1152</v>
      </c>
      <c r="D313" s="244" t="s">
        <v>44</v>
      </c>
      <c r="E313" s="244" t="s">
        <v>1153</v>
      </c>
      <c r="F313" s="246" t="s">
        <v>55</v>
      </c>
      <c r="G313" s="259">
        <v>1</v>
      </c>
      <c r="H313" s="247"/>
      <c r="I313" s="247"/>
      <c r="J313" s="247"/>
      <c r="K313" s="247"/>
      <c r="L313" s="247"/>
      <c r="M313" s="247"/>
      <c r="N313" s="247"/>
      <c r="O313" s="248"/>
      <c r="P313" s="44"/>
      <c r="Q313" s="49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</row>
    <row r="314" spans="1:36" ht="27.6" x14ac:dyDescent="0.25">
      <c r="A314" s="55"/>
      <c r="B314" s="244" t="s">
        <v>1134</v>
      </c>
      <c r="C314" s="245" t="s">
        <v>1154</v>
      </c>
      <c r="D314" s="244" t="s">
        <v>44</v>
      </c>
      <c r="E314" s="244" t="s">
        <v>1155</v>
      </c>
      <c r="F314" s="246" t="s">
        <v>55</v>
      </c>
      <c r="G314" s="259">
        <v>7</v>
      </c>
      <c r="H314" s="247"/>
      <c r="I314" s="247"/>
      <c r="J314" s="247"/>
      <c r="K314" s="247"/>
      <c r="L314" s="247"/>
      <c r="M314" s="247"/>
      <c r="N314" s="247"/>
      <c r="O314" s="248"/>
      <c r="P314" s="44"/>
      <c r="Q314" s="49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</row>
    <row r="315" spans="1:36" x14ac:dyDescent="0.25">
      <c r="A315" s="55"/>
      <c r="B315" s="244" t="s">
        <v>1137</v>
      </c>
      <c r="C315" s="245" t="s">
        <v>1156</v>
      </c>
      <c r="D315" s="244" t="s">
        <v>226</v>
      </c>
      <c r="E315" s="244" t="s">
        <v>1157</v>
      </c>
      <c r="F315" s="246" t="s">
        <v>55</v>
      </c>
      <c r="G315" s="259">
        <v>1</v>
      </c>
      <c r="H315" s="247"/>
      <c r="I315" s="247"/>
      <c r="J315" s="247"/>
      <c r="K315" s="247"/>
      <c r="L315" s="247"/>
      <c r="M315" s="247"/>
      <c r="N315" s="247"/>
      <c r="O315" s="248"/>
      <c r="P315" s="44"/>
      <c r="Q315" s="49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</row>
    <row r="316" spans="1:36" ht="27.6" x14ac:dyDescent="0.25">
      <c r="A316" s="55"/>
      <c r="B316" s="244" t="s">
        <v>1140</v>
      </c>
      <c r="C316" s="245" t="s">
        <v>1158</v>
      </c>
      <c r="D316" s="244" t="s">
        <v>263</v>
      </c>
      <c r="E316" s="244" t="s">
        <v>1894</v>
      </c>
      <c r="F316" s="246" t="s">
        <v>584</v>
      </c>
      <c r="G316" s="259">
        <v>1</v>
      </c>
      <c r="H316" s="247"/>
      <c r="I316" s="247"/>
      <c r="J316" s="247"/>
      <c r="K316" s="247"/>
      <c r="L316" s="247"/>
      <c r="M316" s="247"/>
      <c r="N316" s="247"/>
      <c r="O316" s="248"/>
      <c r="P316" s="44"/>
      <c r="Q316" s="49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</row>
    <row r="317" spans="1:36" x14ac:dyDescent="0.25">
      <c r="A317" s="55"/>
      <c r="B317" s="240" t="s">
        <v>384</v>
      </c>
      <c r="C317" s="240"/>
      <c r="D317" s="240"/>
      <c r="E317" s="240" t="s">
        <v>228</v>
      </c>
      <c r="F317" s="240"/>
      <c r="G317" s="258"/>
      <c r="H317" s="241"/>
      <c r="I317" s="240"/>
      <c r="J317" s="240"/>
      <c r="K317" s="240"/>
      <c r="L317" s="240"/>
      <c r="M317" s="240"/>
      <c r="N317" s="242"/>
      <c r="O317" s="243"/>
      <c r="P317" s="44"/>
      <c r="Q317" s="49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</row>
    <row r="318" spans="1:36" ht="27.6" x14ac:dyDescent="0.25">
      <c r="A318" s="55"/>
      <c r="B318" s="244" t="s">
        <v>1159</v>
      </c>
      <c r="C318" s="245" t="s">
        <v>231</v>
      </c>
      <c r="D318" s="244" t="s">
        <v>44</v>
      </c>
      <c r="E318" s="244" t="s">
        <v>232</v>
      </c>
      <c r="F318" s="246" t="s">
        <v>55</v>
      </c>
      <c r="G318" s="259">
        <v>20</v>
      </c>
      <c r="H318" s="247"/>
      <c r="I318" s="247"/>
      <c r="J318" s="247"/>
      <c r="K318" s="247"/>
      <c r="L318" s="247"/>
      <c r="M318" s="247"/>
      <c r="N318" s="247"/>
      <c r="O318" s="248"/>
      <c r="P318" s="44"/>
      <c r="Q318" s="49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</row>
    <row r="319" spans="1:36" ht="27.6" x14ac:dyDescent="0.25">
      <c r="A319" s="55"/>
      <c r="B319" s="244" t="s">
        <v>1160</v>
      </c>
      <c r="C319" s="245" t="s">
        <v>229</v>
      </c>
      <c r="D319" s="244" t="s">
        <v>44</v>
      </c>
      <c r="E319" s="244" t="s">
        <v>230</v>
      </c>
      <c r="F319" s="246" t="s">
        <v>55</v>
      </c>
      <c r="G319" s="259">
        <v>6</v>
      </c>
      <c r="H319" s="247"/>
      <c r="I319" s="247"/>
      <c r="J319" s="247"/>
      <c r="K319" s="247"/>
      <c r="L319" s="247"/>
      <c r="M319" s="247"/>
      <c r="N319" s="247"/>
      <c r="O319" s="248"/>
      <c r="P319" s="44"/>
      <c r="Q319" s="49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</row>
    <row r="320" spans="1:36" ht="27.6" x14ac:dyDescent="0.25">
      <c r="A320" s="55"/>
      <c r="B320" s="244" t="s">
        <v>1161</v>
      </c>
      <c r="C320" s="245" t="s">
        <v>1162</v>
      </c>
      <c r="D320" s="244" t="s">
        <v>44</v>
      </c>
      <c r="E320" s="244" t="s">
        <v>1163</v>
      </c>
      <c r="F320" s="246" t="s">
        <v>55</v>
      </c>
      <c r="G320" s="259">
        <v>66</v>
      </c>
      <c r="H320" s="247"/>
      <c r="I320" s="247"/>
      <c r="J320" s="247"/>
      <c r="K320" s="247"/>
      <c r="L320" s="247"/>
      <c r="M320" s="247"/>
      <c r="N320" s="247"/>
      <c r="O320" s="248"/>
      <c r="P320" s="44"/>
      <c r="Q320" s="49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</row>
    <row r="321" spans="1:36" ht="27.6" x14ac:dyDescent="0.25">
      <c r="A321" s="55"/>
      <c r="B321" s="244" t="s">
        <v>1164</v>
      </c>
      <c r="C321" s="245" t="s">
        <v>233</v>
      </c>
      <c r="D321" s="244" t="s">
        <v>44</v>
      </c>
      <c r="E321" s="244" t="s">
        <v>234</v>
      </c>
      <c r="F321" s="246" t="s">
        <v>55</v>
      </c>
      <c r="G321" s="259">
        <v>9</v>
      </c>
      <c r="H321" s="247"/>
      <c r="I321" s="247"/>
      <c r="J321" s="247"/>
      <c r="K321" s="247"/>
      <c r="L321" s="247"/>
      <c r="M321" s="247"/>
      <c r="N321" s="247"/>
      <c r="O321" s="248"/>
      <c r="P321" s="44"/>
      <c r="Q321" s="49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</row>
    <row r="322" spans="1:36" ht="27.6" x14ac:dyDescent="0.25">
      <c r="A322" s="55"/>
      <c r="B322" s="244" t="s">
        <v>1165</v>
      </c>
      <c r="C322" s="245" t="s">
        <v>1166</v>
      </c>
      <c r="D322" s="244" t="s">
        <v>44</v>
      </c>
      <c r="E322" s="244" t="s">
        <v>1167</v>
      </c>
      <c r="F322" s="246" t="s">
        <v>55</v>
      </c>
      <c r="G322" s="259">
        <v>5</v>
      </c>
      <c r="H322" s="247"/>
      <c r="I322" s="247"/>
      <c r="J322" s="247"/>
      <c r="K322" s="247"/>
      <c r="L322" s="247"/>
      <c r="M322" s="247"/>
      <c r="N322" s="247"/>
      <c r="O322" s="248"/>
      <c r="P322" s="44"/>
      <c r="Q322" s="49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</row>
    <row r="323" spans="1:36" ht="27.6" x14ac:dyDescent="0.25">
      <c r="A323" s="55"/>
      <c r="B323" s="244" t="s">
        <v>1168</v>
      </c>
      <c r="C323" s="245" t="s">
        <v>481</v>
      </c>
      <c r="D323" s="244" t="s">
        <v>44</v>
      </c>
      <c r="E323" s="244" t="s">
        <v>482</v>
      </c>
      <c r="F323" s="246" t="s">
        <v>55</v>
      </c>
      <c r="G323" s="259">
        <v>3</v>
      </c>
      <c r="H323" s="247"/>
      <c r="I323" s="247"/>
      <c r="J323" s="247"/>
      <c r="K323" s="247"/>
      <c r="L323" s="247"/>
      <c r="M323" s="247"/>
      <c r="N323" s="247"/>
      <c r="O323" s="248"/>
      <c r="P323" s="44"/>
      <c r="Q323" s="49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</row>
    <row r="324" spans="1:36" x14ac:dyDescent="0.25">
      <c r="A324" s="55"/>
      <c r="B324" s="244" t="s">
        <v>1169</v>
      </c>
      <c r="C324" s="245" t="s">
        <v>365</v>
      </c>
      <c r="D324" s="244" t="s">
        <v>44</v>
      </c>
      <c r="E324" s="244" t="s">
        <v>366</v>
      </c>
      <c r="F324" s="246" t="s">
        <v>55</v>
      </c>
      <c r="G324" s="259">
        <v>146</v>
      </c>
      <c r="H324" s="247"/>
      <c r="I324" s="247"/>
      <c r="J324" s="247"/>
      <c r="K324" s="247"/>
      <c r="L324" s="247"/>
      <c r="M324" s="247"/>
      <c r="N324" s="247"/>
      <c r="O324" s="248"/>
      <c r="P324" s="44"/>
      <c r="Q324" s="49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</row>
    <row r="325" spans="1:36" x14ac:dyDescent="0.25">
      <c r="A325" s="55"/>
      <c r="B325" s="244" t="s">
        <v>1170</v>
      </c>
      <c r="C325" s="245" t="s">
        <v>1171</v>
      </c>
      <c r="D325" s="244" t="s">
        <v>44</v>
      </c>
      <c r="E325" s="244" t="s">
        <v>1172</v>
      </c>
      <c r="F325" s="246" t="s">
        <v>55</v>
      </c>
      <c r="G325" s="259">
        <v>6</v>
      </c>
      <c r="H325" s="247"/>
      <c r="I325" s="247"/>
      <c r="J325" s="247"/>
      <c r="K325" s="247"/>
      <c r="L325" s="247"/>
      <c r="M325" s="247"/>
      <c r="N325" s="247"/>
      <c r="O325" s="248"/>
      <c r="P325" s="44"/>
      <c r="Q325" s="49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</row>
    <row r="326" spans="1:36" x14ac:dyDescent="0.25">
      <c r="A326" s="55"/>
      <c r="B326" s="244" t="s">
        <v>1173</v>
      </c>
      <c r="C326" s="245" t="s">
        <v>2327</v>
      </c>
      <c r="D326" s="244" t="s">
        <v>226</v>
      </c>
      <c r="E326" s="244" t="s">
        <v>2328</v>
      </c>
      <c r="F326" s="246" t="s">
        <v>55</v>
      </c>
      <c r="G326" s="259">
        <v>1</v>
      </c>
      <c r="H326" s="247"/>
      <c r="I326" s="247"/>
      <c r="J326" s="247"/>
      <c r="K326" s="247"/>
      <c r="L326" s="247"/>
      <c r="M326" s="247"/>
      <c r="N326" s="247"/>
      <c r="O326" s="248"/>
      <c r="P326" s="44"/>
      <c r="Q326" s="49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</row>
    <row r="327" spans="1:36" ht="27.6" x14ac:dyDescent="0.25">
      <c r="A327" s="55"/>
      <c r="B327" s="244" t="s">
        <v>1174</v>
      </c>
      <c r="C327" s="245" t="s">
        <v>568</v>
      </c>
      <c r="D327" s="244" t="s">
        <v>44</v>
      </c>
      <c r="E327" s="244" t="s">
        <v>569</v>
      </c>
      <c r="F327" s="246" t="s">
        <v>55</v>
      </c>
      <c r="G327" s="259">
        <v>152</v>
      </c>
      <c r="H327" s="247"/>
      <c r="I327" s="247"/>
      <c r="J327" s="247"/>
      <c r="K327" s="247"/>
      <c r="L327" s="247"/>
      <c r="M327" s="247"/>
      <c r="N327" s="247"/>
      <c r="O327" s="248"/>
      <c r="P327" s="44"/>
      <c r="Q327" s="49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</row>
    <row r="328" spans="1:36" x14ac:dyDescent="0.25">
      <c r="A328" s="55"/>
      <c r="B328" s="244" t="s">
        <v>1177</v>
      </c>
      <c r="C328" s="245" t="s">
        <v>1904</v>
      </c>
      <c r="D328" s="244" t="s">
        <v>121</v>
      </c>
      <c r="E328" s="244" t="s">
        <v>1905</v>
      </c>
      <c r="F328" s="246" t="s">
        <v>55</v>
      </c>
      <c r="G328" s="259">
        <v>2</v>
      </c>
      <c r="H328" s="247"/>
      <c r="I328" s="247"/>
      <c r="J328" s="247"/>
      <c r="K328" s="247"/>
      <c r="L328" s="247"/>
      <c r="M328" s="247"/>
      <c r="N328" s="247"/>
      <c r="O328" s="248"/>
      <c r="P328" s="44"/>
      <c r="Q328" s="49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</row>
    <row r="329" spans="1:36" ht="27.6" x14ac:dyDescent="0.25">
      <c r="A329" s="55"/>
      <c r="B329" s="244" t="s">
        <v>1178</v>
      </c>
      <c r="C329" s="245" t="s">
        <v>1175</v>
      </c>
      <c r="D329" s="244" t="s">
        <v>44</v>
      </c>
      <c r="E329" s="244" t="s">
        <v>1176</v>
      </c>
      <c r="F329" s="246" t="s">
        <v>55</v>
      </c>
      <c r="G329" s="259">
        <v>117</v>
      </c>
      <c r="H329" s="247"/>
      <c r="I329" s="247"/>
      <c r="J329" s="247"/>
      <c r="K329" s="247"/>
      <c r="L329" s="247"/>
      <c r="M329" s="247"/>
      <c r="N329" s="247"/>
      <c r="O329" s="248"/>
      <c r="P329" s="44"/>
      <c r="Q329" s="49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</row>
    <row r="330" spans="1:36" ht="27.6" x14ac:dyDescent="0.25">
      <c r="A330" s="55"/>
      <c r="B330" s="244" t="s">
        <v>1179</v>
      </c>
      <c r="C330" s="245" t="s">
        <v>1018</v>
      </c>
      <c r="D330" s="244" t="s">
        <v>44</v>
      </c>
      <c r="E330" s="244" t="s">
        <v>1019</v>
      </c>
      <c r="F330" s="246" t="s">
        <v>55</v>
      </c>
      <c r="G330" s="259">
        <v>49</v>
      </c>
      <c r="H330" s="247"/>
      <c r="I330" s="247"/>
      <c r="J330" s="247"/>
      <c r="K330" s="247"/>
      <c r="L330" s="247"/>
      <c r="M330" s="247"/>
      <c r="N330" s="247"/>
      <c r="O330" s="248"/>
      <c r="P330" s="44"/>
      <c r="Q330" s="49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</row>
    <row r="331" spans="1:36" ht="27.6" x14ac:dyDescent="0.25">
      <c r="A331" s="55"/>
      <c r="B331" s="244" t="s">
        <v>1180</v>
      </c>
      <c r="C331" s="245" t="s">
        <v>235</v>
      </c>
      <c r="D331" s="244" t="s">
        <v>44</v>
      </c>
      <c r="E331" s="244" t="s">
        <v>236</v>
      </c>
      <c r="F331" s="246" t="s">
        <v>55</v>
      </c>
      <c r="G331" s="259">
        <v>224</v>
      </c>
      <c r="H331" s="247"/>
      <c r="I331" s="247"/>
      <c r="J331" s="247"/>
      <c r="K331" s="247"/>
      <c r="L331" s="247"/>
      <c r="M331" s="247"/>
      <c r="N331" s="247"/>
      <c r="O331" s="248"/>
      <c r="P331" s="44"/>
      <c r="Q331" s="49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</row>
    <row r="332" spans="1:36" ht="27.6" x14ac:dyDescent="0.25">
      <c r="A332" s="55"/>
      <c r="B332" s="244" t="s">
        <v>1183</v>
      </c>
      <c r="C332" s="245" t="s">
        <v>237</v>
      </c>
      <c r="D332" s="244" t="s">
        <v>44</v>
      </c>
      <c r="E332" s="244" t="s">
        <v>238</v>
      </c>
      <c r="F332" s="246" t="s">
        <v>55</v>
      </c>
      <c r="G332" s="259">
        <v>180</v>
      </c>
      <c r="H332" s="247"/>
      <c r="I332" s="247"/>
      <c r="J332" s="247"/>
      <c r="K332" s="247"/>
      <c r="L332" s="247"/>
      <c r="M332" s="247"/>
      <c r="N332" s="247"/>
      <c r="O332" s="248"/>
      <c r="P332" s="44"/>
      <c r="Q332" s="49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</row>
    <row r="333" spans="1:36" ht="27.6" x14ac:dyDescent="0.25">
      <c r="A333" s="55"/>
      <c r="B333" s="244" t="s">
        <v>1186</v>
      </c>
      <c r="C333" s="245" t="s">
        <v>1181</v>
      </c>
      <c r="D333" s="244" t="s">
        <v>44</v>
      </c>
      <c r="E333" s="244" t="s">
        <v>1182</v>
      </c>
      <c r="F333" s="246" t="s">
        <v>55</v>
      </c>
      <c r="G333" s="259">
        <v>134</v>
      </c>
      <c r="H333" s="247"/>
      <c r="I333" s="247"/>
      <c r="J333" s="247"/>
      <c r="K333" s="247"/>
      <c r="L333" s="247"/>
      <c r="M333" s="247"/>
      <c r="N333" s="247"/>
      <c r="O333" s="248"/>
      <c r="P333" s="44"/>
      <c r="Q333" s="49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</row>
    <row r="334" spans="1:36" ht="27.6" x14ac:dyDescent="0.25">
      <c r="A334" s="55"/>
      <c r="B334" s="244" t="s">
        <v>1187</v>
      </c>
      <c r="C334" s="245" t="s">
        <v>1184</v>
      </c>
      <c r="D334" s="244" t="s">
        <v>44</v>
      </c>
      <c r="E334" s="244" t="s">
        <v>1185</v>
      </c>
      <c r="F334" s="246" t="s">
        <v>55</v>
      </c>
      <c r="G334" s="259">
        <v>14</v>
      </c>
      <c r="H334" s="247"/>
      <c r="I334" s="247"/>
      <c r="J334" s="247"/>
      <c r="K334" s="247"/>
      <c r="L334" s="247"/>
      <c r="M334" s="247"/>
      <c r="N334" s="247"/>
      <c r="O334" s="248"/>
      <c r="P334" s="44"/>
      <c r="Q334" s="49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</row>
    <row r="335" spans="1:36" ht="27.6" x14ac:dyDescent="0.25">
      <c r="A335" s="55"/>
      <c r="B335" s="244" t="s">
        <v>1188</v>
      </c>
      <c r="C335" s="245" t="s">
        <v>239</v>
      </c>
      <c r="D335" s="244" t="s">
        <v>44</v>
      </c>
      <c r="E335" s="244" t="s">
        <v>240</v>
      </c>
      <c r="F335" s="246" t="s">
        <v>55</v>
      </c>
      <c r="G335" s="259">
        <v>149</v>
      </c>
      <c r="H335" s="247"/>
      <c r="I335" s="247"/>
      <c r="J335" s="247"/>
      <c r="K335" s="247"/>
      <c r="L335" s="247"/>
      <c r="M335" s="247"/>
      <c r="N335" s="247"/>
      <c r="O335" s="248"/>
      <c r="P335" s="44"/>
      <c r="Q335" s="49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</row>
    <row r="336" spans="1:36" ht="27.6" x14ac:dyDescent="0.25">
      <c r="A336" s="55"/>
      <c r="B336" s="244" t="s">
        <v>1191</v>
      </c>
      <c r="C336" s="245" t="s">
        <v>247</v>
      </c>
      <c r="D336" s="244" t="s">
        <v>44</v>
      </c>
      <c r="E336" s="244" t="s">
        <v>248</v>
      </c>
      <c r="F336" s="246" t="s">
        <v>55</v>
      </c>
      <c r="G336" s="259">
        <v>190</v>
      </c>
      <c r="H336" s="247"/>
      <c r="I336" s="247"/>
      <c r="J336" s="247"/>
      <c r="K336" s="247"/>
      <c r="L336" s="247"/>
      <c r="M336" s="247"/>
      <c r="N336" s="247"/>
      <c r="O336" s="248"/>
      <c r="P336" s="44"/>
      <c r="Q336" s="49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</row>
    <row r="337" spans="1:36" ht="41.4" x14ac:dyDescent="0.25">
      <c r="A337" s="55"/>
      <c r="B337" s="244" t="s">
        <v>1194</v>
      </c>
      <c r="C337" s="245" t="s">
        <v>1189</v>
      </c>
      <c r="D337" s="244" t="s">
        <v>44</v>
      </c>
      <c r="E337" s="244" t="s">
        <v>1190</v>
      </c>
      <c r="F337" s="246" t="s">
        <v>55</v>
      </c>
      <c r="G337" s="259">
        <v>56</v>
      </c>
      <c r="H337" s="247"/>
      <c r="I337" s="247"/>
      <c r="J337" s="247"/>
      <c r="K337" s="247"/>
      <c r="L337" s="247"/>
      <c r="M337" s="247"/>
      <c r="N337" s="247"/>
      <c r="O337" s="248"/>
      <c r="P337" s="44"/>
      <c r="Q337" s="49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</row>
    <row r="338" spans="1:36" ht="41.4" x14ac:dyDescent="0.25">
      <c r="A338" s="55"/>
      <c r="B338" s="244" t="s">
        <v>1197</v>
      </c>
      <c r="C338" s="245" t="s">
        <v>1225</v>
      </c>
      <c r="D338" s="244" t="s">
        <v>44</v>
      </c>
      <c r="E338" s="244" t="s">
        <v>1226</v>
      </c>
      <c r="F338" s="246" t="s">
        <v>55</v>
      </c>
      <c r="G338" s="259">
        <v>2</v>
      </c>
      <c r="H338" s="247"/>
      <c r="I338" s="247"/>
      <c r="J338" s="247"/>
      <c r="K338" s="247"/>
      <c r="L338" s="247"/>
      <c r="M338" s="247"/>
      <c r="N338" s="247"/>
      <c r="O338" s="248"/>
      <c r="P338" s="44"/>
      <c r="Q338" s="49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</row>
    <row r="339" spans="1:36" ht="27.6" x14ac:dyDescent="0.25">
      <c r="A339" s="55"/>
      <c r="B339" s="244" t="s">
        <v>1198</v>
      </c>
      <c r="C339" s="245" t="s">
        <v>1192</v>
      </c>
      <c r="D339" s="244" t="s">
        <v>44</v>
      </c>
      <c r="E339" s="244" t="s">
        <v>1193</v>
      </c>
      <c r="F339" s="246" t="s">
        <v>55</v>
      </c>
      <c r="G339" s="259">
        <v>1</v>
      </c>
      <c r="H339" s="247"/>
      <c r="I339" s="247"/>
      <c r="J339" s="247"/>
      <c r="K339" s="247"/>
      <c r="L339" s="247"/>
      <c r="M339" s="247"/>
      <c r="N339" s="247"/>
      <c r="O339" s="248"/>
      <c r="P339" s="44"/>
      <c r="Q339" s="49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</row>
    <row r="340" spans="1:36" ht="27.6" x14ac:dyDescent="0.25">
      <c r="A340" s="55"/>
      <c r="B340" s="244" t="s">
        <v>1201</v>
      </c>
      <c r="C340" s="245" t="s">
        <v>1195</v>
      </c>
      <c r="D340" s="244" t="s">
        <v>44</v>
      </c>
      <c r="E340" s="244" t="s">
        <v>1196</v>
      </c>
      <c r="F340" s="246" t="s">
        <v>55</v>
      </c>
      <c r="G340" s="259">
        <v>34</v>
      </c>
      <c r="H340" s="247"/>
      <c r="I340" s="247"/>
      <c r="J340" s="247"/>
      <c r="K340" s="247"/>
      <c r="L340" s="247"/>
      <c r="M340" s="247"/>
      <c r="N340" s="247"/>
      <c r="O340" s="248"/>
      <c r="P340" s="44"/>
      <c r="Q340" s="49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</row>
    <row r="341" spans="1:36" ht="27.6" x14ac:dyDescent="0.25">
      <c r="A341" s="55"/>
      <c r="B341" s="244" t="s">
        <v>1202</v>
      </c>
      <c r="C341" s="245" t="s">
        <v>241</v>
      </c>
      <c r="D341" s="244" t="s">
        <v>44</v>
      </c>
      <c r="E341" s="244" t="s">
        <v>242</v>
      </c>
      <c r="F341" s="246" t="s">
        <v>55</v>
      </c>
      <c r="G341" s="259">
        <v>2</v>
      </c>
      <c r="H341" s="247"/>
      <c r="I341" s="247"/>
      <c r="J341" s="247"/>
      <c r="K341" s="247"/>
      <c r="L341" s="247"/>
      <c r="M341" s="247"/>
      <c r="N341" s="247"/>
      <c r="O341" s="248"/>
      <c r="P341" s="44"/>
      <c r="Q341" s="49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</row>
    <row r="342" spans="1:36" ht="27.6" x14ac:dyDescent="0.25">
      <c r="A342" s="55"/>
      <c r="B342" s="244" t="s">
        <v>1204</v>
      </c>
      <c r="C342" s="245" t="s">
        <v>1199</v>
      </c>
      <c r="D342" s="244" t="s">
        <v>44</v>
      </c>
      <c r="E342" s="244" t="s">
        <v>1200</v>
      </c>
      <c r="F342" s="246" t="s">
        <v>55</v>
      </c>
      <c r="G342" s="259">
        <v>11</v>
      </c>
      <c r="H342" s="247"/>
      <c r="I342" s="247"/>
      <c r="J342" s="247"/>
      <c r="K342" s="247"/>
      <c r="L342" s="247"/>
      <c r="M342" s="247"/>
      <c r="N342" s="247"/>
      <c r="O342" s="248"/>
      <c r="P342" s="44"/>
      <c r="Q342" s="49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</row>
    <row r="343" spans="1:36" ht="27.6" x14ac:dyDescent="0.25">
      <c r="A343" s="55"/>
      <c r="B343" s="244" t="s">
        <v>1206</v>
      </c>
      <c r="C343" s="245" t="s">
        <v>245</v>
      </c>
      <c r="D343" s="244" t="s">
        <v>44</v>
      </c>
      <c r="E343" s="244" t="s">
        <v>246</v>
      </c>
      <c r="F343" s="246" t="s">
        <v>55</v>
      </c>
      <c r="G343" s="259">
        <v>10</v>
      </c>
      <c r="H343" s="247"/>
      <c r="I343" s="247"/>
      <c r="J343" s="247"/>
      <c r="K343" s="247"/>
      <c r="L343" s="247"/>
      <c r="M343" s="247"/>
      <c r="N343" s="247"/>
      <c r="O343" s="248"/>
      <c r="P343" s="44"/>
      <c r="Q343" s="49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</row>
    <row r="344" spans="1:36" ht="27.6" x14ac:dyDescent="0.25">
      <c r="A344" s="55"/>
      <c r="B344" s="244" t="s">
        <v>1208</v>
      </c>
      <c r="C344" s="245" t="s">
        <v>1203</v>
      </c>
      <c r="D344" s="244" t="s">
        <v>263</v>
      </c>
      <c r="E344" s="244" t="s">
        <v>1895</v>
      </c>
      <c r="F344" s="246" t="s">
        <v>324</v>
      </c>
      <c r="G344" s="259">
        <v>869.6</v>
      </c>
      <c r="H344" s="247"/>
      <c r="I344" s="247"/>
      <c r="J344" s="247"/>
      <c r="K344" s="247"/>
      <c r="L344" s="247"/>
      <c r="M344" s="247"/>
      <c r="N344" s="247"/>
      <c r="O344" s="248"/>
      <c r="P344" s="44"/>
      <c r="Q344" s="49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</row>
    <row r="345" spans="1:36" ht="27.6" x14ac:dyDescent="0.25">
      <c r="A345" s="55"/>
      <c r="B345" s="244" t="s">
        <v>1210</v>
      </c>
      <c r="C345" s="245" t="s">
        <v>1205</v>
      </c>
      <c r="D345" s="244" t="s">
        <v>263</v>
      </c>
      <c r="E345" s="244" t="s">
        <v>1896</v>
      </c>
      <c r="F345" s="246" t="s">
        <v>324</v>
      </c>
      <c r="G345" s="259">
        <v>42.7</v>
      </c>
      <c r="H345" s="247"/>
      <c r="I345" s="247"/>
      <c r="J345" s="247"/>
      <c r="K345" s="247"/>
      <c r="L345" s="247"/>
      <c r="M345" s="247"/>
      <c r="N345" s="247"/>
      <c r="O345" s="248"/>
      <c r="P345" s="44"/>
      <c r="Q345" s="49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</row>
    <row r="346" spans="1:36" ht="27.6" x14ac:dyDescent="0.25">
      <c r="A346" s="55"/>
      <c r="B346" s="244" t="s">
        <v>1212</v>
      </c>
      <c r="C346" s="245" t="s">
        <v>1207</v>
      </c>
      <c r="D346" s="244" t="s">
        <v>263</v>
      </c>
      <c r="E346" s="244" t="s">
        <v>1897</v>
      </c>
      <c r="F346" s="246" t="s">
        <v>324</v>
      </c>
      <c r="G346" s="259">
        <v>207.2</v>
      </c>
      <c r="H346" s="247"/>
      <c r="I346" s="247"/>
      <c r="J346" s="247"/>
      <c r="K346" s="247"/>
      <c r="L346" s="247"/>
      <c r="M346" s="247"/>
      <c r="N346" s="247"/>
      <c r="O346" s="248"/>
      <c r="P346" s="44"/>
      <c r="Q346" s="49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</row>
    <row r="347" spans="1:36" ht="27.6" x14ac:dyDescent="0.25">
      <c r="A347" s="55"/>
      <c r="B347" s="244" t="s">
        <v>1214</v>
      </c>
      <c r="C347" s="245" t="s">
        <v>1209</v>
      </c>
      <c r="D347" s="244" t="s">
        <v>263</v>
      </c>
      <c r="E347" s="244" t="s">
        <v>1898</v>
      </c>
      <c r="F347" s="246" t="s">
        <v>324</v>
      </c>
      <c r="G347" s="259">
        <v>53.8</v>
      </c>
      <c r="H347" s="247"/>
      <c r="I347" s="247"/>
      <c r="J347" s="247"/>
      <c r="K347" s="247"/>
      <c r="L347" s="247"/>
      <c r="M347" s="247"/>
      <c r="N347" s="247"/>
      <c r="O347" s="248"/>
      <c r="P347" s="44"/>
      <c r="Q347" s="49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</row>
    <row r="348" spans="1:36" x14ac:dyDescent="0.25">
      <c r="A348" s="55"/>
      <c r="B348" s="244" t="s">
        <v>1216</v>
      </c>
      <c r="C348" s="245" t="s">
        <v>1211</v>
      </c>
      <c r="D348" s="244" t="s">
        <v>263</v>
      </c>
      <c r="E348" s="244" t="s">
        <v>1899</v>
      </c>
      <c r="F348" s="246" t="s">
        <v>324</v>
      </c>
      <c r="G348" s="259">
        <v>332.6</v>
      </c>
      <c r="H348" s="247"/>
      <c r="I348" s="247"/>
      <c r="J348" s="247"/>
      <c r="K348" s="247"/>
      <c r="L348" s="247"/>
      <c r="M348" s="247"/>
      <c r="N348" s="247"/>
      <c r="O348" s="248"/>
      <c r="P348" s="44"/>
      <c r="Q348" s="49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</row>
    <row r="349" spans="1:36" ht="27.6" x14ac:dyDescent="0.25">
      <c r="A349" s="55"/>
      <c r="B349" s="244" t="s">
        <v>1219</v>
      </c>
      <c r="C349" s="245" t="s">
        <v>1213</v>
      </c>
      <c r="D349" s="244" t="s">
        <v>263</v>
      </c>
      <c r="E349" s="244" t="s">
        <v>1900</v>
      </c>
      <c r="F349" s="246" t="s">
        <v>324</v>
      </c>
      <c r="G349" s="259">
        <v>89.4</v>
      </c>
      <c r="H349" s="247"/>
      <c r="I349" s="247"/>
      <c r="J349" s="247"/>
      <c r="K349" s="247"/>
      <c r="L349" s="247"/>
      <c r="M349" s="247"/>
      <c r="N349" s="247"/>
      <c r="O349" s="248"/>
      <c r="P349" s="44"/>
      <c r="Q349" s="49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</row>
    <row r="350" spans="1:36" ht="27.6" x14ac:dyDescent="0.25">
      <c r="A350" s="55"/>
      <c r="B350" s="244" t="s">
        <v>1220</v>
      </c>
      <c r="C350" s="245" t="s">
        <v>1215</v>
      </c>
      <c r="D350" s="244" t="s">
        <v>263</v>
      </c>
      <c r="E350" s="244" t="s">
        <v>1901</v>
      </c>
      <c r="F350" s="246" t="s">
        <v>324</v>
      </c>
      <c r="G350" s="259">
        <v>401</v>
      </c>
      <c r="H350" s="247"/>
      <c r="I350" s="247"/>
      <c r="J350" s="247"/>
      <c r="K350" s="247"/>
      <c r="L350" s="247"/>
      <c r="M350" s="247"/>
      <c r="N350" s="247"/>
      <c r="O350" s="248"/>
      <c r="P350" s="44"/>
      <c r="Q350" s="49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</row>
    <row r="351" spans="1:36" x14ac:dyDescent="0.25">
      <c r="A351" s="55"/>
      <c r="B351" s="244" t="s">
        <v>1221</v>
      </c>
      <c r="C351" s="245" t="s">
        <v>1217</v>
      </c>
      <c r="D351" s="244" t="s">
        <v>182</v>
      </c>
      <c r="E351" s="244" t="s">
        <v>1218</v>
      </c>
      <c r="F351" s="246" t="s">
        <v>213</v>
      </c>
      <c r="G351" s="259">
        <v>45</v>
      </c>
      <c r="H351" s="247"/>
      <c r="I351" s="247"/>
      <c r="J351" s="247"/>
      <c r="K351" s="247"/>
      <c r="L351" s="247"/>
      <c r="M351" s="247"/>
      <c r="N351" s="247"/>
      <c r="O351" s="248"/>
      <c r="P351" s="44"/>
      <c r="Q351" s="49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</row>
    <row r="352" spans="1:36" ht="27.6" x14ac:dyDescent="0.25">
      <c r="A352" s="55"/>
      <c r="B352" s="244" t="s">
        <v>1222</v>
      </c>
      <c r="C352" s="245" t="s">
        <v>1046</v>
      </c>
      <c r="D352" s="244" t="s">
        <v>44</v>
      </c>
      <c r="E352" s="244" t="s">
        <v>1047</v>
      </c>
      <c r="F352" s="246" t="s">
        <v>55</v>
      </c>
      <c r="G352" s="259">
        <v>69</v>
      </c>
      <c r="H352" s="247"/>
      <c r="I352" s="247"/>
      <c r="J352" s="247"/>
      <c r="K352" s="247"/>
      <c r="L352" s="247"/>
      <c r="M352" s="247"/>
      <c r="N352" s="247"/>
      <c r="O352" s="248"/>
      <c r="P352" s="44"/>
      <c r="Q352" s="49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</row>
    <row r="353" spans="1:36" ht="27.6" x14ac:dyDescent="0.25">
      <c r="A353" s="55"/>
      <c r="B353" s="244" t="s">
        <v>1223</v>
      </c>
      <c r="C353" s="245" t="s">
        <v>224</v>
      </c>
      <c r="D353" s="244" t="s">
        <v>44</v>
      </c>
      <c r="E353" s="244" t="s">
        <v>225</v>
      </c>
      <c r="F353" s="246" t="s">
        <v>55</v>
      </c>
      <c r="G353" s="259">
        <v>69</v>
      </c>
      <c r="H353" s="247"/>
      <c r="I353" s="247"/>
      <c r="J353" s="247"/>
      <c r="K353" s="247"/>
      <c r="L353" s="247"/>
      <c r="M353" s="247"/>
      <c r="N353" s="247"/>
      <c r="O353" s="248"/>
      <c r="P353" s="44"/>
      <c r="Q353" s="49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</row>
    <row r="354" spans="1:36" ht="27.6" x14ac:dyDescent="0.25">
      <c r="A354" s="55"/>
      <c r="B354" s="244" t="s">
        <v>1224</v>
      </c>
      <c r="C354" s="245" t="s">
        <v>1078</v>
      </c>
      <c r="D354" s="244" t="s">
        <v>44</v>
      </c>
      <c r="E354" s="244" t="s">
        <v>1079</v>
      </c>
      <c r="F354" s="246" t="s">
        <v>55</v>
      </c>
      <c r="G354" s="259">
        <v>69</v>
      </c>
      <c r="H354" s="247"/>
      <c r="I354" s="247"/>
      <c r="J354" s="247"/>
      <c r="K354" s="247"/>
      <c r="L354" s="247"/>
      <c r="M354" s="247"/>
      <c r="N354" s="247"/>
      <c r="O354" s="248"/>
      <c r="P354" s="44"/>
      <c r="Q354" s="49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</row>
    <row r="355" spans="1:36" ht="27.6" x14ac:dyDescent="0.25">
      <c r="A355" s="55"/>
      <c r="B355" s="244" t="s">
        <v>1227</v>
      </c>
      <c r="C355" s="245" t="s">
        <v>222</v>
      </c>
      <c r="D355" s="244" t="s">
        <v>44</v>
      </c>
      <c r="E355" s="244" t="s">
        <v>223</v>
      </c>
      <c r="F355" s="246" t="s">
        <v>55</v>
      </c>
      <c r="G355" s="259">
        <v>138</v>
      </c>
      <c r="H355" s="247"/>
      <c r="I355" s="247"/>
      <c r="J355" s="247"/>
      <c r="K355" s="247"/>
      <c r="L355" s="247"/>
      <c r="M355" s="247"/>
      <c r="N355" s="247"/>
      <c r="O355" s="248"/>
      <c r="P355" s="44"/>
      <c r="Q355" s="49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</row>
    <row r="356" spans="1:36" ht="27.6" x14ac:dyDescent="0.25">
      <c r="A356" s="55"/>
      <c r="B356" s="244" t="s">
        <v>1228</v>
      </c>
      <c r="C356" s="245" t="s">
        <v>586</v>
      </c>
      <c r="D356" s="244" t="s">
        <v>44</v>
      </c>
      <c r="E356" s="244" t="s">
        <v>587</v>
      </c>
      <c r="F356" s="246" t="s">
        <v>71</v>
      </c>
      <c r="G356" s="259">
        <v>414</v>
      </c>
      <c r="H356" s="247"/>
      <c r="I356" s="247"/>
      <c r="J356" s="247"/>
      <c r="K356" s="247"/>
      <c r="L356" s="247"/>
      <c r="M356" s="247"/>
      <c r="N356" s="247"/>
      <c r="O356" s="248"/>
      <c r="P356" s="44"/>
      <c r="Q356" s="49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</row>
    <row r="357" spans="1:36" x14ac:dyDescent="0.25">
      <c r="A357" s="55"/>
      <c r="B357" s="244" t="s">
        <v>1229</v>
      </c>
      <c r="C357" s="245" t="s">
        <v>1024</v>
      </c>
      <c r="D357" s="244" t="s">
        <v>263</v>
      </c>
      <c r="E357" s="244" t="s">
        <v>1891</v>
      </c>
      <c r="F357" s="246" t="s">
        <v>324</v>
      </c>
      <c r="G357" s="259">
        <v>4.5999999999999996</v>
      </c>
      <c r="H357" s="247"/>
      <c r="I357" s="247"/>
      <c r="J357" s="247"/>
      <c r="K357" s="247"/>
      <c r="L357" s="247"/>
      <c r="M357" s="247"/>
      <c r="N357" s="247"/>
      <c r="O357" s="248"/>
      <c r="P357" s="44"/>
      <c r="Q357" s="49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</row>
    <row r="358" spans="1:36" ht="27.6" x14ac:dyDescent="0.25">
      <c r="A358" s="55"/>
      <c r="B358" s="244" t="s">
        <v>1232</v>
      </c>
      <c r="C358" s="245" t="s">
        <v>243</v>
      </c>
      <c r="D358" s="244" t="s">
        <v>44</v>
      </c>
      <c r="E358" s="244" t="s">
        <v>244</v>
      </c>
      <c r="F358" s="246" t="s">
        <v>55</v>
      </c>
      <c r="G358" s="259">
        <v>1</v>
      </c>
      <c r="H358" s="247"/>
      <c r="I358" s="247"/>
      <c r="J358" s="247"/>
      <c r="K358" s="247"/>
      <c r="L358" s="247"/>
      <c r="M358" s="247"/>
      <c r="N358" s="247"/>
      <c r="O358" s="248"/>
      <c r="P358" s="44"/>
      <c r="Q358" s="49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</row>
    <row r="359" spans="1:36" ht="27.6" x14ac:dyDescent="0.25">
      <c r="A359" s="55"/>
      <c r="B359" s="244" t="s">
        <v>1235</v>
      </c>
      <c r="C359" s="245" t="s">
        <v>1230</v>
      </c>
      <c r="D359" s="244" t="s">
        <v>44</v>
      </c>
      <c r="E359" s="244" t="s">
        <v>1231</v>
      </c>
      <c r="F359" s="246" t="s">
        <v>75</v>
      </c>
      <c r="G359" s="259">
        <v>2.1</v>
      </c>
      <c r="H359" s="247"/>
      <c r="I359" s="247"/>
      <c r="J359" s="247"/>
      <c r="K359" s="247"/>
      <c r="L359" s="247"/>
      <c r="M359" s="247"/>
      <c r="N359" s="247"/>
      <c r="O359" s="248"/>
      <c r="P359" s="44"/>
      <c r="Q359" s="49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</row>
    <row r="360" spans="1:36" ht="27.6" x14ac:dyDescent="0.25">
      <c r="A360" s="55"/>
      <c r="B360" s="244" t="s">
        <v>1238</v>
      </c>
      <c r="C360" s="245" t="s">
        <v>1233</v>
      </c>
      <c r="D360" s="244" t="s">
        <v>44</v>
      </c>
      <c r="E360" s="244" t="s">
        <v>1234</v>
      </c>
      <c r="F360" s="246" t="s">
        <v>75</v>
      </c>
      <c r="G360" s="259">
        <v>0.1</v>
      </c>
      <c r="H360" s="247"/>
      <c r="I360" s="247"/>
      <c r="J360" s="247"/>
      <c r="K360" s="247"/>
      <c r="L360" s="247"/>
      <c r="M360" s="247"/>
      <c r="N360" s="247"/>
      <c r="O360" s="248"/>
      <c r="P360" s="44"/>
      <c r="Q360" s="49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</row>
    <row r="361" spans="1:36" ht="27.6" x14ac:dyDescent="0.25">
      <c r="A361" s="55"/>
      <c r="B361" s="244" t="s">
        <v>1239</v>
      </c>
      <c r="C361" s="245" t="s">
        <v>1236</v>
      </c>
      <c r="D361" s="244" t="s">
        <v>44</v>
      </c>
      <c r="E361" s="244" t="s">
        <v>1237</v>
      </c>
      <c r="F361" s="246" t="s">
        <v>55</v>
      </c>
      <c r="G361" s="259">
        <v>4</v>
      </c>
      <c r="H361" s="247"/>
      <c r="I361" s="247"/>
      <c r="J361" s="247"/>
      <c r="K361" s="247"/>
      <c r="L361" s="247"/>
      <c r="M361" s="247"/>
      <c r="N361" s="247"/>
      <c r="O361" s="248"/>
      <c r="P361" s="44"/>
      <c r="Q361" s="49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</row>
    <row r="362" spans="1:36" ht="27.6" x14ac:dyDescent="0.25">
      <c r="A362" s="55"/>
      <c r="B362" s="244" t="s">
        <v>1242</v>
      </c>
      <c r="C362" s="245" t="s">
        <v>1240</v>
      </c>
      <c r="D362" s="244" t="s">
        <v>44</v>
      </c>
      <c r="E362" s="244" t="s">
        <v>1241</v>
      </c>
      <c r="F362" s="246" t="s">
        <v>55</v>
      </c>
      <c r="G362" s="259">
        <v>12</v>
      </c>
      <c r="H362" s="247"/>
      <c r="I362" s="247"/>
      <c r="J362" s="247"/>
      <c r="K362" s="247"/>
      <c r="L362" s="247"/>
      <c r="M362" s="247"/>
      <c r="N362" s="247"/>
      <c r="O362" s="248"/>
      <c r="P362" s="44"/>
      <c r="Q362" s="49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</row>
    <row r="363" spans="1:36" ht="27.6" x14ac:dyDescent="0.25">
      <c r="A363" s="55"/>
      <c r="B363" s="244" t="s">
        <v>1245</v>
      </c>
      <c r="C363" s="245" t="s">
        <v>2329</v>
      </c>
      <c r="D363" s="244" t="s">
        <v>44</v>
      </c>
      <c r="E363" s="244" t="s">
        <v>2330</v>
      </c>
      <c r="F363" s="246" t="s">
        <v>55</v>
      </c>
      <c r="G363" s="259">
        <v>1</v>
      </c>
      <c r="H363" s="247"/>
      <c r="I363" s="247"/>
      <c r="J363" s="247"/>
      <c r="K363" s="247"/>
      <c r="L363" s="247"/>
      <c r="M363" s="247"/>
      <c r="N363" s="247"/>
      <c r="O363" s="248"/>
      <c r="P363" s="44"/>
      <c r="Q363" s="49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</row>
    <row r="364" spans="1:36" ht="27.6" x14ac:dyDescent="0.25">
      <c r="A364" s="55"/>
      <c r="B364" s="244" t="s">
        <v>1246</v>
      </c>
      <c r="C364" s="245" t="s">
        <v>1243</v>
      </c>
      <c r="D364" s="244" t="s">
        <v>44</v>
      </c>
      <c r="E364" s="244" t="s">
        <v>1244</v>
      </c>
      <c r="F364" s="246" t="s">
        <v>55</v>
      </c>
      <c r="G364" s="259">
        <v>1</v>
      </c>
      <c r="H364" s="247"/>
      <c r="I364" s="247"/>
      <c r="J364" s="247"/>
      <c r="K364" s="247"/>
      <c r="L364" s="247"/>
      <c r="M364" s="247"/>
      <c r="N364" s="247"/>
      <c r="O364" s="248"/>
      <c r="P364" s="44"/>
      <c r="Q364" s="49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</row>
    <row r="365" spans="1:36" ht="27.6" x14ac:dyDescent="0.25">
      <c r="A365" s="55"/>
      <c r="B365" s="244" t="s">
        <v>1247</v>
      </c>
      <c r="C365" s="245" t="s">
        <v>249</v>
      </c>
      <c r="D365" s="244" t="s">
        <v>44</v>
      </c>
      <c r="E365" s="244" t="s">
        <v>250</v>
      </c>
      <c r="F365" s="246" t="s">
        <v>55</v>
      </c>
      <c r="G365" s="259">
        <v>65</v>
      </c>
      <c r="H365" s="247"/>
      <c r="I365" s="247"/>
      <c r="J365" s="247"/>
      <c r="K365" s="247"/>
      <c r="L365" s="247"/>
      <c r="M365" s="247"/>
      <c r="N365" s="247"/>
      <c r="O365" s="248"/>
      <c r="P365" s="44"/>
      <c r="Q365" s="49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</row>
    <row r="366" spans="1:36" ht="27.6" x14ac:dyDescent="0.25">
      <c r="A366" s="55"/>
      <c r="B366" s="244" t="s">
        <v>1249</v>
      </c>
      <c r="C366" s="245" t="s">
        <v>251</v>
      </c>
      <c r="D366" s="244" t="s">
        <v>44</v>
      </c>
      <c r="E366" s="244" t="s">
        <v>252</v>
      </c>
      <c r="F366" s="246" t="s">
        <v>55</v>
      </c>
      <c r="G366" s="259">
        <v>9</v>
      </c>
      <c r="H366" s="247"/>
      <c r="I366" s="247"/>
      <c r="J366" s="247"/>
      <c r="K366" s="247"/>
      <c r="L366" s="247"/>
      <c r="M366" s="247"/>
      <c r="N366" s="247"/>
      <c r="O366" s="248"/>
      <c r="P366" s="44"/>
      <c r="Q366" s="49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</row>
    <row r="367" spans="1:36" x14ac:dyDescent="0.25">
      <c r="A367" s="55"/>
      <c r="B367" s="244" t="s">
        <v>1252</v>
      </c>
      <c r="C367" s="245" t="s">
        <v>1248</v>
      </c>
      <c r="D367" s="244" t="s">
        <v>263</v>
      </c>
      <c r="E367" s="244" t="s">
        <v>1902</v>
      </c>
      <c r="F367" s="246" t="s">
        <v>324</v>
      </c>
      <c r="G367" s="259">
        <v>45.9</v>
      </c>
      <c r="H367" s="247"/>
      <c r="I367" s="247"/>
      <c r="J367" s="247"/>
      <c r="K367" s="247"/>
      <c r="L367" s="247"/>
      <c r="M367" s="247"/>
      <c r="N367" s="247"/>
      <c r="O367" s="248"/>
      <c r="P367" s="44"/>
      <c r="Q367" s="49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</row>
    <row r="368" spans="1:36" ht="27.6" x14ac:dyDescent="0.25">
      <c r="A368" s="55"/>
      <c r="B368" s="244" t="s">
        <v>1253</v>
      </c>
      <c r="C368" s="245" t="s">
        <v>1250</v>
      </c>
      <c r="D368" s="244" t="s">
        <v>44</v>
      </c>
      <c r="E368" s="244" t="s">
        <v>1251</v>
      </c>
      <c r="F368" s="246" t="s">
        <v>55</v>
      </c>
      <c r="G368" s="259">
        <v>2</v>
      </c>
      <c r="H368" s="247"/>
      <c r="I368" s="247"/>
      <c r="J368" s="247"/>
      <c r="K368" s="247"/>
      <c r="L368" s="247"/>
      <c r="M368" s="247"/>
      <c r="N368" s="247"/>
      <c r="O368" s="248"/>
      <c r="P368" s="44"/>
      <c r="Q368" s="49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</row>
    <row r="369" spans="1:36" ht="27.6" x14ac:dyDescent="0.25">
      <c r="A369" s="55"/>
      <c r="B369" s="244" t="s">
        <v>1903</v>
      </c>
      <c r="C369" s="245" t="s">
        <v>253</v>
      </c>
      <c r="D369" s="244" t="s">
        <v>44</v>
      </c>
      <c r="E369" s="244" t="s">
        <v>254</v>
      </c>
      <c r="F369" s="246" t="s">
        <v>55</v>
      </c>
      <c r="G369" s="259">
        <v>79</v>
      </c>
      <c r="H369" s="247"/>
      <c r="I369" s="247"/>
      <c r="J369" s="247"/>
      <c r="K369" s="247"/>
      <c r="L369" s="247"/>
      <c r="M369" s="247"/>
      <c r="N369" s="247"/>
      <c r="O369" s="248"/>
      <c r="P369" s="44"/>
      <c r="Q369" s="49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</row>
    <row r="370" spans="1:36" ht="27.6" x14ac:dyDescent="0.25">
      <c r="A370" s="55"/>
      <c r="B370" s="244" t="s">
        <v>2331</v>
      </c>
      <c r="C370" s="245" t="s">
        <v>1254</v>
      </c>
      <c r="D370" s="244" t="s">
        <v>44</v>
      </c>
      <c r="E370" s="244" t="s">
        <v>1255</v>
      </c>
      <c r="F370" s="246" t="s">
        <v>55</v>
      </c>
      <c r="G370" s="259">
        <v>5</v>
      </c>
      <c r="H370" s="247"/>
      <c r="I370" s="247"/>
      <c r="J370" s="247"/>
      <c r="K370" s="247"/>
      <c r="L370" s="247"/>
      <c r="M370" s="247"/>
      <c r="N370" s="247"/>
      <c r="O370" s="248"/>
      <c r="P370" s="44"/>
      <c r="Q370" s="49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</row>
    <row r="371" spans="1:36" x14ac:dyDescent="0.25">
      <c r="A371" s="55"/>
      <c r="B371" s="240" t="s">
        <v>385</v>
      </c>
      <c r="C371" s="240"/>
      <c r="D371" s="240"/>
      <c r="E371" s="240" t="s">
        <v>1256</v>
      </c>
      <c r="F371" s="240"/>
      <c r="G371" s="258"/>
      <c r="H371" s="241"/>
      <c r="I371" s="240"/>
      <c r="J371" s="240"/>
      <c r="K371" s="240"/>
      <c r="L371" s="240"/>
      <c r="M371" s="240"/>
      <c r="N371" s="242"/>
      <c r="O371" s="243"/>
      <c r="P371" s="44"/>
      <c r="Q371" s="49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</row>
    <row r="372" spans="1:36" ht="27.6" x14ac:dyDescent="0.25">
      <c r="A372" s="55"/>
      <c r="B372" s="244" t="s">
        <v>1257</v>
      </c>
      <c r="C372" s="245" t="s">
        <v>1258</v>
      </c>
      <c r="D372" s="244" t="s">
        <v>44</v>
      </c>
      <c r="E372" s="244" t="s">
        <v>1259</v>
      </c>
      <c r="F372" s="246" t="s">
        <v>55</v>
      </c>
      <c r="G372" s="259">
        <v>4</v>
      </c>
      <c r="H372" s="247"/>
      <c r="I372" s="247"/>
      <c r="J372" s="247"/>
      <c r="K372" s="247"/>
      <c r="L372" s="247"/>
      <c r="M372" s="247"/>
      <c r="N372" s="247"/>
      <c r="O372" s="248"/>
      <c r="P372" s="44"/>
      <c r="Q372" s="49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</row>
    <row r="373" spans="1:36" x14ac:dyDescent="0.25">
      <c r="A373" s="55"/>
      <c r="B373" s="244" t="s">
        <v>1260</v>
      </c>
      <c r="C373" s="245" t="s">
        <v>1261</v>
      </c>
      <c r="D373" s="244" t="s">
        <v>263</v>
      </c>
      <c r="E373" s="244" t="s">
        <v>1906</v>
      </c>
      <c r="F373" s="246" t="s">
        <v>324</v>
      </c>
      <c r="G373" s="259">
        <v>261.10000000000002</v>
      </c>
      <c r="H373" s="247"/>
      <c r="I373" s="247"/>
      <c r="J373" s="247"/>
      <c r="K373" s="247"/>
      <c r="L373" s="247"/>
      <c r="M373" s="247"/>
      <c r="N373" s="247"/>
      <c r="O373" s="248"/>
      <c r="P373" s="44"/>
      <c r="Q373" s="49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</row>
    <row r="374" spans="1:36" x14ac:dyDescent="0.25">
      <c r="A374" s="55"/>
      <c r="B374" s="244" t="s">
        <v>1262</v>
      </c>
      <c r="C374" s="245" t="s">
        <v>1263</v>
      </c>
      <c r="D374" s="244" t="s">
        <v>263</v>
      </c>
      <c r="E374" s="244" t="s">
        <v>1907</v>
      </c>
      <c r="F374" s="246" t="s">
        <v>324</v>
      </c>
      <c r="G374" s="259">
        <v>65.7</v>
      </c>
      <c r="H374" s="247"/>
      <c r="I374" s="247"/>
      <c r="J374" s="247"/>
      <c r="K374" s="247"/>
      <c r="L374" s="247"/>
      <c r="M374" s="247"/>
      <c r="N374" s="247"/>
      <c r="O374" s="248"/>
      <c r="P374" s="44"/>
      <c r="Q374" s="49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</row>
    <row r="375" spans="1:36" x14ac:dyDescent="0.25">
      <c r="A375" s="55"/>
      <c r="B375" s="244" t="s">
        <v>1264</v>
      </c>
      <c r="C375" s="245" t="s">
        <v>1265</v>
      </c>
      <c r="D375" s="244" t="s">
        <v>263</v>
      </c>
      <c r="E375" s="244" t="s">
        <v>1908</v>
      </c>
      <c r="F375" s="246" t="s">
        <v>324</v>
      </c>
      <c r="G375" s="259">
        <v>16</v>
      </c>
      <c r="H375" s="247"/>
      <c r="I375" s="247"/>
      <c r="J375" s="247"/>
      <c r="K375" s="247"/>
      <c r="L375" s="247"/>
      <c r="M375" s="247"/>
      <c r="N375" s="247"/>
      <c r="O375" s="248"/>
      <c r="P375" s="44"/>
      <c r="Q375" s="49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</row>
    <row r="376" spans="1:36" x14ac:dyDescent="0.25">
      <c r="A376" s="55"/>
      <c r="B376" s="244" t="s">
        <v>1266</v>
      </c>
      <c r="C376" s="245" t="s">
        <v>1267</v>
      </c>
      <c r="D376" s="244" t="s">
        <v>121</v>
      </c>
      <c r="E376" s="244" t="s">
        <v>1268</v>
      </c>
      <c r="F376" s="246" t="s">
        <v>55</v>
      </c>
      <c r="G376" s="259">
        <v>9</v>
      </c>
      <c r="H376" s="247"/>
      <c r="I376" s="247"/>
      <c r="J376" s="247"/>
      <c r="K376" s="247"/>
      <c r="L376" s="247"/>
      <c r="M376" s="247"/>
      <c r="N376" s="247"/>
      <c r="O376" s="248"/>
      <c r="P376" s="44"/>
      <c r="Q376" s="49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</row>
    <row r="377" spans="1:36" x14ac:dyDescent="0.25">
      <c r="A377" s="55"/>
      <c r="B377" s="244" t="s">
        <v>1269</v>
      </c>
      <c r="C377" s="245" t="s">
        <v>1270</v>
      </c>
      <c r="D377" s="244" t="s">
        <v>121</v>
      </c>
      <c r="E377" s="244" t="s">
        <v>1271</v>
      </c>
      <c r="F377" s="246" t="s">
        <v>55</v>
      </c>
      <c r="G377" s="259">
        <v>32</v>
      </c>
      <c r="H377" s="247"/>
      <c r="I377" s="247"/>
      <c r="J377" s="247"/>
      <c r="K377" s="247"/>
      <c r="L377" s="247"/>
      <c r="M377" s="247"/>
      <c r="N377" s="247"/>
      <c r="O377" s="248"/>
      <c r="P377" s="44"/>
      <c r="Q377" s="49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</row>
    <row r="378" spans="1:36" x14ac:dyDescent="0.25">
      <c r="A378" s="55"/>
      <c r="B378" s="244" t="s">
        <v>1272</v>
      </c>
      <c r="C378" s="245" t="s">
        <v>1273</v>
      </c>
      <c r="D378" s="244" t="s">
        <v>121</v>
      </c>
      <c r="E378" s="244" t="s">
        <v>1274</v>
      </c>
      <c r="F378" s="246" t="s">
        <v>55</v>
      </c>
      <c r="G378" s="259">
        <v>3</v>
      </c>
      <c r="H378" s="247"/>
      <c r="I378" s="247"/>
      <c r="J378" s="247"/>
      <c r="K378" s="247"/>
      <c r="L378" s="247"/>
      <c r="M378" s="247"/>
      <c r="N378" s="247"/>
      <c r="O378" s="248"/>
      <c r="P378" s="44"/>
      <c r="Q378" s="49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</row>
    <row r="379" spans="1:36" ht="27.6" x14ac:dyDescent="0.25">
      <c r="A379" s="55"/>
      <c r="B379" s="244" t="s">
        <v>1275</v>
      </c>
      <c r="C379" s="245" t="s">
        <v>1276</v>
      </c>
      <c r="D379" s="244" t="s">
        <v>44</v>
      </c>
      <c r="E379" s="244" t="s">
        <v>1277</v>
      </c>
      <c r="F379" s="246" t="s">
        <v>71</v>
      </c>
      <c r="G379" s="259">
        <v>42</v>
      </c>
      <c r="H379" s="247"/>
      <c r="I379" s="247"/>
      <c r="J379" s="247"/>
      <c r="K379" s="247"/>
      <c r="L379" s="247"/>
      <c r="M379" s="247"/>
      <c r="N379" s="247"/>
      <c r="O379" s="248"/>
      <c r="P379" s="44"/>
      <c r="Q379" s="49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</row>
    <row r="380" spans="1:36" ht="27.6" x14ac:dyDescent="0.25">
      <c r="A380" s="55"/>
      <c r="B380" s="244" t="s">
        <v>1278</v>
      </c>
      <c r="C380" s="245" t="s">
        <v>1279</v>
      </c>
      <c r="D380" s="244" t="s">
        <v>44</v>
      </c>
      <c r="E380" s="244" t="s">
        <v>1280</v>
      </c>
      <c r="F380" s="246" t="s">
        <v>71</v>
      </c>
      <c r="G380" s="259">
        <v>11.4</v>
      </c>
      <c r="H380" s="247"/>
      <c r="I380" s="247"/>
      <c r="J380" s="247"/>
      <c r="K380" s="247"/>
      <c r="L380" s="247"/>
      <c r="M380" s="247"/>
      <c r="N380" s="247"/>
      <c r="O380" s="248"/>
      <c r="P380" s="44"/>
      <c r="Q380" s="49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</row>
    <row r="381" spans="1:36" x14ac:dyDescent="0.25">
      <c r="A381" s="55"/>
      <c r="B381" s="244" t="s">
        <v>1281</v>
      </c>
      <c r="C381" s="245" t="s">
        <v>1282</v>
      </c>
      <c r="D381" s="244" t="s">
        <v>44</v>
      </c>
      <c r="E381" s="244" t="s">
        <v>1283</v>
      </c>
      <c r="F381" s="246" t="s">
        <v>55</v>
      </c>
      <c r="G381" s="259">
        <v>6</v>
      </c>
      <c r="H381" s="247"/>
      <c r="I381" s="247"/>
      <c r="J381" s="247"/>
      <c r="K381" s="247"/>
      <c r="L381" s="247"/>
      <c r="M381" s="247"/>
      <c r="N381" s="247"/>
      <c r="O381" s="248"/>
      <c r="P381" s="44"/>
      <c r="Q381" s="49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</row>
    <row r="382" spans="1:36" ht="27.6" x14ac:dyDescent="0.25">
      <c r="A382" s="55"/>
      <c r="B382" s="244" t="s">
        <v>1284</v>
      </c>
      <c r="C382" s="245" t="s">
        <v>260</v>
      </c>
      <c r="D382" s="244" t="s">
        <v>44</v>
      </c>
      <c r="E382" s="244" t="s">
        <v>261</v>
      </c>
      <c r="F382" s="246" t="s">
        <v>55</v>
      </c>
      <c r="G382" s="259">
        <v>5</v>
      </c>
      <c r="H382" s="247"/>
      <c r="I382" s="247"/>
      <c r="J382" s="247"/>
      <c r="K382" s="247"/>
      <c r="L382" s="247"/>
      <c r="M382" s="247"/>
      <c r="N382" s="247"/>
      <c r="O382" s="248"/>
      <c r="P382" s="44"/>
      <c r="Q382" s="49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</row>
    <row r="383" spans="1:36" ht="27.6" x14ac:dyDescent="0.25">
      <c r="A383" s="55"/>
      <c r="B383" s="244" t="s">
        <v>1285</v>
      </c>
      <c r="C383" s="245" t="s">
        <v>222</v>
      </c>
      <c r="D383" s="244" t="s">
        <v>44</v>
      </c>
      <c r="E383" s="244" t="s">
        <v>223</v>
      </c>
      <c r="F383" s="246" t="s">
        <v>55</v>
      </c>
      <c r="G383" s="259">
        <v>38</v>
      </c>
      <c r="H383" s="247"/>
      <c r="I383" s="247"/>
      <c r="J383" s="247"/>
      <c r="K383" s="247"/>
      <c r="L383" s="247"/>
      <c r="M383" s="247"/>
      <c r="N383" s="247"/>
      <c r="O383" s="248"/>
      <c r="P383" s="44"/>
      <c r="Q383" s="49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</row>
    <row r="384" spans="1:36" ht="27.6" x14ac:dyDescent="0.25">
      <c r="A384" s="55"/>
      <c r="B384" s="244" t="s">
        <v>1286</v>
      </c>
      <c r="C384" s="245" t="s">
        <v>586</v>
      </c>
      <c r="D384" s="244" t="s">
        <v>44</v>
      </c>
      <c r="E384" s="244" t="s">
        <v>587</v>
      </c>
      <c r="F384" s="246" t="s">
        <v>71</v>
      </c>
      <c r="G384" s="259">
        <v>521.1</v>
      </c>
      <c r="H384" s="247"/>
      <c r="I384" s="247"/>
      <c r="J384" s="247"/>
      <c r="K384" s="247"/>
      <c r="L384" s="247"/>
      <c r="M384" s="247"/>
      <c r="N384" s="247"/>
      <c r="O384" s="248"/>
      <c r="P384" s="44"/>
      <c r="Q384" s="49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</row>
    <row r="385" spans="1:36" ht="27.6" x14ac:dyDescent="0.25">
      <c r="A385" s="55"/>
      <c r="B385" s="244" t="s">
        <v>1287</v>
      </c>
      <c r="C385" s="245" t="s">
        <v>258</v>
      </c>
      <c r="D385" s="244" t="s">
        <v>44</v>
      </c>
      <c r="E385" s="244" t="s">
        <v>259</v>
      </c>
      <c r="F385" s="246" t="s">
        <v>55</v>
      </c>
      <c r="G385" s="259">
        <v>63</v>
      </c>
      <c r="H385" s="247"/>
      <c r="I385" s="247"/>
      <c r="J385" s="247"/>
      <c r="K385" s="247"/>
      <c r="L385" s="247"/>
      <c r="M385" s="247"/>
      <c r="N385" s="247"/>
      <c r="O385" s="248"/>
      <c r="P385" s="44"/>
      <c r="Q385" s="49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</row>
    <row r="386" spans="1:36" x14ac:dyDescent="0.25">
      <c r="A386" s="55"/>
      <c r="B386" s="240" t="s">
        <v>388</v>
      </c>
      <c r="C386" s="240"/>
      <c r="D386" s="240"/>
      <c r="E386" s="240" t="s">
        <v>1288</v>
      </c>
      <c r="F386" s="240"/>
      <c r="G386" s="258"/>
      <c r="H386" s="241"/>
      <c r="I386" s="240"/>
      <c r="J386" s="240"/>
      <c r="K386" s="240"/>
      <c r="L386" s="240"/>
      <c r="M386" s="240"/>
      <c r="N386" s="242"/>
      <c r="O386" s="243"/>
      <c r="P386" s="44"/>
      <c r="Q386" s="49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</row>
    <row r="387" spans="1:36" x14ac:dyDescent="0.25">
      <c r="A387" s="55"/>
      <c r="B387" s="240" t="s">
        <v>1289</v>
      </c>
      <c r="C387" s="240"/>
      <c r="D387" s="240"/>
      <c r="E387" s="240" t="s">
        <v>1290</v>
      </c>
      <c r="F387" s="240"/>
      <c r="G387" s="258"/>
      <c r="H387" s="241"/>
      <c r="I387" s="240"/>
      <c r="J387" s="240"/>
      <c r="K387" s="240"/>
      <c r="L387" s="240"/>
      <c r="M387" s="240"/>
      <c r="N387" s="242"/>
      <c r="O387" s="243"/>
      <c r="P387" s="44"/>
      <c r="Q387" s="49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</row>
    <row r="388" spans="1:36" x14ac:dyDescent="0.25">
      <c r="A388" s="55"/>
      <c r="B388" s="244" t="s">
        <v>1291</v>
      </c>
      <c r="C388" s="245" t="s">
        <v>268</v>
      </c>
      <c r="D388" s="244" t="s">
        <v>182</v>
      </c>
      <c r="E388" s="244" t="s">
        <v>269</v>
      </c>
      <c r="F388" s="246" t="s">
        <v>213</v>
      </c>
      <c r="G388" s="259">
        <v>14</v>
      </c>
      <c r="H388" s="247"/>
      <c r="I388" s="247"/>
      <c r="J388" s="247"/>
      <c r="K388" s="247"/>
      <c r="L388" s="247"/>
      <c r="M388" s="247"/>
      <c r="N388" s="247"/>
      <c r="O388" s="248"/>
      <c r="P388" s="44"/>
      <c r="Q388" s="49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</row>
    <row r="389" spans="1:36" ht="27.6" x14ac:dyDescent="0.25">
      <c r="A389" s="55"/>
      <c r="B389" s="244" t="s">
        <v>1292</v>
      </c>
      <c r="C389" s="245" t="s">
        <v>266</v>
      </c>
      <c r="D389" s="244" t="s">
        <v>44</v>
      </c>
      <c r="E389" s="244" t="s">
        <v>267</v>
      </c>
      <c r="F389" s="246" t="s">
        <v>55</v>
      </c>
      <c r="G389" s="259">
        <v>26</v>
      </c>
      <c r="H389" s="247"/>
      <c r="I389" s="247"/>
      <c r="J389" s="247"/>
      <c r="K389" s="247"/>
      <c r="L389" s="247"/>
      <c r="M389" s="247"/>
      <c r="N389" s="247"/>
      <c r="O389" s="248"/>
      <c r="P389" s="44"/>
      <c r="Q389" s="49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</row>
    <row r="390" spans="1:36" ht="27.6" x14ac:dyDescent="0.25">
      <c r="A390" s="55"/>
      <c r="B390" s="244" t="s">
        <v>1293</v>
      </c>
      <c r="C390" s="245" t="s">
        <v>1294</v>
      </c>
      <c r="D390" s="244" t="s">
        <v>263</v>
      </c>
      <c r="E390" s="244" t="s">
        <v>1909</v>
      </c>
      <c r="F390" s="246" t="s">
        <v>213</v>
      </c>
      <c r="G390" s="259">
        <v>20</v>
      </c>
      <c r="H390" s="247"/>
      <c r="I390" s="247"/>
      <c r="J390" s="247"/>
      <c r="K390" s="247"/>
      <c r="L390" s="247"/>
      <c r="M390" s="247"/>
      <c r="N390" s="247"/>
      <c r="O390" s="248"/>
      <c r="P390" s="44"/>
      <c r="Q390" s="49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</row>
    <row r="391" spans="1:36" ht="13.8" x14ac:dyDescent="0.25">
      <c r="A391" s="55"/>
      <c r="B391" s="244" t="s">
        <v>1295</v>
      </c>
      <c r="C391" s="245" t="s">
        <v>1296</v>
      </c>
      <c r="D391" s="244" t="s">
        <v>182</v>
      </c>
      <c r="E391" s="244" t="s">
        <v>1297</v>
      </c>
      <c r="F391" s="246" t="s">
        <v>213</v>
      </c>
      <c r="G391" s="259">
        <v>26</v>
      </c>
      <c r="H391" s="247"/>
      <c r="I391" s="247"/>
      <c r="J391" s="247"/>
      <c r="K391" s="247"/>
      <c r="L391" s="247"/>
      <c r="M391" s="247"/>
      <c r="N391" s="247"/>
      <c r="O391" s="248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</row>
    <row r="392" spans="1:36" ht="27.6" x14ac:dyDescent="0.25">
      <c r="A392" s="55"/>
      <c r="B392" s="244" t="s">
        <v>1298</v>
      </c>
      <c r="C392" s="245" t="s">
        <v>264</v>
      </c>
      <c r="D392" s="244" t="s">
        <v>263</v>
      </c>
      <c r="E392" s="244" t="s">
        <v>1910</v>
      </c>
      <c r="F392" s="246" t="s">
        <v>213</v>
      </c>
      <c r="G392" s="259">
        <v>7</v>
      </c>
      <c r="H392" s="247"/>
      <c r="I392" s="247"/>
      <c r="J392" s="247"/>
      <c r="K392" s="247"/>
      <c r="L392" s="247"/>
      <c r="M392" s="247"/>
      <c r="N392" s="247"/>
      <c r="O392" s="248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</row>
    <row r="393" spans="1:36" ht="13.8" x14ac:dyDescent="0.25">
      <c r="A393" s="55"/>
      <c r="B393" s="244" t="s">
        <v>1299</v>
      </c>
      <c r="C393" s="245" t="s">
        <v>1300</v>
      </c>
      <c r="D393" s="244" t="s">
        <v>44</v>
      </c>
      <c r="E393" s="244" t="s">
        <v>1301</v>
      </c>
      <c r="F393" s="246" t="s">
        <v>45</v>
      </c>
      <c r="G393" s="259">
        <v>7</v>
      </c>
      <c r="H393" s="247"/>
      <c r="I393" s="247"/>
      <c r="J393" s="247"/>
      <c r="K393" s="247"/>
      <c r="L393" s="247"/>
      <c r="M393" s="247"/>
      <c r="N393" s="247"/>
      <c r="O393" s="248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</row>
    <row r="394" spans="1:36" ht="13.8" x14ac:dyDescent="0.25">
      <c r="A394" s="55"/>
      <c r="B394" s="244" t="s">
        <v>1302</v>
      </c>
      <c r="C394" s="245" t="s">
        <v>1303</v>
      </c>
      <c r="D394" s="244" t="s">
        <v>263</v>
      </c>
      <c r="E394" s="244" t="s">
        <v>1911</v>
      </c>
      <c r="F394" s="246" t="s">
        <v>213</v>
      </c>
      <c r="G394" s="259">
        <v>1</v>
      </c>
      <c r="H394" s="247"/>
      <c r="I394" s="247"/>
      <c r="J394" s="247"/>
      <c r="K394" s="247"/>
      <c r="L394" s="247"/>
      <c r="M394" s="247"/>
      <c r="N394" s="247"/>
      <c r="O394" s="248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</row>
    <row r="395" spans="1:36" ht="27.6" x14ac:dyDescent="0.25">
      <c r="A395" s="55"/>
      <c r="B395" s="244" t="s">
        <v>1304</v>
      </c>
      <c r="C395" s="245" t="s">
        <v>1305</v>
      </c>
      <c r="D395" s="244" t="s">
        <v>182</v>
      </c>
      <c r="E395" s="244" t="s">
        <v>1306</v>
      </c>
      <c r="F395" s="246" t="s">
        <v>265</v>
      </c>
      <c r="G395" s="259">
        <v>70</v>
      </c>
      <c r="H395" s="247"/>
      <c r="I395" s="247"/>
      <c r="J395" s="247"/>
      <c r="K395" s="247"/>
      <c r="L395" s="247"/>
      <c r="M395" s="247"/>
      <c r="N395" s="247"/>
      <c r="O395" s="248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</row>
    <row r="396" spans="1:36" ht="13.8" x14ac:dyDescent="0.25">
      <c r="A396" s="55"/>
      <c r="B396" s="244" t="s">
        <v>1307</v>
      </c>
      <c r="C396" s="245" t="s">
        <v>1308</v>
      </c>
      <c r="D396" s="244" t="s">
        <v>182</v>
      </c>
      <c r="E396" s="244" t="s">
        <v>1309</v>
      </c>
      <c r="F396" s="246" t="s">
        <v>213</v>
      </c>
      <c r="G396" s="259">
        <v>48</v>
      </c>
      <c r="H396" s="247"/>
      <c r="I396" s="247"/>
      <c r="J396" s="247"/>
      <c r="K396" s="247"/>
      <c r="L396" s="247"/>
      <c r="M396" s="247"/>
      <c r="N396" s="247"/>
      <c r="O396" s="248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</row>
    <row r="397" spans="1:36" ht="13.8" x14ac:dyDescent="0.25">
      <c r="A397" s="55"/>
      <c r="B397" s="244" t="s">
        <v>1310</v>
      </c>
      <c r="C397" s="245" t="s">
        <v>262</v>
      </c>
      <c r="D397" s="244" t="s">
        <v>263</v>
      </c>
      <c r="E397" s="244" t="s">
        <v>1912</v>
      </c>
      <c r="F397" s="246" t="s">
        <v>213</v>
      </c>
      <c r="G397" s="259">
        <v>4</v>
      </c>
      <c r="H397" s="247"/>
      <c r="I397" s="247"/>
      <c r="J397" s="247"/>
      <c r="K397" s="247"/>
      <c r="L397" s="247"/>
      <c r="M397" s="247"/>
      <c r="N397" s="247"/>
      <c r="O397" s="248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</row>
    <row r="398" spans="1:36" ht="13.8" x14ac:dyDescent="0.25">
      <c r="A398" s="55"/>
      <c r="B398" s="240" t="s">
        <v>1311</v>
      </c>
      <c r="C398" s="240"/>
      <c r="D398" s="240"/>
      <c r="E398" s="240" t="s">
        <v>1312</v>
      </c>
      <c r="F398" s="240"/>
      <c r="G398" s="258"/>
      <c r="H398" s="241"/>
      <c r="I398" s="240"/>
      <c r="J398" s="240"/>
      <c r="K398" s="240"/>
      <c r="L398" s="240"/>
      <c r="M398" s="240"/>
      <c r="N398" s="242"/>
      <c r="O398" s="243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</row>
    <row r="399" spans="1:36" ht="13.8" x14ac:dyDescent="0.25">
      <c r="A399" s="55"/>
      <c r="B399" s="244" t="s">
        <v>1313</v>
      </c>
      <c r="C399" s="245" t="s">
        <v>1314</v>
      </c>
      <c r="D399" s="244" t="s">
        <v>263</v>
      </c>
      <c r="E399" s="244" t="s">
        <v>1913</v>
      </c>
      <c r="F399" s="246" t="s">
        <v>213</v>
      </c>
      <c r="G399" s="259">
        <v>269</v>
      </c>
      <c r="H399" s="247"/>
      <c r="I399" s="247"/>
      <c r="J399" s="247"/>
      <c r="K399" s="247"/>
      <c r="L399" s="247"/>
      <c r="M399" s="247"/>
      <c r="N399" s="247"/>
      <c r="O399" s="248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</row>
    <row r="400" spans="1:36" ht="13.8" x14ac:dyDescent="0.25">
      <c r="A400" s="55"/>
      <c r="B400" s="244" t="s">
        <v>1315</v>
      </c>
      <c r="C400" s="245" t="s">
        <v>1316</v>
      </c>
      <c r="D400" s="244" t="s">
        <v>263</v>
      </c>
      <c r="E400" s="244" t="s">
        <v>1914</v>
      </c>
      <c r="F400" s="246" t="s">
        <v>213</v>
      </c>
      <c r="G400" s="259">
        <v>2</v>
      </c>
      <c r="H400" s="247"/>
      <c r="I400" s="247"/>
      <c r="J400" s="247"/>
      <c r="K400" s="247"/>
      <c r="L400" s="247"/>
      <c r="M400" s="247"/>
      <c r="N400" s="247"/>
      <c r="O400" s="248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</row>
    <row r="401" spans="1:36" ht="27.6" x14ac:dyDescent="0.25">
      <c r="A401" s="55"/>
      <c r="B401" s="244" t="s">
        <v>1317</v>
      </c>
      <c r="C401" s="245" t="s">
        <v>1318</v>
      </c>
      <c r="D401" s="244" t="s">
        <v>182</v>
      </c>
      <c r="E401" s="244" t="s">
        <v>1319</v>
      </c>
      <c r="F401" s="246" t="s">
        <v>213</v>
      </c>
      <c r="G401" s="259">
        <v>1</v>
      </c>
      <c r="H401" s="247"/>
      <c r="I401" s="247"/>
      <c r="J401" s="247"/>
      <c r="K401" s="247"/>
      <c r="L401" s="247"/>
      <c r="M401" s="247"/>
      <c r="N401" s="247"/>
      <c r="O401" s="248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</row>
    <row r="402" spans="1:36" ht="13.8" x14ac:dyDescent="0.25">
      <c r="A402" s="55"/>
      <c r="B402" s="244" t="s">
        <v>1320</v>
      </c>
      <c r="C402" s="245" t="s">
        <v>1321</v>
      </c>
      <c r="D402" s="244" t="s">
        <v>182</v>
      </c>
      <c r="E402" s="244" t="s">
        <v>1322</v>
      </c>
      <c r="F402" s="246" t="s">
        <v>213</v>
      </c>
      <c r="G402" s="259">
        <v>5</v>
      </c>
      <c r="H402" s="247"/>
      <c r="I402" s="247"/>
      <c r="J402" s="247"/>
      <c r="K402" s="247"/>
      <c r="L402" s="247"/>
      <c r="M402" s="247"/>
      <c r="N402" s="247"/>
      <c r="O402" s="248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</row>
    <row r="403" spans="1:36" ht="13.8" x14ac:dyDescent="0.25">
      <c r="A403" s="55"/>
      <c r="B403" s="244" t="s">
        <v>1323</v>
      </c>
      <c r="C403" s="245" t="s">
        <v>1324</v>
      </c>
      <c r="D403" s="244" t="s">
        <v>263</v>
      </c>
      <c r="E403" s="244" t="s">
        <v>1915</v>
      </c>
      <c r="F403" s="246" t="s">
        <v>213</v>
      </c>
      <c r="G403" s="259">
        <v>14</v>
      </c>
      <c r="H403" s="247"/>
      <c r="I403" s="247"/>
      <c r="J403" s="247"/>
      <c r="K403" s="247"/>
      <c r="L403" s="247"/>
      <c r="M403" s="247"/>
      <c r="N403" s="247"/>
      <c r="O403" s="248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</row>
    <row r="404" spans="1:36" ht="13.8" x14ac:dyDescent="0.25">
      <c r="A404" s="55"/>
      <c r="B404" s="240" t="s">
        <v>1325</v>
      </c>
      <c r="C404" s="240"/>
      <c r="D404" s="240"/>
      <c r="E404" s="240" t="s">
        <v>1326</v>
      </c>
      <c r="F404" s="240"/>
      <c r="G404" s="258"/>
      <c r="H404" s="241"/>
      <c r="I404" s="240"/>
      <c r="J404" s="240"/>
      <c r="K404" s="240"/>
      <c r="L404" s="240"/>
      <c r="M404" s="240"/>
      <c r="N404" s="242"/>
      <c r="O404" s="243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</row>
    <row r="405" spans="1:36" ht="27.6" x14ac:dyDescent="0.25">
      <c r="A405" s="55"/>
      <c r="B405" s="244" t="s">
        <v>1327</v>
      </c>
      <c r="C405" s="245" t="s">
        <v>1328</v>
      </c>
      <c r="D405" s="244" t="s">
        <v>44</v>
      </c>
      <c r="E405" s="244" t="s">
        <v>1329</v>
      </c>
      <c r="F405" s="246" t="s">
        <v>55</v>
      </c>
      <c r="G405" s="259">
        <v>1</v>
      </c>
      <c r="H405" s="247"/>
      <c r="I405" s="247"/>
      <c r="J405" s="247"/>
      <c r="K405" s="247"/>
      <c r="L405" s="247"/>
      <c r="M405" s="247"/>
      <c r="N405" s="247"/>
      <c r="O405" s="248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</row>
    <row r="406" spans="1:36" ht="41.4" x14ac:dyDescent="0.25">
      <c r="A406" s="55"/>
      <c r="B406" s="244" t="s">
        <v>1330</v>
      </c>
      <c r="C406" s="245" t="s">
        <v>1331</v>
      </c>
      <c r="D406" s="244" t="s">
        <v>44</v>
      </c>
      <c r="E406" s="244" t="s">
        <v>1332</v>
      </c>
      <c r="F406" s="246" t="s">
        <v>55</v>
      </c>
      <c r="G406" s="259">
        <v>9</v>
      </c>
      <c r="H406" s="247"/>
      <c r="I406" s="247"/>
      <c r="J406" s="247"/>
      <c r="K406" s="247"/>
      <c r="L406" s="247"/>
      <c r="M406" s="247"/>
      <c r="N406" s="247"/>
      <c r="O406" s="248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</row>
    <row r="407" spans="1:36" ht="27.6" x14ac:dyDescent="0.25">
      <c r="A407" s="55"/>
      <c r="B407" s="244" t="s">
        <v>1333</v>
      </c>
      <c r="C407" s="245" t="s">
        <v>1334</v>
      </c>
      <c r="D407" s="244" t="s">
        <v>44</v>
      </c>
      <c r="E407" s="244" t="s">
        <v>1335</v>
      </c>
      <c r="F407" s="246" t="s">
        <v>55</v>
      </c>
      <c r="G407" s="259">
        <v>1</v>
      </c>
      <c r="H407" s="247"/>
      <c r="I407" s="247"/>
      <c r="J407" s="247"/>
      <c r="K407" s="247"/>
      <c r="L407" s="247"/>
      <c r="M407" s="247"/>
      <c r="N407" s="247"/>
      <c r="O407" s="248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</row>
    <row r="408" spans="1:36" ht="13.8" x14ac:dyDescent="0.25">
      <c r="A408" s="55"/>
      <c r="B408" s="244" t="s">
        <v>1336</v>
      </c>
      <c r="C408" s="245" t="s">
        <v>1337</v>
      </c>
      <c r="D408" s="244" t="s">
        <v>263</v>
      </c>
      <c r="E408" s="244" t="s">
        <v>1916</v>
      </c>
      <c r="F408" s="246" t="s">
        <v>213</v>
      </c>
      <c r="G408" s="259">
        <v>1</v>
      </c>
      <c r="H408" s="247"/>
      <c r="I408" s="247"/>
      <c r="J408" s="247"/>
      <c r="K408" s="247"/>
      <c r="L408" s="247"/>
      <c r="M408" s="247"/>
      <c r="N408" s="247"/>
      <c r="O408" s="248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</row>
    <row r="409" spans="1:36" ht="13.8" x14ac:dyDescent="0.25">
      <c r="A409" s="55"/>
      <c r="B409" s="244" t="s">
        <v>1338</v>
      </c>
      <c r="C409" s="245" t="s">
        <v>1114</v>
      </c>
      <c r="D409" s="244" t="s">
        <v>44</v>
      </c>
      <c r="E409" s="244" t="s">
        <v>1115</v>
      </c>
      <c r="F409" s="246" t="s">
        <v>55</v>
      </c>
      <c r="G409" s="259">
        <v>2</v>
      </c>
      <c r="H409" s="247"/>
      <c r="I409" s="247"/>
      <c r="J409" s="247"/>
      <c r="K409" s="247"/>
      <c r="L409" s="247"/>
      <c r="M409" s="247"/>
      <c r="N409" s="247"/>
      <c r="O409" s="248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</row>
    <row r="410" spans="1:36" ht="27.6" x14ac:dyDescent="0.25">
      <c r="A410" s="55"/>
      <c r="B410" s="244" t="s">
        <v>1339</v>
      </c>
      <c r="C410" s="245" t="s">
        <v>1340</v>
      </c>
      <c r="D410" s="244" t="s">
        <v>44</v>
      </c>
      <c r="E410" s="244" t="s">
        <v>1341</v>
      </c>
      <c r="F410" s="246" t="s">
        <v>55</v>
      </c>
      <c r="G410" s="259">
        <v>1</v>
      </c>
      <c r="H410" s="247"/>
      <c r="I410" s="247"/>
      <c r="J410" s="247"/>
      <c r="K410" s="247"/>
      <c r="L410" s="247"/>
      <c r="M410" s="247"/>
      <c r="N410" s="247"/>
      <c r="O410" s="248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</row>
    <row r="411" spans="1:36" ht="27.6" x14ac:dyDescent="0.25">
      <c r="A411" s="55"/>
      <c r="B411" s="244" t="s">
        <v>1342</v>
      </c>
      <c r="C411" s="245" t="s">
        <v>1343</v>
      </c>
      <c r="D411" s="244" t="s">
        <v>44</v>
      </c>
      <c r="E411" s="244" t="s">
        <v>1344</v>
      </c>
      <c r="F411" s="246" t="s">
        <v>55</v>
      </c>
      <c r="G411" s="259">
        <v>1</v>
      </c>
      <c r="H411" s="247"/>
      <c r="I411" s="247"/>
      <c r="J411" s="247"/>
      <c r="K411" s="247"/>
      <c r="L411" s="247"/>
      <c r="M411" s="247"/>
      <c r="N411" s="247"/>
      <c r="O411" s="248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</row>
    <row r="412" spans="1:36" ht="13.8" x14ac:dyDescent="0.25">
      <c r="A412" s="55"/>
      <c r="B412" s="244" t="s">
        <v>1345</v>
      </c>
      <c r="C412" s="245" t="s">
        <v>1346</v>
      </c>
      <c r="D412" s="244" t="s">
        <v>44</v>
      </c>
      <c r="E412" s="244" t="s">
        <v>1347</v>
      </c>
      <c r="F412" s="246" t="s">
        <v>55</v>
      </c>
      <c r="G412" s="259">
        <v>1</v>
      </c>
      <c r="H412" s="247"/>
      <c r="I412" s="247"/>
      <c r="J412" s="247"/>
      <c r="K412" s="247"/>
      <c r="L412" s="247"/>
      <c r="M412" s="247"/>
      <c r="N412" s="247"/>
      <c r="O412" s="248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</row>
    <row r="413" spans="1:36" ht="13.8" x14ac:dyDescent="0.25">
      <c r="A413" s="55"/>
      <c r="B413" s="244" t="s">
        <v>1348</v>
      </c>
      <c r="C413" s="245" t="s">
        <v>1349</v>
      </c>
      <c r="D413" s="244" t="s">
        <v>65</v>
      </c>
      <c r="E413" s="244" t="s">
        <v>1350</v>
      </c>
      <c r="F413" s="246" t="s">
        <v>55</v>
      </c>
      <c r="G413" s="259">
        <v>2</v>
      </c>
      <c r="H413" s="247"/>
      <c r="I413" s="247"/>
      <c r="J413" s="247"/>
      <c r="K413" s="247"/>
      <c r="L413" s="247"/>
      <c r="M413" s="247"/>
      <c r="N413" s="247"/>
      <c r="O413" s="248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</row>
    <row r="414" spans="1:36" ht="27.6" x14ac:dyDescent="0.25">
      <c r="A414" s="55"/>
      <c r="B414" s="244" t="s">
        <v>1351</v>
      </c>
      <c r="C414" s="245" t="s">
        <v>1352</v>
      </c>
      <c r="D414" s="244" t="s">
        <v>44</v>
      </c>
      <c r="E414" s="244" t="s">
        <v>1353</v>
      </c>
      <c r="F414" s="246" t="s">
        <v>55</v>
      </c>
      <c r="G414" s="259">
        <v>2</v>
      </c>
      <c r="H414" s="247"/>
      <c r="I414" s="247"/>
      <c r="J414" s="247"/>
      <c r="K414" s="247"/>
      <c r="L414" s="247"/>
      <c r="M414" s="247"/>
      <c r="N414" s="247"/>
      <c r="O414" s="248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</row>
    <row r="415" spans="1:36" ht="27.6" x14ac:dyDescent="0.25">
      <c r="A415" s="55"/>
      <c r="B415" s="244" t="s">
        <v>1354</v>
      </c>
      <c r="C415" s="245" t="s">
        <v>1355</v>
      </c>
      <c r="D415" s="244" t="s">
        <v>44</v>
      </c>
      <c r="E415" s="244" t="s">
        <v>1356</v>
      </c>
      <c r="F415" s="246" t="s">
        <v>55</v>
      </c>
      <c r="G415" s="259">
        <v>2</v>
      </c>
      <c r="H415" s="247"/>
      <c r="I415" s="247"/>
      <c r="J415" s="247"/>
      <c r="K415" s="247"/>
      <c r="L415" s="247"/>
      <c r="M415" s="247"/>
      <c r="N415" s="247"/>
      <c r="O415" s="248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</row>
    <row r="416" spans="1:36" ht="13.8" x14ac:dyDescent="0.25">
      <c r="A416" s="55"/>
      <c r="B416" s="244" t="s">
        <v>1357</v>
      </c>
      <c r="C416" s="245" t="s">
        <v>1358</v>
      </c>
      <c r="D416" s="244" t="s">
        <v>65</v>
      </c>
      <c r="E416" s="244" t="s">
        <v>1359</v>
      </c>
      <c r="F416" s="246" t="s">
        <v>55</v>
      </c>
      <c r="G416" s="259">
        <v>1</v>
      </c>
      <c r="H416" s="247"/>
      <c r="I416" s="247"/>
      <c r="J416" s="247"/>
      <c r="K416" s="247"/>
      <c r="L416" s="247"/>
      <c r="M416" s="247"/>
      <c r="N416" s="247"/>
      <c r="O416" s="248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</row>
    <row r="417" spans="1:36" ht="27.6" x14ac:dyDescent="0.25">
      <c r="A417" s="55"/>
      <c r="B417" s="244" t="s">
        <v>1360</v>
      </c>
      <c r="C417" s="245" t="s">
        <v>1040</v>
      </c>
      <c r="D417" s="244" t="s">
        <v>44</v>
      </c>
      <c r="E417" s="244" t="s">
        <v>1041</v>
      </c>
      <c r="F417" s="246" t="s">
        <v>71</v>
      </c>
      <c r="G417" s="259">
        <v>258</v>
      </c>
      <c r="H417" s="247"/>
      <c r="I417" s="247"/>
      <c r="J417" s="247"/>
      <c r="K417" s="247"/>
      <c r="L417" s="247"/>
      <c r="M417" s="247"/>
      <c r="N417" s="247"/>
      <c r="O417" s="248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</row>
    <row r="418" spans="1:36" ht="27.6" x14ac:dyDescent="0.25">
      <c r="A418" s="55"/>
      <c r="B418" s="244" t="s">
        <v>1361</v>
      </c>
      <c r="C418" s="245" t="s">
        <v>1362</v>
      </c>
      <c r="D418" s="244" t="s">
        <v>44</v>
      </c>
      <c r="E418" s="244" t="s">
        <v>1363</v>
      </c>
      <c r="F418" s="246" t="s">
        <v>71</v>
      </c>
      <c r="G418" s="259">
        <v>6</v>
      </c>
      <c r="H418" s="247"/>
      <c r="I418" s="247"/>
      <c r="J418" s="247"/>
      <c r="K418" s="247"/>
      <c r="L418" s="247"/>
      <c r="M418" s="247"/>
      <c r="N418" s="247"/>
      <c r="O418" s="248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</row>
    <row r="419" spans="1:36" ht="41.4" x14ac:dyDescent="0.25">
      <c r="A419" s="55"/>
      <c r="B419" s="244" t="s">
        <v>1364</v>
      </c>
      <c r="C419" s="245" t="s">
        <v>1365</v>
      </c>
      <c r="D419" s="244" t="s">
        <v>44</v>
      </c>
      <c r="E419" s="244" t="s">
        <v>1366</v>
      </c>
      <c r="F419" s="246" t="s">
        <v>55</v>
      </c>
      <c r="G419" s="259">
        <v>7</v>
      </c>
      <c r="H419" s="247"/>
      <c r="I419" s="247"/>
      <c r="J419" s="247"/>
      <c r="K419" s="247"/>
      <c r="L419" s="247"/>
      <c r="M419" s="247"/>
      <c r="N419" s="247"/>
      <c r="O419" s="248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</row>
    <row r="420" spans="1:36" ht="27.6" x14ac:dyDescent="0.25">
      <c r="A420" s="55"/>
      <c r="B420" s="244" t="s">
        <v>1367</v>
      </c>
      <c r="C420" s="245" t="s">
        <v>1368</v>
      </c>
      <c r="D420" s="244" t="s">
        <v>44</v>
      </c>
      <c r="E420" s="244" t="s">
        <v>1369</v>
      </c>
      <c r="F420" s="246" t="s">
        <v>55</v>
      </c>
      <c r="G420" s="259">
        <v>7</v>
      </c>
      <c r="H420" s="247"/>
      <c r="I420" s="247"/>
      <c r="J420" s="247"/>
      <c r="K420" s="247"/>
      <c r="L420" s="247"/>
      <c r="M420" s="247"/>
      <c r="N420" s="247"/>
      <c r="O420" s="248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</row>
    <row r="421" spans="1:36" ht="27.6" x14ac:dyDescent="0.25">
      <c r="A421" s="55"/>
      <c r="B421" s="244" t="s">
        <v>1370</v>
      </c>
      <c r="C421" s="245" t="s">
        <v>1371</v>
      </c>
      <c r="D421" s="244" t="s">
        <v>44</v>
      </c>
      <c r="E421" s="244" t="s">
        <v>1372</v>
      </c>
      <c r="F421" s="246" t="s">
        <v>55</v>
      </c>
      <c r="G421" s="259">
        <v>23</v>
      </c>
      <c r="H421" s="247"/>
      <c r="I421" s="247"/>
      <c r="J421" s="247"/>
      <c r="K421" s="247"/>
      <c r="L421" s="247"/>
      <c r="M421" s="247"/>
      <c r="N421" s="247"/>
      <c r="O421" s="248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</row>
    <row r="422" spans="1:36" ht="27.6" x14ac:dyDescent="0.25">
      <c r="A422" s="55"/>
      <c r="B422" s="244" t="s">
        <v>1373</v>
      </c>
      <c r="C422" s="245" t="s">
        <v>1374</v>
      </c>
      <c r="D422" s="244" t="s">
        <v>44</v>
      </c>
      <c r="E422" s="244" t="s">
        <v>1375</v>
      </c>
      <c r="F422" s="246" t="s">
        <v>55</v>
      </c>
      <c r="G422" s="259">
        <v>113</v>
      </c>
      <c r="H422" s="247"/>
      <c r="I422" s="247"/>
      <c r="J422" s="247"/>
      <c r="K422" s="247"/>
      <c r="L422" s="247"/>
      <c r="M422" s="247"/>
      <c r="N422" s="247"/>
      <c r="O422" s="248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</row>
    <row r="423" spans="1:36" ht="27.6" x14ac:dyDescent="0.25">
      <c r="A423" s="55"/>
      <c r="B423" s="244" t="s">
        <v>1376</v>
      </c>
      <c r="C423" s="245" t="s">
        <v>1377</v>
      </c>
      <c r="D423" s="244" t="s">
        <v>44</v>
      </c>
      <c r="E423" s="244" t="s">
        <v>1378</v>
      </c>
      <c r="F423" s="246" t="s">
        <v>55</v>
      </c>
      <c r="G423" s="259">
        <v>1</v>
      </c>
      <c r="H423" s="247"/>
      <c r="I423" s="247"/>
      <c r="J423" s="247"/>
      <c r="K423" s="247"/>
      <c r="L423" s="247"/>
      <c r="M423" s="247"/>
      <c r="N423" s="247"/>
      <c r="O423" s="248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</row>
    <row r="424" spans="1:36" ht="13.8" x14ac:dyDescent="0.25">
      <c r="A424" s="55"/>
      <c r="B424" s="240">
        <v>18</v>
      </c>
      <c r="C424" s="240"/>
      <c r="D424" s="240"/>
      <c r="E424" s="240" t="s">
        <v>1379</v>
      </c>
      <c r="F424" s="240"/>
      <c r="G424" s="258"/>
      <c r="H424" s="241"/>
      <c r="I424" s="240"/>
      <c r="J424" s="240"/>
      <c r="K424" s="240"/>
      <c r="L424" s="240"/>
      <c r="M424" s="240"/>
      <c r="N424" s="242"/>
      <c r="O424" s="243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</row>
    <row r="425" spans="1:36" ht="13.8" x14ac:dyDescent="0.25">
      <c r="A425" s="55"/>
      <c r="B425" s="240" t="s">
        <v>392</v>
      </c>
      <c r="C425" s="240"/>
      <c r="D425" s="240"/>
      <c r="E425" s="240" t="s">
        <v>1380</v>
      </c>
      <c r="F425" s="240"/>
      <c r="G425" s="258"/>
      <c r="H425" s="241"/>
      <c r="I425" s="240"/>
      <c r="J425" s="240"/>
      <c r="K425" s="240"/>
      <c r="L425" s="240"/>
      <c r="M425" s="240"/>
      <c r="N425" s="242"/>
      <c r="O425" s="243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</row>
    <row r="426" spans="1:36" ht="13.8" x14ac:dyDescent="0.25">
      <c r="A426" s="55"/>
      <c r="B426" s="244" t="s">
        <v>1381</v>
      </c>
      <c r="C426" s="245" t="s">
        <v>1382</v>
      </c>
      <c r="D426" s="244" t="s">
        <v>182</v>
      </c>
      <c r="E426" s="244" t="s">
        <v>1383</v>
      </c>
      <c r="F426" s="246" t="s">
        <v>213</v>
      </c>
      <c r="G426" s="259">
        <v>1</v>
      </c>
      <c r="H426" s="247"/>
      <c r="I426" s="247"/>
      <c r="J426" s="247"/>
      <c r="K426" s="247"/>
      <c r="L426" s="247"/>
      <c r="M426" s="247"/>
      <c r="N426" s="247"/>
      <c r="O426" s="248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</row>
    <row r="427" spans="1:36" ht="27.6" x14ac:dyDescent="0.25">
      <c r="A427" s="55"/>
      <c r="B427" s="244" t="s">
        <v>1384</v>
      </c>
      <c r="C427" s="245" t="s">
        <v>477</v>
      </c>
      <c r="D427" s="244" t="s">
        <v>44</v>
      </c>
      <c r="E427" s="244" t="s">
        <v>478</v>
      </c>
      <c r="F427" s="246" t="s">
        <v>55</v>
      </c>
      <c r="G427" s="259">
        <v>1582</v>
      </c>
      <c r="H427" s="247"/>
      <c r="I427" s="247"/>
      <c r="J427" s="247"/>
      <c r="K427" s="247"/>
      <c r="L427" s="247"/>
      <c r="M427" s="247"/>
      <c r="N427" s="247"/>
      <c r="O427" s="248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</row>
    <row r="428" spans="1:36" ht="27.6" x14ac:dyDescent="0.25">
      <c r="A428" s="55"/>
      <c r="B428" s="244" t="s">
        <v>1385</v>
      </c>
      <c r="C428" s="245" t="s">
        <v>1386</v>
      </c>
      <c r="D428" s="244" t="s">
        <v>44</v>
      </c>
      <c r="E428" s="244" t="s">
        <v>1387</v>
      </c>
      <c r="F428" s="246" t="s">
        <v>55</v>
      </c>
      <c r="G428" s="259">
        <v>2</v>
      </c>
      <c r="H428" s="247"/>
      <c r="I428" s="247"/>
      <c r="J428" s="247"/>
      <c r="K428" s="247"/>
      <c r="L428" s="247"/>
      <c r="M428" s="247"/>
      <c r="N428" s="247"/>
      <c r="O428" s="248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</row>
    <row r="429" spans="1:36" ht="13.8" x14ac:dyDescent="0.25">
      <c r="A429" s="55"/>
      <c r="B429" s="244" t="s">
        <v>1388</v>
      </c>
      <c r="C429" s="245" t="s">
        <v>272</v>
      </c>
      <c r="D429" s="244" t="s">
        <v>44</v>
      </c>
      <c r="E429" s="244" t="s">
        <v>273</v>
      </c>
      <c r="F429" s="246" t="s">
        <v>55</v>
      </c>
      <c r="G429" s="259">
        <v>632</v>
      </c>
      <c r="H429" s="247"/>
      <c r="I429" s="247"/>
      <c r="J429" s="247"/>
      <c r="K429" s="247"/>
      <c r="L429" s="247"/>
      <c r="M429" s="247"/>
      <c r="N429" s="247"/>
      <c r="O429" s="248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</row>
    <row r="430" spans="1:36" ht="27.6" x14ac:dyDescent="0.25">
      <c r="A430" s="55"/>
      <c r="B430" s="244" t="s">
        <v>1389</v>
      </c>
      <c r="C430" s="245" t="s">
        <v>1390</v>
      </c>
      <c r="D430" s="244" t="s">
        <v>44</v>
      </c>
      <c r="E430" s="244" t="s">
        <v>1391</v>
      </c>
      <c r="F430" s="246" t="s">
        <v>55</v>
      </c>
      <c r="G430" s="259">
        <v>37</v>
      </c>
      <c r="H430" s="247"/>
      <c r="I430" s="247"/>
      <c r="J430" s="247"/>
      <c r="K430" s="247"/>
      <c r="L430" s="247"/>
      <c r="M430" s="247"/>
      <c r="N430" s="247"/>
      <c r="O430" s="248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</row>
    <row r="431" spans="1:36" ht="27.6" x14ac:dyDescent="0.25">
      <c r="A431" s="55"/>
      <c r="B431" s="244" t="s">
        <v>1392</v>
      </c>
      <c r="C431" s="245" t="s">
        <v>1393</v>
      </c>
      <c r="D431" s="244" t="s">
        <v>44</v>
      </c>
      <c r="E431" s="244" t="s">
        <v>1394</v>
      </c>
      <c r="F431" s="246" t="s">
        <v>55</v>
      </c>
      <c r="G431" s="259">
        <v>1</v>
      </c>
      <c r="H431" s="247"/>
      <c r="I431" s="247"/>
      <c r="J431" s="247"/>
      <c r="K431" s="247"/>
      <c r="L431" s="247"/>
      <c r="M431" s="247"/>
      <c r="N431" s="247"/>
      <c r="O431" s="248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</row>
    <row r="432" spans="1:36" ht="13.8" x14ac:dyDescent="0.25">
      <c r="A432" s="55"/>
      <c r="B432" s="244" t="s">
        <v>1395</v>
      </c>
      <c r="C432" s="245" t="s">
        <v>1396</v>
      </c>
      <c r="D432" s="244" t="s">
        <v>65</v>
      </c>
      <c r="E432" s="244" t="s">
        <v>1397</v>
      </c>
      <c r="F432" s="246" t="s">
        <v>479</v>
      </c>
      <c r="G432" s="259">
        <v>3640</v>
      </c>
      <c r="H432" s="247"/>
      <c r="I432" s="247"/>
      <c r="J432" s="247"/>
      <c r="K432" s="247"/>
      <c r="L432" s="247"/>
      <c r="M432" s="247"/>
      <c r="N432" s="247"/>
      <c r="O432" s="248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</row>
    <row r="433" spans="1:36" ht="13.8" x14ac:dyDescent="0.25">
      <c r="A433" s="55"/>
      <c r="B433" s="244" t="s">
        <v>1398</v>
      </c>
      <c r="C433" s="245" t="s">
        <v>1399</v>
      </c>
      <c r="D433" s="244" t="s">
        <v>65</v>
      </c>
      <c r="E433" s="244" t="s">
        <v>1400</v>
      </c>
      <c r="F433" s="246" t="s">
        <v>479</v>
      </c>
      <c r="G433" s="259">
        <v>481</v>
      </c>
      <c r="H433" s="247"/>
      <c r="I433" s="247"/>
      <c r="J433" s="247"/>
      <c r="K433" s="247"/>
      <c r="L433" s="247"/>
      <c r="M433" s="247"/>
      <c r="N433" s="247"/>
      <c r="O433" s="248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</row>
    <row r="434" spans="1:36" ht="13.8" x14ac:dyDescent="0.25">
      <c r="A434" s="55"/>
      <c r="B434" s="244" t="s">
        <v>1401</v>
      </c>
      <c r="C434" s="245" t="s">
        <v>1402</v>
      </c>
      <c r="D434" s="244" t="s">
        <v>65</v>
      </c>
      <c r="E434" s="244" t="s">
        <v>1403</v>
      </c>
      <c r="F434" s="246" t="s">
        <v>55</v>
      </c>
      <c r="G434" s="259">
        <v>481</v>
      </c>
      <c r="H434" s="247"/>
      <c r="I434" s="247"/>
      <c r="J434" s="247"/>
      <c r="K434" s="247"/>
      <c r="L434" s="247"/>
      <c r="M434" s="247"/>
      <c r="N434" s="247"/>
      <c r="O434" s="248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</row>
    <row r="435" spans="1:36" ht="13.8" x14ac:dyDescent="0.25">
      <c r="A435" s="55"/>
      <c r="B435" s="244" t="s">
        <v>1404</v>
      </c>
      <c r="C435" s="245" t="s">
        <v>1405</v>
      </c>
      <c r="D435" s="244" t="s">
        <v>65</v>
      </c>
      <c r="E435" s="244" t="s">
        <v>1406</v>
      </c>
      <c r="F435" s="246" t="s">
        <v>55</v>
      </c>
      <c r="G435" s="259">
        <v>1864</v>
      </c>
      <c r="H435" s="247"/>
      <c r="I435" s="247"/>
      <c r="J435" s="247"/>
      <c r="K435" s="247"/>
      <c r="L435" s="247"/>
      <c r="M435" s="247"/>
      <c r="N435" s="247"/>
      <c r="O435" s="248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</row>
    <row r="436" spans="1:36" ht="13.8" x14ac:dyDescent="0.25">
      <c r="A436" s="55"/>
      <c r="B436" s="244" t="s">
        <v>1407</v>
      </c>
      <c r="C436" s="245" t="s">
        <v>1408</v>
      </c>
      <c r="D436" s="244" t="s">
        <v>65</v>
      </c>
      <c r="E436" s="244" t="s">
        <v>1409</v>
      </c>
      <c r="F436" s="246" t="s">
        <v>55</v>
      </c>
      <c r="G436" s="259">
        <v>481</v>
      </c>
      <c r="H436" s="247"/>
      <c r="I436" s="247"/>
      <c r="J436" s="247"/>
      <c r="K436" s="247"/>
      <c r="L436" s="247"/>
      <c r="M436" s="247"/>
      <c r="N436" s="247"/>
      <c r="O436" s="248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</row>
    <row r="437" spans="1:36" ht="13.8" x14ac:dyDescent="0.25">
      <c r="A437" s="55"/>
      <c r="B437" s="244" t="s">
        <v>1410</v>
      </c>
      <c r="C437" s="245" t="s">
        <v>1411</v>
      </c>
      <c r="D437" s="244" t="s">
        <v>65</v>
      </c>
      <c r="E437" s="244" t="s">
        <v>1412</v>
      </c>
      <c r="F437" s="246" t="s">
        <v>71</v>
      </c>
      <c r="G437" s="259">
        <v>481</v>
      </c>
      <c r="H437" s="247"/>
      <c r="I437" s="247"/>
      <c r="J437" s="247"/>
      <c r="K437" s="247"/>
      <c r="L437" s="247"/>
      <c r="M437" s="247"/>
      <c r="N437" s="247"/>
      <c r="O437" s="248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</row>
    <row r="438" spans="1:36" ht="27.6" x14ac:dyDescent="0.25">
      <c r="A438" s="55"/>
      <c r="B438" s="244" t="s">
        <v>1413</v>
      </c>
      <c r="C438" s="245" t="s">
        <v>489</v>
      </c>
      <c r="D438" s="244" t="s">
        <v>44</v>
      </c>
      <c r="E438" s="244" t="s">
        <v>490</v>
      </c>
      <c r="F438" s="246" t="s">
        <v>71</v>
      </c>
      <c r="G438" s="259">
        <v>413</v>
      </c>
      <c r="H438" s="247"/>
      <c r="I438" s="247"/>
      <c r="J438" s="247"/>
      <c r="K438" s="247"/>
      <c r="L438" s="247"/>
      <c r="M438" s="247"/>
      <c r="N438" s="247"/>
      <c r="O438" s="248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</row>
    <row r="439" spans="1:36" ht="27.6" x14ac:dyDescent="0.25">
      <c r="A439" s="55"/>
      <c r="B439" s="244" t="s">
        <v>1414</v>
      </c>
      <c r="C439" s="245" t="s">
        <v>2166</v>
      </c>
      <c r="D439" s="244" t="s">
        <v>44</v>
      </c>
      <c r="E439" s="244" t="s">
        <v>2167</v>
      </c>
      <c r="F439" s="246" t="s">
        <v>71</v>
      </c>
      <c r="G439" s="259">
        <v>49.9</v>
      </c>
      <c r="H439" s="247"/>
      <c r="I439" s="247"/>
      <c r="J439" s="247"/>
      <c r="K439" s="247"/>
      <c r="L439" s="247"/>
      <c r="M439" s="247"/>
      <c r="N439" s="247"/>
      <c r="O439" s="248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</row>
    <row r="440" spans="1:36" ht="27.6" x14ac:dyDescent="0.25">
      <c r="A440" s="55"/>
      <c r="B440" s="244" t="s">
        <v>1415</v>
      </c>
      <c r="C440" s="245" t="s">
        <v>1416</v>
      </c>
      <c r="D440" s="244" t="s">
        <v>44</v>
      </c>
      <c r="E440" s="244" t="s">
        <v>1417</v>
      </c>
      <c r="F440" s="246" t="s">
        <v>71</v>
      </c>
      <c r="G440" s="259">
        <v>926.1</v>
      </c>
      <c r="H440" s="247"/>
      <c r="I440" s="247"/>
      <c r="J440" s="247"/>
      <c r="K440" s="247"/>
      <c r="L440" s="247"/>
      <c r="M440" s="247"/>
      <c r="N440" s="247"/>
      <c r="O440" s="248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</row>
    <row r="441" spans="1:36" ht="27.6" x14ac:dyDescent="0.25">
      <c r="A441" s="55"/>
      <c r="B441" s="244" t="s">
        <v>1418</v>
      </c>
      <c r="C441" s="245" t="s">
        <v>2168</v>
      </c>
      <c r="D441" s="244" t="s">
        <v>44</v>
      </c>
      <c r="E441" s="244" t="s">
        <v>2169</v>
      </c>
      <c r="F441" s="246" t="s">
        <v>71</v>
      </c>
      <c r="G441" s="259">
        <v>448.6</v>
      </c>
      <c r="H441" s="247"/>
      <c r="I441" s="247"/>
      <c r="J441" s="247"/>
      <c r="K441" s="247"/>
      <c r="L441" s="247"/>
      <c r="M441" s="247"/>
      <c r="N441" s="247"/>
      <c r="O441" s="248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</row>
    <row r="442" spans="1:36" ht="27.6" x14ac:dyDescent="0.25">
      <c r="A442" s="55"/>
      <c r="B442" s="244" t="s">
        <v>1421</v>
      </c>
      <c r="C442" s="245" t="s">
        <v>1419</v>
      </c>
      <c r="D442" s="244" t="s">
        <v>44</v>
      </c>
      <c r="E442" s="244" t="s">
        <v>1420</v>
      </c>
      <c r="F442" s="246" t="s">
        <v>71</v>
      </c>
      <c r="G442" s="259">
        <v>528.5</v>
      </c>
      <c r="H442" s="247"/>
      <c r="I442" s="247"/>
      <c r="J442" s="247"/>
      <c r="K442" s="247"/>
      <c r="L442" s="247"/>
      <c r="M442" s="247"/>
      <c r="N442" s="247"/>
      <c r="O442" s="248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</row>
    <row r="443" spans="1:36" ht="27.6" x14ac:dyDescent="0.25">
      <c r="A443" s="55"/>
      <c r="B443" s="244" t="s">
        <v>1422</v>
      </c>
      <c r="C443" s="245" t="s">
        <v>1423</v>
      </c>
      <c r="D443" s="244" t="s">
        <v>44</v>
      </c>
      <c r="E443" s="244" t="s">
        <v>1424</v>
      </c>
      <c r="F443" s="246" t="s">
        <v>71</v>
      </c>
      <c r="G443" s="259">
        <v>419.6</v>
      </c>
      <c r="H443" s="247"/>
      <c r="I443" s="247"/>
      <c r="J443" s="247"/>
      <c r="K443" s="247"/>
      <c r="L443" s="247"/>
      <c r="M443" s="247"/>
      <c r="N443" s="247"/>
      <c r="O443" s="248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</row>
    <row r="444" spans="1:36" ht="27.6" x14ac:dyDescent="0.25">
      <c r="A444" s="55"/>
      <c r="B444" s="244" t="s">
        <v>1425</v>
      </c>
      <c r="C444" s="245" t="s">
        <v>274</v>
      </c>
      <c r="D444" s="244" t="s">
        <v>44</v>
      </c>
      <c r="E444" s="244" t="s">
        <v>275</v>
      </c>
      <c r="F444" s="246" t="s">
        <v>71</v>
      </c>
      <c r="G444" s="259">
        <v>46.8</v>
      </c>
      <c r="H444" s="247"/>
      <c r="I444" s="247"/>
      <c r="J444" s="247"/>
      <c r="K444" s="247"/>
      <c r="L444" s="247"/>
      <c r="M444" s="247"/>
      <c r="N444" s="247"/>
      <c r="O444" s="248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</row>
    <row r="445" spans="1:36" ht="27.6" x14ac:dyDescent="0.25">
      <c r="A445" s="55"/>
      <c r="B445" s="244" t="s">
        <v>1426</v>
      </c>
      <c r="C445" s="245" t="s">
        <v>276</v>
      </c>
      <c r="D445" s="244" t="s">
        <v>44</v>
      </c>
      <c r="E445" s="244" t="s">
        <v>277</v>
      </c>
      <c r="F445" s="246" t="s">
        <v>71</v>
      </c>
      <c r="G445" s="259">
        <v>508.6</v>
      </c>
      <c r="H445" s="247"/>
      <c r="I445" s="247"/>
      <c r="J445" s="247"/>
      <c r="K445" s="247"/>
      <c r="L445" s="247"/>
      <c r="M445" s="247"/>
      <c r="N445" s="247"/>
      <c r="O445" s="248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</row>
    <row r="446" spans="1:36" ht="27.6" x14ac:dyDescent="0.25">
      <c r="A446" s="55"/>
      <c r="B446" s="244" t="s">
        <v>1427</v>
      </c>
      <c r="C446" s="245" t="s">
        <v>2170</v>
      </c>
      <c r="D446" s="244" t="s">
        <v>44</v>
      </c>
      <c r="E446" s="244" t="s">
        <v>2171</v>
      </c>
      <c r="F446" s="246" t="s">
        <v>71</v>
      </c>
      <c r="G446" s="259">
        <v>119.2</v>
      </c>
      <c r="H446" s="247"/>
      <c r="I446" s="247"/>
      <c r="J446" s="247"/>
      <c r="K446" s="247"/>
      <c r="L446" s="247"/>
      <c r="M446" s="247"/>
      <c r="N446" s="247"/>
      <c r="O446" s="248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</row>
    <row r="447" spans="1:36" ht="27.6" x14ac:dyDescent="0.25">
      <c r="A447" s="55"/>
      <c r="B447" s="244" t="s">
        <v>1428</v>
      </c>
      <c r="C447" s="245" t="s">
        <v>2172</v>
      </c>
      <c r="D447" s="244" t="s">
        <v>44</v>
      </c>
      <c r="E447" s="244" t="s">
        <v>2173</v>
      </c>
      <c r="F447" s="246" t="s">
        <v>71</v>
      </c>
      <c r="G447" s="259">
        <v>15.8</v>
      </c>
      <c r="H447" s="247"/>
      <c r="I447" s="247"/>
      <c r="J447" s="247"/>
      <c r="K447" s="247"/>
      <c r="L447" s="247"/>
      <c r="M447" s="247"/>
      <c r="N447" s="247"/>
      <c r="O447" s="248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</row>
    <row r="448" spans="1:36" ht="27.6" x14ac:dyDescent="0.25">
      <c r="A448" s="55"/>
      <c r="B448" s="244" t="s">
        <v>1429</v>
      </c>
      <c r="C448" s="245" t="s">
        <v>278</v>
      </c>
      <c r="D448" s="244" t="s">
        <v>44</v>
      </c>
      <c r="E448" s="244" t="s">
        <v>279</v>
      </c>
      <c r="F448" s="246" t="s">
        <v>71</v>
      </c>
      <c r="G448" s="259">
        <v>5143.2</v>
      </c>
      <c r="H448" s="247"/>
      <c r="I448" s="247"/>
      <c r="J448" s="247"/>
      <c r="K448" s="247"/>
      <c r="L448" s="247"/>
      <c r="M448" s="247"/>
      <c r="N448" s="247"/>
      <c r="O448" s="248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</row>
    <row r="449" spans="1:36" ht="27.6" x14ac:dyDescent="0.25">
      <c r="A449" s="55"/>
      <c r="B449" s="244" t="s">
        <v>1432</v>
      </c>
      <c r="C449" s="245" t="s">
        <v>2174</v>
      </c>
      <c r="D449" s="244" t="s">
        <v>44</v>
      </c>
      <c r="E449" s="244" t="s">
        <v>2175</v>
      </c>
      <c r="F449" s="246" t="s">
        <v>71</v>
      </c>
      <c r="G449" s="259">
        <v>46.2</v>
      </c>
      <c r="H449" s="247"/>
      <c r="I449" s="247"/>
      <c r="J449" s="247"/>
      <c r="K449" s="247"/>
      <c r="L449" s="247"/>
      <c r="M449" s="247"/>
      <c r="N449" s="247"/>
      <c r="O449" s="248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</row>
    <row r="450" spans="1:36" ht="27.6" x14ac:dyDescent="0.25">
      <c r="A450" s="55"/>
      <c r="B450" s="244" t="s">
        <v>1433</v>
      </c>
      <c r="C450" s="245" t="s">
        <v>1430</v>
      </c>
      <c r="D450" s="244" t="s">
        <v>44</v>
      </c>
      <c r="E450" s="244" t="s">
        <v>1431</v>
      </c>
      <c r="F450" s="246" t="s">
        <v>71</v>
      </c>
      <c r="G450" s="259">
        <v>21</v>
      </c>
      <c r="H450" s="247"/>
      <c r="I450" s="247"/>
      <c r="J450" s="247"/>
      <c r="K450" s="247"/>
      <c r="L450" s="247"/>
      <c r="M450" s="247"/>
      <c r="N450" s="247"/>
      <c r="O450" s="248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</row>
    <row r="451" spans="1:36" ht="27.6" x14ac:dyDescent="0.25">
      <c r="A451" s="55"/>
      <c r="B451" s="244" t="s">
        <v>1434</v>
      </c>
      <c r="C451" s="245" t="s">
        <v>280</v>
      </c>
      <c r="D451" s="244" t="s">
        <v>44</v>
      </c>
      <c r="E451" s="244" t="s">
        <v>281</v>
      </c>
      <c r="F451" s="246" t="s">
        <v>71</v>
      </c>
      <c r="G451" s="259">
        <v>24913.7</v>
      </c>
      <c r="H451" s="247"/>
      <c r="I451" s="247"/>
      <c r="J451" s="247"/>
      <c r="K451" s="247"/>
      <c r="L451" s="247"/>
      <c r="M451" s="247"/>
      <c r="N451" s="247"/>
      <c r="O451" s="248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</row>
    <row r="452" spans="1:36" ht="27.6" x14ac:dyDescent="0.25">
      <c r="A452" s="55"/>
      <c r="B452" s="244" t="s">
        <v>1435</v>
      </c>
      <c r="C452" s="245" t="s">
        <v>282</v>
      </c>
      <c r="D452" s="244" t="s">
        <v>44</v>
      </c>
      <c r="E452" s="244" t="s">
        <v>283</v>
      </c>
      <c r="F452" s="246" t="s">
        <v>71</v>
      </c>
      <c r="G452" s="259">
        <v>5864.7</v>
      </c>
      <c r="H452" s="247"/>
      <c r="I452" s="247"/>
      <c r="J452" s="247"/>
      <c r="K452" s="247"/>
      <c r="L452" s="247"/>
      <c r="M452" s="247"/>
      <c r="N452" s="247"/>
      <c r="O452" s="248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</row>
    <row r="453" spans="1:36" ht="27.6" x14ac:dyDescent="0.25">
      <c r="A453" s="55"/>
      <c r="B453" s="244" t="s">
        <v>1438</v>
      </c>
      <c r="C453" s="245" t="s">
        <v>284</v>
      </c>
      <c r="D453" s="244" t="s">
        <v>44</v>
      </c>
      <c r="E453" s="244" t="s">
        <v>285</v>
      </c>
      <c r="F453" s="246" t="s">
        <v>71</v>
      </c>
      <c r="G453" s="259">
        <v>267.60000000000002</v>
      </c>
      <c r="H453" s="247"/>
      <c r="I453" s="247"/>
      <c r="J453" s="247"/>
      <c r="K453" s="247"/>
      <c r="L453" s="247"/>
      <c r="M453" s="247"/>
      <c r="N453" s="247"/>
      <c r="O453" s="248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</row>
    <row r="454" spans="1:36" ht="13.8" x14ac:dyDescent="0.25">
      <c r="A454" s="55"/>
      <c r="B454" s="244" t="s">
        <v>1441</v>
      </c>
      <c r="C454" s="245" t="s">
        <v>1436</v>
      </c>
      <c r="D454" s="244" t="s">
        <v>65</v>
      </c>
      <c r="E454" s="244" t="s">
        <v>1437</v>
      </c>
      <c r="F454" s="246" t="s">
        <v>55</v>
      </c>
      <c r="G454" s="259">
        <v>3</v>
      </c>
      <c r="H454" s="247"/>
      <c r="I454" s="247"/>
      <c r="J454" s="247"/>
      <c r="K454" s="247"/>
      <c r="L454" s="247"/>
      <c r="M454" s="247"/>
      <c r="N454" s="247"/>
      <c r="O454" s="248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</row>
    <row r="455" spans="1:36" ht="13.8" x14ac:dyDescent="0.25">
      <c r="A455" s="55"/>
      <c r="B455" s="244" t="s">
        <v>1444</v>
      </c>
      <c r="C455" s="245" t="s">
        <v>1439</v>
      </c>
      <c r="D455" s="244" t="s">
        <v>65</v>
      </c>
      <c r="E455" s="244" t="s">
        <v>1440</v>
      </c>
      <c r="F455" s="246" t="s">
        <v>55</v>
      </c>
      <c r="G455" s="259">
        <v>8</v>
      </c>
      <c r="H455" s="247"/>
      <c r="I455" s="247"/>
      <c r="J455" s="247"/>
      <c r="K455" s="247"/>
      <c r="L455" s="247"/>
      <c r="M455" s="247"/>
      <c r="N455" s="247"/>
      <c r="O455" s="248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</row>
    <row r="456" spans="1:36" ht="13.8" x14ac:dyDescent="0.25">
      <c r="A456" s="55"/>
      <c r="B456" s="244" t="s">
        <v>1447</v>
      </c>
      <c r="C456" s="245" t="s">
        <v>1442</v>
      </c>
      <c r="D456" s="244" t="s">
        <v>65</v>
      </c>
      <c r="E456" s="244" t="s">
        <v>1443</v>
      </c>
      <c r="F456" s="246" t="s">
        <v>55</v>
      </c>
      <c r="G456" s="259">
        <v>24</v>
      </c>
      <c r="H456" s="247"/>
      <c r="I456" s="247"/>
      <c r="J456" s="247"/>
      <c r="K456" s="247"/>
      <c r="L456" s="247"/>
      <c r="M456" s="247"/>
      <c r="N456" s="247"/>
      <c r="O456" s="248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</row>
    <row r="457" spans="1:36" ht="13.8" x14ac:dyDescent="0.25">
      <c r="A457" s="55"/>
      <c r="B457" s="244" t="s">
        <v>1450</v>
      </c>
      <c r="C457" s="245" t="s">
        <v>2176</v>
      </c>
      <c r="D457" s="244" t="s">
        <v>65</v>
      </c>
      <c r="E457" s="244" t="s">
        <v>2177</v>
      </c>
      <c r="F457" s="246" t="s">
        <v>55</v>
      </c>
      <c r="G457" s="259">
        <v>4</v>
      </c>
      <c r="H457" s="247"/>
      <c r="I457" s="247"/>
      <c r="J457" s="247"/>
      <c r="K457" s="247"/>
      <c r="L457" s="247"/>
      <c r="M457" s="247"/>
      <c r="N457" s="247"/>
      <c r="O457" s="248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</row>
    <row r="458" spans="1:36" ht="27.6" x14ac:dyDescent="0.25">
      <c r="A458" s="55"/>
      <c r="B458" s="244" t="s">
        <v>1453</v>
      </c>
      <c r="C458" s="245" t="s">
        <v>1445</v>
      </c>
      <c r="D458" s="244" t="s">
        <v>44</v>
      </c>
      <c r="E458" s="244" t="s">
        <v>1446</v>
      </c>
      <c r="F458" s="246" t="s">
        <v>55</v>
      </c>
      <c r="G458" s="259">
        <v>1</v>
      </c>
      <c r="H458" s="247"/>
      <c r="I458" s="247"/>
      <c r="J458" s="247"/>
      <c r="K458" s="247"/>
      <c r="L458" s="247"/>
      <c r="M458" s="247"/>
      <c r="N458" s="247"/>
      <c r="O458" s="248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</row>
    <row r="459" spans="1:36" ht="27.6" x14ac:dyDescent="0.25">
      <c r="A459" s="55"/>
      <c r="B459" s="244" t="s">
        <v>1456</v>
      </c>
      <c r="C459" s="245" t="s">
        <v>1448</v>
      </c>
      <c r="D459" s="244" t="s">
        <v>44</v>
      </c>
      <c r="E459" s="244" t="s">
        <v>1449</v>
      </c>
      <c r="F459" s="246" t="s">
        <v>55</v>
      </c>
      <c r="G459" s="259">
        <v>2</v>
      </c>
      <c r="H459" s="247"/>
      <c r="I459" s="247"/>
      <c r="J459" s="247"/>
      <c r="K459" s="247"/>
      <c r="L459" s="247"/>
      <c r="M459" s="247"/>
      <c r="N459" s="247"/>
      <c r="O459" s="248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</row>
    <row r="460" spans="1:36" ht="27.6" x14ac:dyDescent="0.25">
      <c r="A460" s="55"/>
      <c r="B460" s="244" t="s">
        <v>1459</v>
      </c>
      <c r="C460" s="245" t="s">
        <v>1451</v>
      </c>
      <c r="D460" s="244" t="s">
        <v>44</v>
      </c>
      <c r="E460" s="244" t="s">
        <v>1452</v>
      </c>
      <c r="F460" s="246" t="s">
        <v>55</v>
      </c>
      <c r="G460" s="259">
        <v>1</v>
      </c>
      <c r="H460" s="247"/>
      <c r="I460" s="247"/>
      <c r="J460" s="247"/>
      <c r="K460" s="247"/>
      <c r="L460" s="247"/>
      <c r="M460" s="247"/>
      <c r="N460" s="247"/>
      <c r="O460" s="248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</row>
    <row r="461" spans="1:36" ht="27.6" x14ac:dyDescent="0.25">
      <c r="A461" s="55"/>
      <c r="B461" s="244" t="s">
        <v>1460</v>
      </c>
      <c r="C461" s="245" t="s">
        <v>1454</v>
      </c>
      <c r="D461" s="244" t="s">
        <v>44</v>
      </c>
      <c r="E461" s="244" t="s">
        <v>1455</v>
      </c>
      <c r="F461" s="246" t="s">
        <v>55</v>
      </c>
      <c r="G461" s="259">
        <v>19</v>
      </c>
      <c r="H461" s="247"/>
      <c r="I461" s="247"/>
      <c r="J461" s="247"/>
      <c r="K461" s="247"/>
      <c r="L461" s="247"/>
      <c r="M461" s="247"/>
      <c r="N461" s="247"/>
      <c r="O461" s="248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</row>
    <row r="462" spans="1:36" ht="27.6" x14ac:dyDescent="0.25">
      <c r="A462" s="55"/>
      <c r="B462" s="244" t="s">
        <v>1463</v>
      </c>
      <c r="C462" s="245" t="s">
        <v>1457</v>
      </c>
      <c r="D462" s="244" t="s">
        <v>44</v>
      </c>
      <c r="E462" s="244" t="s">
        <v>1458</v>
      </c>
      <c r="F462" s="246" t="s">
        <v>55</v>
      </c>
      <c r="G462" s="259">
        <v>10</v>
      </c>
      <c r="H462" s="247"/>
      <c r="I462" s="247"/>
      <c r="J462" s="247"/>
      <c r="K462" s="247"/>
      <c r="L462" s="247"/>
      <c r="M462" s="247"/>
      <c r="N462" s="247"/>
      <c r="O462" s="248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</row>
    <row r="463" spans="1:36" ht="27.6" x14ac:dyDescent="0.25">
      <c r="A463" s="55"/>
      <c r="B463" s="244" t="s">
        <v>1466</v>
      </c>
      <c r="C463" s="245" t="s">
        <v>286</v>
      </c>
      <c r="D463" s="244" t="s">
        <v>44</v>
      </c>
      <c r="E463" s="244" t="s">
        <v>287</v>
      </c>
      <c r="F463" s="246" t="s">
        <v>55</v>
      </c>
      <c r="G463" s="259">
        <v>64</v>
      </c>
      <c r="H463" s="247"/>
      <c r="I463" s="247"/>
      <c r="J463" s="247"/>
      <c r="K463" s="247"/>
      <c r="L463" s="247"/>
      <c r="M463" s="247"/>
      <c r="N463" s="247"/>
      <c r="O463" s="248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</row>
    <row r="464" spans="1:36" ht="27.6" x14ac:dyDescent="0.25">
      <c r="A464" s="55"/>
      <c r="B464" s="244" t="s">
        <v>1469</v>
      </c>
      <c r="C464" s="245" t="s">
        <v>1461</v>
      </c>
      <c r="D464" s="244" t="s">
        <v>44</v>
      </c>
      <c r="E464" s="244" t="s">
        <v>1462</v>
      </c>
      <c r="F464" s="246" t="s">
        <v>55</v>
      </c>
      <c r="G464" s="259">
        <v>4</v>
      </c>
      <c r="H464" s="247"/>
      <c r="I464" s="247"/>
      <c r="J464" s="247"/>
      <c r="K464" s="247"/>
      <c r="L464" s="247"/>
      <c r="M464" s="247"/>
      <c r="N464" s="247"/>
      <c r="O464" s="248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</row>
    <row r="465" spans="1:36" ht="27.6" x14ac:dyDescent="0.25">
      <c r="A465" s="55"/>
      <c r="B465" s="244" t="s">
        <v>1470</v>
      </c>
      <c r="C465" s="245" t="s">
        <v>1464</v>
      </c>
      <c r="D465" s="244" t="s">
        <v>44</v>
      </c>
      <c r="E465" s="244" t="s">
        <v>1465</v>
      </c>
      <c r="F465" s="246" t="s">
        <v>55</v>
      </c>
      <c r="G465" s="259">
        <v>1</v>
      </c>
      <c r="H465" s="247"/>
      <c r="I465" s="247"/>
      <c r="J465" s="247"/>
      <c r="K465" s="247"/>
      <c r="L465" s="247"/>
      <c r="M465" s="247"/>
      <c r="N465" s="247"/>
      <c r="O465" s="248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</row>
    <row r="466" spans="1:36" ht="27.6" x14ac:dyDescent="0.25">
      <c r="A466" s="55"/>
      <c r="B466" s="244" t="s">
        <v>1473</v>
      </c>
      <c r="C466" s="245" t="s">
        <v>1467</v>
      </c>
      <c r="D466" s="244" t="s">
        <v>44</v>
      </c>
      <c r="E466" s="244" t="s">
        <v>1468</v>
      </c>
      <c r="F466" s="246" t="s">
        <v>55</v>
      </c>
      <c r="G466" s="259">
        <v>117</v>
      </c>
      <c r="H466" s="247"/>
      <c r="I466" s="247"/>
      <c r="J466" s="247"/>
      <c r="K466" s="247"/>
      <c r="L466" s="247"/>
      <c r="M466" s="247"/>
      <c r="N466" s="247"/>
      <c r="O466" s="248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</row>
    <row r="467" spans="1:36" ht="27.6" x14ac:dyDescent="0.25">
      <c r="A467" s="55"/>
      <c r="B467" s="244" t="s">
        <v>1476</v>
      </c>
      <c r="C467" s="245" t="s">
        <v>474</v>
      </c>
      <c r="D467" s="244" t="s">
        <v>44</v>
      </c>
      <c r="E467" s="244" t="s">
        <v>475</v>
      </c>
      <c r="F467" s="246" t="s">
        <v>55</v>
      </c>
      <c r="G467" s="259">
        <v>2</v>
      </c>
      <c r="H467" s="247"/>
      <c r="I467" s="247"/>
      <c r="J467" s="247"/>
      <c r="K467" s="247"/>
      <c r="L467" s="247"/>
      <c r="M467" s="247"/>
      <c r="N467" s="247"/>
      <c r="O467" s="248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</row>
    <row r="468" spans="1:36" ht="13.8" x14ac:dyDescent="0.25">
      <c r="A468" s="55"/>
      <c r="B468" s="244" t="s">
        <v>1479</v>
      </c>
      <c r="C468" s="245" t="s">
        <v>1471</v>
      </c>
      <c r="D468" s="244" t="s">
        <v>65</v>
      </c>
      <c r="E468" s="244" t="s">
        <v>1472</v>
      </c>
      <c r="F468" s="246" t="s">
        <v>55</v>
      </c>
      <c r="G468" s="259">
        <v>33</v>
      </c>
      <c r="H468" s="247"/>
      <c r="I468" s="247"/>
      <c r="J468" s="247"/>
      <c r="K468" s="247"/>
      <c r="L468" s="247"/>
      <c r="M468" s="247"/>
      <c r="N468" s="247"/>
      <c r="O468" s="248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</row>
    <row r="469" spans="1:36" ht="13.8" x14ac:dyDescent="0.25">
      <c r="A469" s="55"/>
      <c r="B469" s="244" t="s">
        <v>1482</v>
      </c>
      <c r="C469" s="245" t="s">
        <v>1474</v>
      </c>
      <c r="D469" s="244" t="s">
        <v>65</v>
      </c>
      <c r="E469" s="244" t="s">
        <v>1475</v>
      </c>
      <c r="F469" s="246" t="s">
        <v>55</v>
      </c>
      <c r="G469" s="259">
        <v>929</v>
      </c>
      <c r="H469" s="247"/>
      <c r="I469" s="247"/>
      <c r="J469" s="247"/>
      <c r="K469" s="247"/>
      <c r="L469" s="247"/>
      <c r="M469" s="247"/>
      <c r="N469" s="247"/>
      <c r="O469" s="248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</row>
    <row r="470" spans="1:36" ht="27.6" x14ac:dyDescent="0.25">
      <c r="A470" s="55"/>
      <c r="B470" s="244" t="s">
        <v>1483</v>
      </c>
      <c r="C470" s="245" t="s">
        <v>1477</v>
      </c>
      <c r="D470" s="244" t="s">
        <v>44</v>
      </c>
      <c r="E470" s="244" t="s">
        <v>1478</v>
      </c>
      <c r="F470" s="246" t="s">
        <v>55</v>
      </c>
      <c r="G470" s="259">
        <v>61</v>
      </c>
      <c r="H470" s="247"/>
      <c r="I470" s="247"/>
      <c r="J470" s="247"/>
      <c r="K470" s="247"/>
      <c r="L470" s="247"/>
      <c r="M470" s="247"/>
      <c r="N470" s="247"/>
      <c r="O470" s="248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</row>
    <row r="471" spans="1:36" ht="27.6" x14ac:dyDescent="0.25">
      <c r="A471" s="55"/>
      <c r="B471" s="244" t="s">
        <v>1486</v>
      </c>
      <c r="C471" s="245" t="s">
        <v>1480</v>
      </c>
      <c r="D471" s="244" t="s">
        <v>44</v>
      </c>
      <c r="E471" s="244" t="s">
        <v>1481</v>
      </c>
      <c r="F471" s="246" t="s">
        <v>55</v>
      </c>
      <c r="G471" s="259">
        <v>2</v>
      </c>
      <c r="H471" s="247"/>
      <c r="I471" s="247"/>
      <c r="J471" s="247"/>
      <c r="K471" s="247"/>
      <c r="L471" s="247"/>
      <c r="M471" s="247"/>
      <c r="N471" s="247"/>
      <c r="O471" s="248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</row>
    <row r="472" spans="1:36" ht="27.6" x14ac:dyDescent="0.25">
      <c r="A472" s="55"/>
      <c r="B472" s="244" t="s">
        <v>1489</v>
      </c>
      <c r="C472" s="245" t="s">
        <v>2178</v>
      </c>
      <c r="D472" s="244" t="s">
        <v>44</v>
      </c>
      <c r="E472" s="244" t="s">
        <v>2179</v>
      </c>
      <c r="F472" s="246" t="s">
        <v>55</v>
      </c>
      <c r="G472" s="259">
        <v>1</v>
      </c>
      <c r="H472" s="247"/>
      <c r="I472" s="247"/>
      <c r="J472" s="247"/>
      <c r="K472" s="247"/>
      <c r="L472" s="247"/>
      <c r="M472" s="247"/>
      <c r="N472" s="247"/>
      <c r="O472" s="248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</row>
    <row r="473" spans="1:36" ht="13.8" x14ac:dyDescent="0.25">
      <c r="A473" s="55"/>
      <c r="B473" s="244" t="s">
        <v>1490</v>
      </c>
      <c r="C473" s="245" t="s">
        <v>1484</v>
      </c>
      <c r="D473" s="244" t="s">
        <v>65</v>
      </c>
      <c r="E473" s="244" t="s">
        <v>1485</v>
      </c>
      <c r="F473" s="246" t="s">
        <v>55</v>
      </c>
      <c r="G473" s="259">
        <v>41</v>
      </c>
      <c r="H473" s="247"/>
      <c r="I473" s="247"/>
      <c r="J473" s="247"/>
      <c r="K473" s="247"/>
      <c r="L473" s="247"/>
      <c r="M473" s="247"/>
      <c r="N473" s="247"/>
      <c r="O473" s="248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</row>
    <row r="474" spans="1:36" ht="27.6" x14ac:dyDescent="0.25">
      <c r="A474" s="55"/>
      <c r="B474" s="244" t="s">
        <v>1493</v>
      </c>
      <c r="C474" s="245" t="s">
        <v>1487</v>
      </c>
      <c r="D474" s="244" t="s">
        <v>44</v>
      </c>
      <c r="E474" s="244" t="s">
        <v>1488</v>
      </c>
      <c r="F474" s="246" t="s">
        <v>55</v>
      </c>
      <c r="G474" s="259">
        <v>1</v>
      </c>
      <c r="H474" s="247"/>
      <c r="I474" s="247"/>
      <c r="J474" s="247"/>
      <c r="K474" s="247"/>
      <c r="L474" s="247"/>
      <c r="M474" s="247"/>
      <c r="N474" s="247"/>
      <c r="O474" s="248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</row>
    <row r="475" spans="1:36" ht="27.6" x14ac:dyDescent="0.25">
      <c r="A475" s="55"/>
      <c r="B475" s="244" t="s">
        <v>1496</v>
      </c>
      <c r="C475" s="245" t="s">
        <v>552</v>
      </c>
      <c r="D475" s="244" t="s">
        <v>44</v>
      </c>
      <c r="E475" s="244" t="s">
        <v>553</v>
      </c>
      <c r="F475" s="246" t="s">
        <v>55</v>
      </c>
      <c r="G475" s="259">
        <v>32</v>
      </c>
      <c r="H475" s="247"/>
      <c r="I475" s="247"/>
      <c r="J475" s="247"/>
      <c r="K475" s="247"/>
      <c r="L475" s="247"/>
      <c r="M475" s="247"/>
      <c r="N475" s="247"/>
      <c r="O475" s="248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</row>
    <row r="476" spans="1:36" ht="27.6" x14ac:dyDescent="0.25">
      <c r="A476" s="55"/>
      <c r="B476" s="244" t="s">
        <v>1497</v>
      </c>
      <c r="C476" s="245" t="s">
        <v>1491</v>
      </c>
      <c r="D476" s="244" t="s">
        <v>44</v>
      </c>
      <c r="E476" s="244" t="s">
        <v>1492</v>
      </c>
      <c r="F476" s="246" t="s">
        <v>55</v>
      </c>
      <c r="G476" s="259">
        <v>231</v>
      </c>
      <c r="H476" s="247"/>
      <c r="I476" s="247"/>
      <c r="J476" s="247"/>
      <c r="K476" s="247"/>
      <c r="L476" s="247"/>
      <c r="M476" s="247"/>
      <c r="N476" s="247"/>
      <c r="O476" s="248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</row>
    <row r="477" spans="1:36" ht="27.6" x14ac:dyDescent="0.25">
      <c r="A477" s="55"/>
      <c r="B477" s="244" t="s">
        <v>1500</v>
      </c>
      <c r="C477" s="245" t="s">
        <v>1494</v>
      </c>
      <c r="D477" s="244" t="s">
        <v>44</v>
      </c>
      <c r="E477" s="244" t="s">
        <v>1495</v>
      </c>
      <c r="F477" s="246" t="s">
        <v>55</v>
      </c>
      <c r="G477" s="259">
        <v>59</v>
      </c>
      <c r="H477" s="247"/>
      <c r="I477" s="247"/>
      <c r="J477" s="247"/>
      <c r="K477" s="247"/>
      <c r="L477" s="247"/>
      <c r="M477" s="247"/>
      <c r="N477" s="247"/>
      <c r="O477" s="248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</row>
    <row r="478" spans="1:36" ht="27.6" x14ac:dyDescent="0.25">
      <c r="A478" s="55"/>
      <c r="B478" s="244" t="s">
        <v>1503</v>
      </c>
      <c r="C478" s="245" t="s">
        <v>1498</v>
      </c>
      <c r="D478" s="244" t="s">
        <v>44</v>
      </c>
      <c r="E478" s="244" t="s">
        <v>1499</v>
      </c>
      <c r="F478" s="246" t="s">
        <v>55</v>
      </c>
      <c r="G478" s="259">
        <v>456</v>
      </c>
      <c r="H478" s="247"/>
      <c r="I478" s="247"/>
      <c r="J478" s="247"/>
      <c r="K478" s="247"/>
      <c r="L478" s="247"/>
      <c r="M478" s="247"/>
      <c r="N478" s="247"/>
      <c r="O478" s="248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</row>
    <row r="479" spans="1:36" ht="27.6" x14ac:dyDescent="0.25">
      <c r="A479" s="55"/>
      <c r="B479" s="244" t="s">
        <v>1506</v>
      </c>
      <c r="C479" s="245" t="s">
        <v>1501</v>
      </c>
      <c r="D479" s="244" t="s">
        <v>44</v>
      </c>
      <c r="E479" s="244" t="s">
        <v>1502</v>
      </c>
      <c r="F479" s="246" t="s">
        <v>55</v>
      </c>
      <c r="G479" s="259">
        <v>152</v>
      </c>
      <c r="H479" s="247"/>
      <c r="I479" s="247"/>
      <c r="J479" s="247"/>
      <c r="K479" s="247"/>
      <c r="L479" s="247"/>
      <c r="M479" s="247"/>
      <c r="N479" s="247"/>
      <c r="O479" s="248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</row>
    <row r="480" spans="1:36" ht="27.6" x14ac:dyDescent="0.25">
      <c r="A480" s="55"/>
      <c r="B480" s="244" t="s">
        <v>1508</v>
      </c>
      <c r="C480" s="245" t="s">
        <v>1504</v>
      </c>
      <c r="D480" s="244" t="s">
        <v>44</v>
      </c>
      <c r="E480" s="244" t="s">
        <v>1505</v>
      </c>
      <c r="F480" s="246" t="s">
        <v>55</v>
      </c>
      <c r="G480" s="259">
        <v>9</v>
      </c>
      <c r="H480" s="247"/>
      <c r="I480" s="247"/>
      <c r="J480" s="247"/>
      <c r="K480" s="247"/>
      <c r="L480" s="247"/>
      <c r="M480" s="247"/>
      <c r="N480" s="247"/>
      <c r="O480" s="248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</row>
    <row r="481" spans="1:36" ht="13.8" x14ac:dyDescent="0.25">
      <c r="A481" s="55"/>
      <c r="B481" s="244" t="s">
        <v>1511</v>
      </c>
      <c r="C481" s="245" t="s">
        <v>1507</v>
      </c>
      <c r="D481" s="244" t="s">
        <v>263</v>
      </c>
      <c r="E481" s="244" t="s">
        <v>1917</v>
      </c>
      <c r="F481" s="246" t="s">
        <v>213</v>
      </c>
      <c r="G481" s="259">
        <v>9</v>
      </c>
      <c r="H481" s="247"/>
      <c r="I481" s="247"/>
      <c r="J481" s="247"/>
      <c r="K481" s="247"/>
      <c r="L481" s="247"/>
      <c r="M481" s="247"/>
      <c r="N481" s="247"/>
      <c r="O481" s="248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</row>
    <row r="482" spans="1:36" ht="13.8" x14ac:dyDescent="0.25">
      <c r="A482" s="55"/>
      <c r="B482" s="244" t="s">
        <v>1514</v>
      </c>
      <c r="C482" s="245" t="s">
        <v>1509</v>
      </c>
      <c r="D482" s="244" t="s">
        <v>44</v>
      </c>
      <c r="E482" s="244" t="s">
        <v>1510</v>
      </c>
      <c r="F482" s="246" t="s">
        <v>55</v>
      </c>
      <c r="G482" s="259">
        <v>1</v>
      </c>
      <c r="H482" s="247"/>
      <c r="I482" s="247"/>
      <c r="J482" s="247"/>
      <c r="K482" s="247"/>
      <c r="L482" s="247"/>
      <c r="M482" s="247"/>
      <c r="N482" s="247"/>
      <c r="O482" s="248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</row>
    <row r="483" spans="1:36" ht="13.8" x14ac:dyDescent="0.25">
      <c r="A483" s="44"/>
      <c r="B483" s="244" t="s">
        <v>1515</v>
      </c>
      <c r="C483" s="245" t="s">
        <v>2180</v>
      </c>
      <c r="D483" s="244" t="s">
        <v>65</v>
      </c>
      <c r="E483" s="244" t="s">
        <v>2181</v>
      </c>
      <c r="F483" s="246" t="s">
        <v>55</v>
      </c>
      <c r="G483" s="259">
        <v>2</v>
      </c>
      <c r="H483" s="247"/>
      <c r="I483" s="247"/>
      <c r="J483" s="247"/>
      <c r="K483" s="247"/>
      <c r="L483" s="247"/>
      <c r="M483" s="247"/>
      <c r="N483" s="247"/>
      <c r="O483" s="248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</row>
    <row r="484" spans="1:36" ht="27.6" x14ac:dyDescent="0.25">
      <c r="A484" s="44"/>
      <c r="B484" s="244" t="s">
        <v>1516</v>
      </c>
      <c r="C484" s="245" t="s">
        <v>1512</v>
      </c>
      <c r="D484" s="244" t="s">
        <v>44</v>
      </c>
      <c r="E484" s="244" t="s">
        <v>1513</v>
      </c>
      <c r="F484" s="246" t="s">
        <v>55</v>
      </c>
      <c r="G484" s="259">
        <v>4</v>
      </c>
      <c r="H484" s="247"/>
      <c r="I484" s="247"/>
      <c r="J484" s="247"/>
      <c r="K484" s="247"/>
      <c r="L484" s="247"/>
      <c r="M484" s="247"/>
      <c r="N484" s="247"/>
      <c r="O484" s="248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</row>
    <row r="485" spans="1:36" ht="13.8" x14ac:dyDescent="0.25">
      <c r="A485" s="44"/>
      <c r="B485" s="244" t="s">
        <v>1517</v>
      </c>
      <c r="C485" s="245" t="s">
        <v>1521</v>
      </c>
      <c r="D485" s="244" t="s">
        <v>44</v>
      </c>
      <c r="E485" s="244" t="s">
        <v>1522</v>
      </c>
      <c r="F485" s="246" t="s">
        <v>55</v>
      </c>
      <c r="G485" s="259">
        <v>20</v>
      </c>
      <c r="H485" s="247"/>
      <c r="I485" s="247"/>
      <c r="J485" s="247"/>
      <c r="K485" s="247"/>
      <c r="L485" s="247"/>
      <c r="M485" s="247"/>
      <c r="N485" s="247"/>
      <c r="O485" s="248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</row>
    <row r="486" spans="1:36" ht="13.8" x14ac:dyDescent="0.25">
      <c r="A486" s="44"/>
      <c r="B486" s="244" t="s">
        <v>1520</v>
      </c>
      <c r="C486" s="245" t="s">
        <v>491</v>
      </c>
      <c r="D486" s="244" t="s">
        <v>44</v>
      </c>
      <c r="E486" s="244" t="s">
        <v>492</v>
      </c>
      <c r="F486" s="246" t="s">
        <v>55</v>
      </c>
      <c r="G486" s="259">
        <v>2</v>
      </c>
      <c r="H486" s="247"/>
      <c r="I486" s="247"/>
      <c r="J486" s="247"/>
      <c r="K486" s="247"/>
      <c r="L486" s="247"/>
      <c r="M486" s="247"/>
      <c r="N486" s="247"/>
      <c r="O486" s="248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</row>
    <row r="487" spans="1:36" ht="27.6" x14ac:dyDescent="0.25">
      <c r="A487" s="44"/>
      <c r="B487" s="244" t="s">
        <v>1523</v>
      </c>
      <c r="C487" s="245" t="s">
        <v>1525</v>
      </c>
      <c r="D487" s="244" t="s">
        <v>44</v>
      </c>
      <c r="E487" s="244" t="s">
        <v>1526</v>
      </c>
      <c r="F487" s="246" t="s">
        <v>55</v>
      </c>
      <c r="G487" s="259">
        <v>18</v>
      </c>
      <c r="H487" s="247"/>
      <c r="I487" s="247"/>
      <c r="J487" s="247"/>
      <c r="K487" s="247"/>
      <c r="L487" s="247"/>
      <c r="M487" s="247"/>
      <c r="N487" s="247"/>
      <c r="O487" s="248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</row>
    <row r="488" spans="1:36" ht="27.6" x14ac:dyDescent="0.25">
      <c r="A488" s="44"/>
      <c r="B488" s="244" t="s">
        <v>1524</v>
      </c>
      <c r="C488" s="245" t="s">
        <v>294</v>
      </c>
      <c r="D488" s="244" t="s">
        <v>44</v>
      </c>
      <c r="E488" s="244" t="s">
        <v>295</v>
      </c>
      <c r="F488" s="246" t="s">
        <v>55</v>
      </c>
      <c r="G488" s="259">
        <v>31</v>
      </c>
      <c r="H488" s="247"/>
      <c r="I488" s="247"/>
      <c r="J488" s="247"/>
      <c r="K488" s="247"/>
      <c r="L488" s="247"/>
      <c r="M488" s="247"/>
      <c r="N488" s="247"/>
      <c r="O488" s="248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</row>
    <row r="489" spans="1:36" ht="27.6" x14ac:dyDescent="0.25">
      <c r="A489" s="44"/>
      <c r="B489" s="244" t="s">
        <v>1527</v>
      </c>
      <c r="C489" s="245" t="s">
        <v>296</v>
      </c>
      <c r="D489" s="244" t="s">
        <v>44</v>
      </c>
      <c r="E489" s="244" t="s">
        <v>297</v>
      </c>
      <c r="F489" s="246" t="s">
        <v>55</v>
      </c>
      <c r="G489" s="259">
        <v>132</v>
      </c>
      <c r="H489" s="247"/>
      <c r="I489" s="247"/>
      <c r="J489" s="247"/>
      <c r="K489" s="247"/>
      <c r="L489" s="247"/>
      <c r="M489" s="247"/>
      <c r="N489" s="247"/>
      <c r="O489" s="248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</row>
    <row r="490" spans="1:36" ht="27.6" x14ac:dyDescent="0.25">
      <c r="A490" s="44"/>
      <c r="B490" s="244" t="s">
        <v>1528</v>
      </c>
      <c r="C490" s="245" t="s">
        <v>2182</v>
      </c>
      <c r="D490" s="244" t="s">
        <v>44</v>
      </c>
      <c r="E490" s="244" t="s">
        <v>2183</v>
      </c>
      <c r="F490" s="246" t="s">
        <v>55</v>
      </c>
      <c r="G490" s="259">
        <v>2</v>
      </c>
      <c r="H490" s="247"/>
      <c r="I490" s="247"/>
      <c r="J490" s="247"/>
      <c r="K490" s="247"/>
      <c r="L490" s="247"/>
      <c r="M490" s="247"/>
      <c r="N490" s="247"/>
      <c r="O490" s="248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</row>
    <row r="491" spans="1:36" ht="13.8" x14ac:dyDescent="0.25">
      <c r="A491" s="44"/>
      <c r="B491" s="244" t="s">
        <v>1529</v>
      </c>
      <c r="C491" s="245" t="s">
        <v>1532</v>
      </c>
      <c r="D491" s="244" t="s">
        <v>44</v>
      </c>
      <c r="E491" s="244" t="s">
        <v>1533</v>
      </c>
      <c r="F491" s="246" t="s">
        <v>55</v>
      </c>
      <c r="G491" s="259">
        <v>3</v>
      </c>
      <c r="H491" s="247"/>
      <c r="I491" s="247"/>
      <c r="J491" s="247"/>
      <c r="K491" s="247"/>
      <c r="L491" s="247"/>
      <c r="M491" s="247"/>
      <c r="N491" s="247"/>
      <c r="O491" s="248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</row>
    <row r="492" spans="1:36" ht="13.8" x14ac:dyDescent="0.25">
      <c r="A492" s="44"/>
      <c r="B492" s="244" t="s">
        <v>1530</v>
      </c>
      <c r="C492" s="245" t="s">
        <v>288</v>
      </c>
      <c r="D492" s="244" t="s">
        <v>44</v>
      </c>
      <c r="E492" s="244" t="s">
        <v>289</v>
      </c>
      <c r="F492" s="246" t="s">
        <v>55</v>
      </c>
      <c r="G492" s="259">
        <v>107</v>
      </c>
      <c r="H492" s="247"/>
      <c r="I492" s="247"/>
      <c r="J492" s="247"/>
      <c r="K492" s="247"/>
      <c r="L492" s="247"/>
      <c r="M492" s="247"/>
      <c r="N492" s="247"/>
      <c r="O492" s="248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</row>
    <row r="493" spans="1:36" ht="13.8" x14ac:dyDescent="0.25">
      <c r="A493" s="44"/>
      <c r="B493" s="244" t="s">
        <v>1531</v>
      </c>
      <c r="C493" s="245" t="s">
        <v>2184</v>
      </c>
      <c r="D493" s="244" t="s">
        <v>44</v>
      </c>
      <c r="E493" s="244" t="s">
        <v>2185</v>
      </c>
      <c r="F493" s="246" t="s">
        <v>55</v>
      </c>
      <c r="G493" s="259">
        <v>2</v>
      </c>
      <c r="H493" s="247"/>
      <c r="I493" s="247"/>
      <c r="J493" s="247"/>
      <c r="K493" s="247"/>
      <c r="L493" s="247"/>
      <c r="M493" s="247"/>
      <c r="N493" s="247"/>
      <c r="O493" s="248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</row>
    <row r="494" spans="1:36" ht="13.8" x14ac:dyDescent="0.25">
      <c r="A494" s="44"/>
      <c r="B494" s="244" t="s">
        <v>1534</v>
      </c>
      <c r="C494" s="245" t="s">
        <v>290</v>
      </c>
      <c r="D494" s="244" t="s">
        <v>44</v>
      </c>
      <c r="E494" s="244" t="s">
        <v>291</v>
      </c>
      <c r="F494" s="246" t="s">
        <v>55</v>
      </c>
      <c r="G494" s="259">
        <v>26</v>
      </c>
      <c r="H494" s="247"/>
      <c r="I494" s="247"/>
      <c r="J494" s="247"/>
      <c r="K494" s="247"/>
      <c r="L494" s="247"/>
      <c r="M494" s="247"/>
      <c r="N494" s="247"/>
      <c r="O494" s="248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</row>
    <row r="495" spans="1:36" ht="13.8" x14ac:dyDescent="0.25">
      <c r="A495" s="44"/>
      <c r="B495" s="244" t="s">
        <v>1535</v>
      </c>
      <c r="C495" s="245" t="s">
        <v>292</v>
      </c>
      <c r="D495" s="244" t="s">
        <v>44</v>
      </c>
      <c r="E495" s="244" t="s">
        <v>293</v>
      </c>
      <c r="F495" s="246" t="s">
        <v>55</v>
      </c>
      <c r="G495" s="259">
        <v>8</v>
      </c>
      <c r="H495" s="247"/>
      <c r="I495" s="247"/>
      <c r="J495" s="247"/>
      <c r="K495" s="247"/>
      <c r="L495" s="247"/>
      <c r="M495" s="247"/>
      <c r="N495" s="247"/>
      <c r="O495" s="248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</row>
    <row r="496" spans="1:36" ht="13.8" x14ac:dyDescent="0.25">
      <c r="A496" s="44"/>
      <c r="B496" s="244" t="s">
        <v>1536</v>
      </c>
      <c r="C496" s="245" t="s">
        <v>1518</v>
      </c>
      <c r="D496" s="244" t="s">
        <v>44</v>
      </c>
      <c r="E496" s="244" t="s">
        <v>1519</v>
      </c>
      <c r="F496" s="246" t="s">
        <v>55</v>
      </c>
      <c r="G496" s="259">
        <v>1</v>
      </c>
      <c r="H496" s="247"/>
      <c r="I496" s="247"/>
      <c r="J496" s="247"/>
      <c r="K496" s="247"/>
      <c r="L496" s="247"/>
      <c r="M496" s="247"/>
      <c r="N496" s="247"/>
      <c r="O496" s="248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</row>
    <row r="497" spans="1:36" ht="27.6" x14ac:dyDescent="0.25">
      <c r="A497" s="44"/>
      <c r="B497" s="244" t="s">
        <v>1537</v>
      </c>
      <c r="C497" s="245" t="s">
        <v>2186</v>
      </c>
      <c r="D497" s="244" t="s">
        <v>263</v>
      </c>
      <c r="E497" s="244" t="s">
        <v>2187</v>
      </c>
      <c r="F497" s="246" t="s">
        <v>213</v>
      </c>
      <c r="G497" s="259">
        <v>3</v>
      </c>
      <c r="H497" s="247"/>
      <c r="I497" s="247"/>
      <c r="J497" s="247"/>
      <c r="K497" s="247"/>
      <c r="L497" s="247"/>
      <c r="M497" s="247"/>
      <c r="N497" s="247"/>
      <c r="O497" s="248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</row>
    <row r="498" spans="1:36" ht="27.6" x14ac:dyDescent="0.25">
      <c r="A498" s="44"/>
      <c r="B498" s="244" t="s">
        <v>1538</v>
      </c>
      <c r="C498" s="245" t="s">
        <v>2188</v>
      </c>
      <c r="D498" s="244" t="s">
        <v>263</v>
      </c>
      <c r="E498" s="244" t="s">
        <v>2189</v>
      </c>
      <c r="F498" s="246" t="s">
        <v>213</v>
      </c>
      <c r="G498" s="259">
        <v>2</v>
      </c>
      <c r="H498" s="247"/>
      <c r="I498" s="247"/>
      <c r="J498" s="247"/>
      <c r="K498" s="247"/>
      <c r="L498" s="247"/>
      <c r="M498" s="247"/>
      <c r="N498" s="247"/>
      <c r="O498" s="248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</row>
    <row r="499" spans="1:36" ht="27.6" x14ac:dyDescent="0.25">
      <c r="A499" s="44"/>
      <c r="B499" s="244" t="s">
        <v>1541</v>
      </c>
      <c r="C499" s="245" t="s">
        <v>1539</v>
      </c>
      <c r="D499" s="244" t="s">
        <v>44</v>
      </c>
      <c r="E499" s="244" t="s">
        <v>1540</v>
      </c>
      <c r="F499" s="246" t="s">
        <v>55</v>
      </c>
      <c r="G499" s="259">
        <v>2</v>
      </c>
      <c r="H499" s="247"/>
      <c r="I499" s="247"/>
      <c r="J499" s="247"/>
      <c r="K499" s="247"/>
      <c r="L499" s="247"/>
      <c r="M499" s="247"/>
      <c r="N499" s="247"/>
      <c r="O499" s="248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</row>
    <row r="500" spans="1:36" ht="27.6" x14ac:dyDescent="0.25">
      <c r="A500" s="44"/>
      <c r="B500" s="244" t="s">
        <v>1544</v>
      </c>
      <c r="C500" s="245" t="s">
        <v>2190</v>
      </c>
      <c r="D500" s="244" t="s">
        <v>44</v>
      </c>
      <c r="E500" s="244" t="s">
        <v>2191</v>
      </c>
      <c r="F500" s="246" t="s">
        <v>55</v>
      </c>
      <c r="G500" s="259">
        <v>2</v>
      </c>
      <c r="H500" s="247"/>
      <c r="I500" s="247"/>
      <c r="J500" s="247"/>
      <c r="K500" s="247"/>
      <c r="L500" s="247"/>
      <c r="M500" s="247"/>
      <c r="N500" s="247"/>
      <c r="O500" s="248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</row>
    <row r="501" spans="1:36" ht="13.8" x14ac:dyDescent="0.25">
      <c r="A501" s="44"/>
      <c r="B501" s="244" t="s">
        <v>1547</v>
      </c>
      <c r="C501" s="245" t="s">
        <v>1542</v>
      </c>
      <c r="D501" s="244" t="s">
        <v>65</v>
      </c>
      <c r="E501" s="244" t="s">
        <v>1543</v>
      </c>
      <c r="F501" s="246" t="s">
        <v>55</v>
      </c>
      <c r="G501" s="259">
        <v>4</v>
      </c>
      <c r="H501" s="247"/>
      <c r="I501" s="247"/>
      <c r="J501" s="247"/>
      <c r="K501" s="247"/>
      <c r="L501" s="247"/>
      <c r="M501" s="247"/>
      <c r="N501" s="247"/>
      <c r="O501" s="248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</row>
    <row r="502" spans="1:36" ht="13.8" x14ac:dyDescent="0.25">
      <c r="A502" s="44"/>
      <c r="B502" s="244" t="s">
        <v>1549</v>
      </c>
      <c r="C502" s="245" t="s">
        <v>1545</v>
      </c>
      <c r="D502" s="244" t="s">
        <v>65</v>
      </c>
      <c r="E502" s="244" t="s">
        <v>1546</v>
      </c>
      <c r="F502" s="246" t="s">
        <v>55</v>
      </c>
      <c r="G502" s="259">
        <v>94</v>
      </c>
      <c r="H502" s="247"/>
      <c r="I502" s="247"/>
      <c r="J502" s="247"/>
      <c r="K502" s="247"/>
      <c r="L502" s="247"/>
      <c r="M502" s="247"/>
      <c r="N502" s="247"/>
      <c r="O502" s="248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</row>
    <row r="503" spans="1:36" ht="27.6" x14ac:dyDescent="0.25">
      <c r="A503" s="44"/>
      <c r="B503" s="244" t="s">
        <v>1551</v>
      </c>
      <c r="C503" s="245" t="s">
        <v>1548</v>
      </c>
      <c r="D503" s="244" t="s">
        <v>263</v>
      </c>
      <c r="E503" s="244" t="s">
        <v>1918</v>
      </c>
      <c r="F503" s="246" t="s">
        <v>213</v>
      </c>
      <c r="G503" s="259">
        <v>8</v>
      </c>
      <c r="H503" s="247"/>
      <c r="I503" s="247"/>
      <c r="J503" s="247"/>
      <c r="K503" s="247"/>
      <c r="L503" s="247"/>
      <c r="M503" s="247"/>
      <c r="N503" s="247"/>
      <c r="O503" s="248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</row>
    <row r="504" spans="1:36" ht="13.8" x14ac:dyDescent="0.25">
      <c r="A504" s="44"/>
      <c r="B504" s="244" t="s">
        <v>1553</v>
      </c>
      <c r="C504" s="245" t="s">
        <v>1550</v>
      </c>
      <c r="D504" s="244" t="s">
        <v>956</v>
      </c>
      <c r="E504" s="244" t="s">
        <v>1919</v>
      </c>
      <c r="F504" s="246" t="s">
        <v>957</v>
      </c>
      <c r="G504" s="259">
        <v>49</v>
      </c>
      <c r="H504" s="247"/>
      <c r="I504" s="247"/>
      <c r="J504" s="247"/>
      <c r="K504" s="247"/>
      <c r="L504" s="247"/>
      <c r="M504" s="247"/>
      <c r="N504" s="247"/>
      <c r="O504" s="248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</row>
    <row r="505" spans="1:36" ht="13.8" x14ac:dyDescent="0.25">
      <c r="A505" s="44"/>
      <c r="B505" s="244" t="s">
        <v>1556</v>
      </c>
      <c r="C505" s="245" t="s">
        <v>1552</v>
      </c>
      <c r="D505" s="244" t="s">
        <v>956</v>
      </c>
      <c r="E505" s="244" t="s">
        <v>1920</v>
      </c>
      <c r="F505" s="246" t="s">
        <v>957</v>
      </c>
      <c r="G505" s="259">
        <v>6</v>
      </c>
      <c r="H505" s="247"/>
      <c r="I505" s="247"/>
      <c r="J505" s="247"/>
      <c r="K505" s="247"/>
      <c r="L505" s="247"/>
      <c r="M505" s="247"/>
      <c r="N505" s="247"/>
      <c r="O505" s="248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</row>
    <row r="506" spans="1:36" ht="13.8" x14ac:dyDescent="0.25">
      <c r="A506" s="44"/>
      <c r="B506" s="244" t="s">
        <v>1557</v>
      </c>
      <c r="C506" s="245" t="s">
        <v>2192</v>
      </c>
      <c r="D506" s="244" t="s">
        <v>65</v>
      </c>
      <c r="E506" s="244" t="s">
        <v>2193</v>
      </c>
      <c r="F506" s="246" t="s">
        <v>55</v>
      </c>
      <c r="G506" s="259">
        <v>1</v>
      </c>
      <c r="H506" s="247"/>
      <c r="I506" s="247"/>
      <c r="J506" s="247"/>
      <c r="K506" s="247"/>
      <c r="L506" s="247"/>
      <c r="M506" s="247"/>
      <c r="N506" s="247"/>
      <c r="O506" s="248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</row>
    <row r="507" spans="1:36" ht="13.8" x14ac:dyDescent="0.25">
      <c r="A507" s="44"/>
      <c r="B507" s="244" t="s">
        <v>1560</v>
      </c>
      <c r="C507" s="245" t="s">
        <v>1554</v>
      </c>
      <c r="D507" s="244" t="s">
        <v>65</v>
      </c>
      <c r="E507" s="244" t="s">
        <v>1555</v>
      </c>
      <c r="F507" s="246" t="s">
        <v>55</v>
      </c>
      <c r="G507" s="259">
        <v>2</v>
      </c>
      <c r="H507" s="247"/>
      <c r="I507" s="247"/>
      <c r="J507" s="247"/>
      <c r="K507" s="247"/>
      <c r="L507" s="247"/>
      <c r="M507" s="247"/>
      <c r="N507" s="247"/>
      <c r="O507" s="248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</row>
    <row r="508" spans="1:36" ht="13.8" x14ac:dyDescent="0.25">
      <c r="A508" s="44"/>
      <c r="B508" s="244" t="s">
        <v>1563</v>
      </c>
      <c r="C508" s="245" t="s">
        <v>298</v>
      </c>
      <c r="D508" s="244" t="s">
        <v>182</v>
      </c>
      <c r="E508" s="244" t="s">
        <v>299</v>
      </c>
      <c r="F508" s="246" t="s">
        <v>213</v>
      </c>
      <c r="G508" s="259">
        <v>10</v>
      </c>
      <c r="H508" s="247"/>
      <c r="I508" s="247"/>
      <c r="J508" s="247"/>
      <c r="K508" s="247"/>
      <c r="L508" s="247"/>
      <c r="M508" s="247"/>
      <c r="N508" s="247"/>
      <c r="O508" s="248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</row>
    <row r="509" spans="1:36" ht="13.8" x14ac:dyDescent="0.25">
      <c r="A509" s="44"/>
      <c r="B509" s="244" t="s">
        <v>1566</v>
      </c>
      <c r="C509" s="245" t="s">
        <v>1558</v>
      </c>
      <c r="D509" s="244" t="s">
        <v>65</v>
      </c>
      <c r="E509" s="244" t="s">
        <v>1559</v>
      </c>
      <c r="F509" s="246" t="s">
        <v>55</v>
      </c>
      <c r="G509" s="259">
        <v>65</v>
      </c>
      <c r="H509" s="247"/>
      <c r="I509" s="247"/>
      <c r="J509" s="247"/>
      <c r="K509" s="247"/>
      <c r="L509" s="247"/>
      <c r="M509" s="247"/>
      <c r="N509" s="247"/>
      <c r="O509" s="248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</row>
    <row r="510" spans="1:36" ht="13.8" x14ac:dyDescent="0.25">
      <c r="A510" s="44"/>
      <c r="B510" s="244" t="s">
        <v>1568</v>
      </c>
      <c r="C510" s="245" t="s">
        <v>1561</v>
      </c>
      <c r="D510" s="244" t="s">
        <v>65</v>
      </c>
      <c r="E510" s="244" t="s">
        <v>1562</v>
      </c>
      <c r="F510" s="246" t="s">
        <v>55</v>
      </c>
      <c r="G510" s="259">
        <v>1</v>
      </c>
      <c r="H510" s="247"/>
      <c r="I510" s="247"/>
      <c r="J510" s="247"/>
      <c r="K510" s="247"/>
      <c r="L510" s="247"/>
      <c r="M510" s="247"/>
      <c r="N510" s="247"/>
      <c r="O510" s="248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</row>
    <row r="511" spans="1:36" ht="13.8" x14ac:dyDescent="0.25">
      <c r="A511" s="44"/>
      <c r="B511" s="244" t="s">
        <v>1570</v>
      </c>
      <c r="C511" s="245" t="s">
        <v>1564</v>
      </c>
      <c r="D511" s="244" t="s">
        <v>65</v>
      </c>
      <c r="E511" s="244" t="s">
        <v>1565</v>
      </c>
      <c r="F511" s="246" t="s">
        <v>55</v>
      </c>
      <c r="G511" s="259">
        <v>13</v>
      </c>
      <c r="H511" s="247"/>
      <c r="I511" s="247"/>
      <c r="J511" s="247"/>
      <c r="K511" s="247"/>
      <c r="L511" s="247"/>
      <c r="M511" s="247"/>
      <c r="N511" s="247"/>
      <c r="O511" s="248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</row>
    <row r="512" spans="1:36" ht="13.8" x14ac:dyDescent="0.25">
      <c r="A512" s="44"/>
      <c r="B512" s="244" t="s">
        <v>1573</v>
      </c>
      <c r="C512" s="245" t="s">
        <v>1567</v>
      </c>
      <c r="D512" s="244" t="s">
        <v>263</v>
      </c>
      <c r="E512" s="244" t="s">
        <v>1921</v>
      </c>
      <c r="F512" s="246" t="s">
        <v>324</v>
      </c>
      <c r="G512" s="259">
        <v>260.5</v>
      </c>
      <c r="H512" s="247"/>
      <c r="I512" s="247"/>
      <c r="J512" s="247"/>
      <c r="K512" s="247"/>
      <c r="L512" s="247"/>
      <c r="M512" s="247"/>
      <c r="N512" s="247"/>
      <c r="O512" s="248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</row>
    <row r="513" spans="1:36" ht="13.8" x14ac:dyDescent="0.25">
      <c r="A513" s="44"/>
      <c r="B513" s="244" t="s">
        <v>1576</v>
      </c>
      <c r="C513" s="245" t="s">
        <v>2194</v>
      </c>
      <c r="D513" s="244" t="s">
        <v>263</v>
      </c>
      <c r="E513" s="244" t="s">
        <v>2195</v>
      </c>
      <c r="F513" s="246" t="s">
        <v>324</v>
      </c>
      <c r="G513" s="259">
        <v>28.3</v>
      </c>
      <c r="H513" s="247"/>
      <c r="I513" s="247"/>
      <c r="J513" s="247"/>
      <c r="K513" s="247"/>
      <c r="L513" s="247"/>
      <c r="M513" s="247"/>
      <c r="N513" s="247"/>
      <c r="O513" s="248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</row>
    <row r="514" spans="1:36" ht="13.8" x14ac:dyDescent="0.25">
      <c r="A514" s="44"/>
      <c r="B514" s="244" t="s">
        <v>1579</v>
      </c>
      <c r="C514" s="245" t="s">
        <v>2196</v>
      </c>
      <c r="D514" s="244" t="s">
        <v>65</v>
      </c>
      <c r="E514" s="244" t="s">
        <v>2197</v>
      </c>
      <c r="F514" s="246" t="s">
        <v>71</v>
      </c>
      <c r="G514" s="259">
        <v>46.7</v>
      </c>
      <c r="H514" s="247"/>
      <c r="I514" s="247"/>
      <c r="J514" s="247"/>
      <c r="K514" s="247"/>
      <c r="L514" s="247"/>
      <c r="M514" s="247"/>
      <c r="N514" s="247"/>
      <c r="O514" s="248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</row>
    <row r="515" spans="1:36" ht="13.8" x14ac:dyDescent="0.25">
      <c r="A515" s="44"/>
      <c r="B515" s="244" t="s">
        <v>1582</v>
      </c>
      <c r="C515" s="245" t="s">
        <v>2198</v>
      </c>
      <c r="D515" s="244" t="s">
        <v>65</v>
      </c>
      <c r="E515" s="244" t="s">
        <v>2199</v>
      </c>
      <c r="F515" s="246" t="s">
        <v>71</v>
      </c>
      <c r="G515" s="259">
        <v>14.1</v>
      </c>
      <c r="H515" s="247"/>
      <c r="I515" s="247"/>
      <c r="J515" s="247"/>
      <c r="K515" s="247"/>
      <c r="L515" s="247"/>
      <c r="M515" s="247"/>
      <c r="N515" s="247"/>
      <c r="O515" s="248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</row>
    <row r="516" spans="1:36" ht="13.8" x14ac:dyDescent="0.25">
      <c r="A516" s="44"/>
      <c r="B516" s="244" t="s">
        <v>1585</v>
      </c>
      <c r="C516" s="245" t="s">
        <v>2200</v>
      </c>
      <c r="D516" s="244" t="s">
        <v>182</v>
      </c>
      <c r="E516" s="244" t="s">
        <v>2201</v>
      </c>
      <c r="F516" s="246" t="s">
        <v>213</v>
      </c>
      <c r="G516" s="259">
        <v>235</v>
      </c>
      <c r="H516" s="247"/>
      <c r="I516" s="247"/>
      <c r="J516" s="247"/>
      <c r="K516" s="247"/>
      <c r="L516" s="247"/>
      <c r="M516" s="247"/>
      <c r="N516" s="247"/>
      <c r="O516" s="248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</row>
    <row r="517" spans="1:36" ht="13.8" x14ac:dyDescent="0.25">
      <c r="A517" s="44"/>
      <c r="B517" s="244" t="s">
        <v>1588</v>
      </c>
      <c r="C517" s="245" t="s">
        <v>2202</v>
      </c>
      <c r="D517" s="244" t="s">
        <v>182</v>
      </c>
      <c r="E517" s="244" t="s">
        <v>2203</v>
      </c>
      <c r="F517" s="246" t="s">
        <v>213</v>
      </c>
      <c r="G517" s="259">
        <v>10</v>
      </c>
      <c r="H517" s="247"/>
      <c r="I517" s="247"/>
      <c r="J517" s="247"/>
      <c r="K517" s="247"/>
      <c r="L517" s="247"/>
      <c r="M517" s="247"/>
      <c r="N517" s="247"/>
      <c r="O517" s="248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</row>
    <row r="518" spans="1:36" ht="13.8" x14ac:dyDescent="0.25">
      <c r="A518" s="44"/>
      <c r="B518" s="244" t="s">
        <v>1591</v>
      </c>
      <c r="C518" s="245" t="s">
        <v>1571</v>
      </c>
      <c r="D518" s="244" t="s">
        <v>65</v>
      </c>
      <c r="E518" s="244" t="s">
        <v>1572</v>
      </c>
      <c r="F518" s="246" t="s">
        <v>55</v>
      </c>
      <c r="G518" s="259">
        <v>11</v>
      </c>
      <c r="H518" s="247"/>
      <c r="I518" s="247"/>
      <c r="J518" s="247"/>
      <c r="K518" s="247"/>
      <c r="L518" s="247"/>
      <c r="M518" s="247"/>
      <c r="N518" s="247"/>
      <c r="O518" s="248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</row>
    <row r="519" spans="1:36" ht="13.8" x14ac:dyDescent="0.25">
      <c r="A519" s="44"/>
      <c r="B519" s="244" t="s">
        <v>1594</v>
      </c>
      <c r="C519" s="245" t="s">
        <v>1574</v>
      </c>
      <c r="D519" s="244" t="s">
        <v>65</v>
      </c>
      <c r="E519" s="244" t="s">
        <v>1575</v>
      </c>
      <c r="F519" s="246" t="s">
        <v>55</v>
      </c>
      <c r="G519" s="259">
        <v>466</v>
      </c>
      <c r="H519" s="247"/>
      <c r="I519" s="247"/>
      <c r="J519" s="247"/>
      <c r="K519" s="247"/>
      <c r="L519" s="247"/>
      <c r="M519" s="247"/>
      <c r="N519" s="247"/>
      <c r="O519" s="248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</row>
    <row r="520" spans="1:36" ht="27.6" x14ac:dyDescent="0.25">
      <c r="A520" s="44"/>
      <c r="B520" s="244" t="s">
        <v>1597</v>
      </c>
      <c r="C520" s="245" t="s">
        <v>1577</v>
      </c>
      <c r="D520" s="244" t="s">
        <v>44</v>
      </c>
      <c r="E520" s="244" t="s">
        <v>1578</v>
      </c>
      <c r="F520" s="246" t="s">
        <v>71</v>
      </c>
      <c r="G520" s="259">
        <v>1404.2</v>
      </c>
      <c r="H520" s="247"/>
      <c r="I520" s="247"/>
      <c r="J520" s="247"/>
      <c r="K520" s="247"/>
      <c r="L520" s="247"/>
      <c r="M520" s="247"/>
      <c r="N520" s="247"/>
      <c r="O520" s="248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</row>
    <row r="521" spans="1:36" ht="27.6" x14ac:dyDescent="0.25">
      <c r="A521" s="44"/>
      <c r="B521" s="244" t="s">
        <v>1598</v>
      </c>
      <c r="C521" s="245" t="s">
        <v>1580</v>
      </c>
      <c r="D521" s="244" t="s">
        <v>44</v>
      </c>
      <c r="E521" s="244" t="s">
        <v>1581</v>
      </c>
      <c r="F521" s="246" t="s">
        <v>71</v>
      </c>
      <c r="G521" s="259">
        <v>6417.1</v>
      </c>
      <c r="H521" s="247"/>
      <c r="I521" s="247"/>
      <c r="J521" s="247"/>
      <c r="K521" s="247"/>
      <c r="L521" s="247"/>
      <c r="M521" s="247"/>
      <c r="N521" s="247"/>
      <c r="O521" s="248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</row>
    <row r="522" spans="1:36" ht="27.6" x14ac:dyDescent="0.25">
      <c r="A522" s="44"/>
      <c r="B522" s="244" t="s">
        <v>1600</v>
      </c>
      <c r="C522" s="245" t="s">
        <v>1583</v>
      </c>
      <c r="D522" s="244" t="s">
        <v>44</v>
      </c>
      <c r="E522" s="244" t="s">
        <v>1584</v>
      </c>
      <c r="F522" s="246" t="s">
        <v>71</v>
      </c>
      <c r="G522" s="259">
        <v>248.2</v>
      </c>
      <c r="H522" s="247"/>
      <c r="I522" s="247"/>
      <c r="J522" s="247"/>
      <c r="K522" s="247"/>
      <c r="L522" s="247"/>
      <c r="M522" s="247"/>
      <c r="N522" s="247"/>
      <c r="O522" s="248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</row>
    <row r="523" spans="1:36" ht="27.6" x14ac:dyDescent="0.25">
      <c r="A523" s="44"/>
      <c r="B523" s="244" t="s">
        <v>1603</v>
      </c>
      <c r="C523" s="245" t="s">
        <v>1586</v>
      </c>
      <c r="D523" s="244" t="s">
        <v>44</v>
      </c>
      <c r="E523" s="244" t="s">
        <v>1587</v>
      </c>
      <c r="F523" s="246" t="s">
        <v>71</v>
      </c>
      <c r="G523" s="259">
        <v>650.29999999999995</v>
      </c>
      <c r="H523" s="247"/>
      <c r="I523" s="247"/>
      <c r="J523" s="247"/>
      <c r="K523" s="247"/>
      <c r="L523" s="247"/>
      <c r="M523" s="247"/>
      <c r="N523" s="247"/>
      <c r="O523" s="248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</row>
    <row r="524" spans="1:36" ht="27.6" x14ac:dyDescent="0.25">
      <c r="A524" s="44"/>
      <c r="B524" s="244" t="s">
        <v>1606</v>
      </c>
      <c r="C524" s="245" t="s">
        <v>1589</v>
      </c>
      <c r="D524" s="244" t="s">
        <v>44</v>
      </c>
      <c r="E524" s="244" t="s">
        <v>1590</v>
      </c>
      <c r="F524" s="246" t="s">
        <v>71</v>
      </c>
      <c r="G524" s="259">
        <v>120.6</v>
      </c>
      <c r="H524" s="247"/>
      <c r="I524" s="247"/>
      <c r="J524" s="247"/>
      <c r="K524" s="247"/>
      <c r="L524" s="247"/>
      <c r="M524" s="247"/>
      <c r="N524" s="247"/>
      <c r="O524" s="248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</row>
    <row r="525" spans="1:36" ht="27.6" x14ac:dyDescent="0.25">
      <c r="A525" s="44"/>
      <c r="B525" s="244" t="s">
        <v>1609</v>
      </c>
      <c r="C525" s="245" t="s">
        <v>1592</v>
      </c>
      <c r="D525" s="244" t="s">
        <v>44</v>
      </c>
      <c r="E525" s="244" t="s">
        <v>1593</v>
      </c>
      <c r="F525" s="246" t="s">
        <v>71</v>
      </c>
      <c r="G525" s="259">
        <v>16.3</v>
      </c>
      <c r="H525" s="247"/>
      <c r="I525" s="247"/>
      <c r="J525" s="247"/>
      <c r="K525" s="247"/>
      <c r="L525" s="247"/>
      <c r="M525" s="247"/>
      <c r="N525" s="247"/>
      <c r="O525" s="248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</row>
    <row r="526" spans="1:36" ht="27.6" x14ac:dyDescent="0.25">
      <c r="A526" s="44"/>
      <c r="B526" s="244" t="s">
        <v>1612</v>
      </c>
      <c r="C526" s="245" t="s">
        <v>1595</v>
      </c>
      <c r="D526" s="244" t="s">
        <v>44</v>
      </c>
      <c r="E526" s="244" t="s">
        <v>1596</v>
      </c>
      <c r="F526" s="246" t="s">
        <v>71</v>
      </c>
      <c r="G526" s="259">
        <v>149.6</v>
      </c>
      <c r="H526" s="247"/>
      <c r="I526" s="247"/>
      <c r="J526" s="247"/>
      <c r="K526" s="247"/>
      <c r="L526" s="247"/>
      <c r="M526" s="247"/>
      <c r="N526" s="247"/>
      <c r="O526" s="248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</row>
    <row r="527" spans="1:36" ht="13.8" x14ac:dyDescent="0.25">
      <c r="A527" s="44"/>
      <c r="B527" s="244" t="s">
        <v>1615</v>
      </c>
      <c r="C527" s="245" t="s">
        <v>1599</v>
      </c>
      <c r="D527" s="244" t="s">
        <v>263</v>
      </c>
      <c r="E527" s="244" t="s">
        <v>1923</v>
      </c>
      <c r="F527" s="246" t="s">
        <v>324</v>
      </c>
      <c r="G527" s="259">
        <v>1</v>
      </c>
      <c r="H527" s="247"/>
      <c r="I527" s="247"/>
      <c r="J527" s="247"/>
      <c r="K527" s="247"/>
      <c r="L527" s="247"/>
      <c r="M527" s="247"/>
      <c r="N527" s="247"/>
      <c r="O527" s="248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</row>
    <row r="528" spans="1:36" ht="13.8" x14ac:dyDescent="0.25">
      <c r="A528" s="44"/>
      <c r="B528" s="244" t="s">
        <v>1618</v>
      </c>
      <c r="C528" s="245" t="s">
        <v>1601</v>
      </c>
      <c r="D528" s="244" t="s">
        <v>182</v>
      </c>
      <c r="E528" s="244" t="s">
        <v>1602</v>
      </c>
      <c r="F528" s="246" t="s">
        <v>213</v>
      </c>
      <c r="G528" s="259">
        <v>632</v>
      </c>
      <c r="H528" s="247"/>
      <c r="I528" s="247"/>
      <c r="J528" s="247"/>
      <c r="K528" s="247"/>
      <c r="L528" s="247"/>
      <c r="M528" s="247"/>
      <c r="N528" s="247"/>
      <c r="O528" s="248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</row>
    <row r="529" spans="1:36" ht="13.8" x14ac:dyDescent="0.25">
      <c r="A529" s="44"/>
      <c r="B529" s="244" t="s">
        <v>1621</v>
      </c>
      <c r="C529" s="245" t="s">
        <v>1604</v>
      </c>
      <c r="D529" s="244" t="s">
        <v>44</v>
      </c>
      <c r="E529" s="244" t="s">
        <v>1605</v>
      </c>
      <c r="F529" s="246" t="s">
        <v>55</v>
      </c>
      <c r="G529" s="259">
        <v>2</v>
      </c>
      <c r="H529" s="247"/>
      <c r="I529" s="247"/>
      <c r="J529" s="247"/>
      <c r="K529" s="247"/>
      <c r="L529" s="247"/>
      <c r="M529" s="247"/>
      <c r="N529" s="247"/>
      <c r="O529" s="248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</row>
    <row r="530" spans="1:36" ht="27.6" x14ac:dyDescent="0.25">
      <c r="A530" s="44"/>
      <c r="B530" s="244" t="s">
        <v>1624</v>
      </c>
      <c r="C530" s="245" t="s">
        <v>1607</v>
      </c>
      <c r="D530" s="244" t="s">
        <v>44</v>
      </c>
      <c r="E530" s="244" t="s">
        <v>1608</v>
      </c>
      <c r="F530" s="246" t="s">
        <v>55</v>
      </c>
      <c r="G530" s="259">
        <v>1</v>
      </c>
      <c r="H530" s="247"/>
      <c r="I530" s="247"/>
      <c r="J530" s="247"/>
      <c r="K530" s="247"/>
      <c r="L530" s="247"/>
      <c r="M530" s="247"/>
      <c r="N530" s="247"/>
      <c r="O530" s="248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</row>
    <row r="531" spans="1:36" ht="27.6" x14ac:dyDescent="0.25">
      <c r="A531" s="44"/>
      <c r="B531" s="244" t="s">
        <v>2204</v>
      </c>
      <c r="C531" s="245" t="s">
        <v>1610</v>
      </c>
      <c r="D531" s="244" t="s">
        <v>44</v>
      </c>
      <c r="E531" s="244" t="s">
        <v>1611</v>
      </c>
      <c r="F531" s="246" t="s">
        <v>55</v>
      </c>
      <c r="G531" s="259">
        <v>1</v>
      </c>
      <c r="H531" s="247"/>
      <c r="I531" s="247"/>
      <c r="J531" s="247"/>
      <c r="K531" s="247"/>
      <c r="L531" s="247"/>
      <c r="M531" s="247"/>
      <c r="N531" s="247"/>
      <c r="O531" s="248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</row>
    <row r="532" spans="1:36" ht="27.6" x14ac:dyDescent="0.25">
      <c r="A532" s="44"/>
      <c r="B532" s="244" t="s">
        <v>2205</v>
      </c>
      <c r="C532" s="245" t="s">
        <v>1613</v>
      </c>
      <c r="D532" s="244" t="s">
        <v>182</v>
      </c>
      <c r="E532" s="244" t="s">
        <v>1614</v>
      </c>
      <c r="F532" s="246" t="s">
        <v>213</v>
      </c>
      <c r="G532" s="259">
        <v>1</v>
      </c>
      <c r="H532" s="247"/>
      <c r="I532" s="247"/>
      <c r="J532" s="247"/>
      <c r="K532" s="247"/>
      <c r="L532" s="247"/>
      <c r="M532" s="247"/>
      <c r="N532" s="247"/>
      <c r="O532" s="248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</row>
    <row r="533" spans="1:36" ht="27.6" x14ac:dyDescent="0.25">
      <c r="A533" s="44"/>
      <c r="B533" s="244" t="s">
        <v>2206</v>
      </c>
      <c r="C533" s="245" t="s">
        <v>2207</v>
      </c>
      <c r="D533" s="244" t="s">
        <v>44</v>
      </c>
      <c r="E533" s="244" t="s">
        <v>2208</v>
      </c>
      <c r="F533" s="246" t="s">
        <v>55</v>
      </c>
      <c r="G533" s="259">
        <v>1</v>
      </c>
      <c r="H533" s="247"/>
      <c r="I533" s="247"/>
      <c r="J533" s="247"/>
      <c r="K533" s="247"/>
      <c r="L533" s="247"/>
      <c r="M533" s="247"/>
      <c r="N533" s="247"/>
      <c r="O533" s="248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</row>
    <row r="534" spans="1:36" ht="27.6" x14ac:dyDescent="0.25">
      <c r="A534" s="44"/>
      <c r="B534" s="244" t="s">
        <v>2209</v>
      </c>
      <c r="C534" s="245" t="s">
        <v>1616</v>
      </c>
      <c r="D534" s="244" t="s">
        <v>44</v>
      </c>
      <c r="E534" s="244" t="s">
        <v>1617</v>
      </c>
      <c r="F534" s="246" t="s">
        <v>55</v>
      </c>
      <c r="G534" s="259">
        <v>14</v>
      </c>
      <c r="H534" s="247"/>
      <c r="I534" s="247"/>
      <c r="J534" s="247"/>
      <c r="K534" s="247"/>
      <c r="L534" s="247"/>
      <c r="M534" s="247"/>
      <c r="N534" s="247"/>
      <c r="O534" s="248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</row>
    <row r="535" spans="1:36" ht="27.6" x14ac:dyDescent="0.25">
      <c r="A535" s="44"/>
      <c r="B535" s="244" t="s">
        <v>2210</v>
      </c>
      <c r="C535" s="245" t="s">
        <v>1619</v>
      </c>
      <c r="D535" s="244" t="s">
        <v>44</v>
      </c>
      <c r="E535" s="244" t="s">
        <v>1620</v>
      </c>
      <c r="F535" s="246" t="s">
        <v>55</v>
      </c>
      <c r="G535" s="259">
        <v>3</v>
      </c>
      <c r="H535" s="247"/>
      <c r="I535" s="247"/>
      <c r="J535" s="247"/>
      <c r="K535" s="247"/>
      <c r="L535" s="247"/>
      <c r="M535" s="247"/>
      <c r="N535" s="247"/>
      <c r="O535" s="248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</row>
    <row r="536" spans="1:36" ht="13.8" x14ac:dyDescent="0.25">
      <c r="A536" s="44"/>
      <c r="B536" s="244" t="s">
        <v>2211</v>
      </c>
      <c r="C536" s="245" t="s">
        <v>1622</v>
      </c>
      <c r="D536" s="244" t="s">
        <v>65</v>
      </c>
      <c r="E536" s="244" t="s">
        <v>1623</v>
      </c>
      <c r="F536" s="246" t="s">
        <v>55</v>
      </c>
      <c r="G536" s="259">
        <v>1</v>
      </c>
      <c r="H536" s="247"/>
      <c r="I536" s="247"/>
      <c r="J536" s="247"/>
      <c r="K536" s="247"/>
      <c r="L536" s="247"/>
      <c r="M536" s="247"/>
      <c r="N536" s="247"/>
      <c r="O536" s="248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</row>
    <row r="537" spans="1:36" ht="27.6" x14ac:dyDescent="0.25">
      <c r="A537" s="44"/>
      <c r="B537" s="244" t="s">
        <v>2212</v>
      </c>
      <c r="C537" s="245" t="s">
        <v>300</v>
      </c>
      <c r="D537" s="244" t="s">
        <v>182</v>
      </c>
      <c r="E537" s="244" t="s">
        <v>301</v>
      </c>
      <c r="F537" s="246" t="s">
        <v>213</v>
      </c>
      <c r="G537" s="259">
        <v>4</v>
      </c>
      <c r="H537" s="247"/>
      <c r="I537" s="247"/>
      <c r="J537" s="247"/>
      <c r="K537" s="247"/>
      <c r="L537" s="247"/>
      <c r="M537" s="247"/>
      <c r="N537" s="247"/>
      <c r="O537" s="248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</row>
    <row r="538" spans="1:36" ht="13.8" x14ac:dyDescent="0.25">
      <c r="A538" s="44"/>
      <c r="B538" s="244" t="s">
        <v>2213</v>
      </c>
      <c r="C538" s="245" t="s">
        <v>2214</v>
      </c>
      <c r="D538" s="244" t="s">
        <v>65</v>
      </c>
      <c r="E538" s="244" t="s">
        <v>2215</v>
      </c>
      <c r="F538" s="246" t="s">
        <v>55</v>
      </c>
      <c r="G538" s="259">
        <v>1</v>
      </c>
      <c r="H538" s="247"/>
      <c r="I538" s="247"/>
      <c r="J538" s="247"/>
      <c r="K538" s="247"/>
      <c r="L538" s="247"/>
      <c r="M538" s="247"/>
      <c r="N538" s="247"/>
      <c r="O538" s="248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</row>
    <row r="539" spans="1:36" ht="13.8" x14ac:dyDescent="0.25">
      <c r="A539" s="44"/>
      <c r="B539" s="240" t="s">
        <v>395</v>
      </c>
      <c r="C539" s="240"/>
      <c r="D539" s="240"/>
      <c r="E539" s="240" t="s">
        <v>382</v>
      </c>
      <c r="F539" s="240"/>
      <c r="G539" s="258"/>
      <c r="H539" s="241"/>
      <c r="I539" s="240"/>
      <c r="J539" s="240"/>
      <c r="K539" s="240"/>
      <c r="L539" s="240"/>
      <c r="M539" s="240"/>
      <c r="N539" s="242"/>
      <c r="O539" s="243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</row>
    <row r="540" spans="1:36" ht="27.6" x14ac:dyDescent="0.25">
      <c r="A540" s="44"/>
      <c r="B540" s="244" t="s">
        <v>1627</v>
      </c>
      <c r="C540" s="245" t="s">
        <v>1638</v>
      </c>
      <c r="D540" s="244" t="s">
        <v>263</v>
      </c>
      <c r="E540" s="244" t="s">
        <v>1928</v>
      </c>
      <c r="F540" s="246" t="s">
        <v>213</v>
      </c>
      <c r="G540" s="259">
        <v>152</v>
      </c>
      <c r="H540" s="247"/>
      <c r="I540" s="247"/>
      <c r="J540" s="247"/>
      <c r="K540" s="247"/>
      <c r="L540" s="247"/>
      <c r="M540" s="247"/>
      <c r="N540" s="247"/>
      <c r="O540" s="248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</row>
    <row r="541" spans="1:36" ht="13.8" x14ac:dyDescent="0.25">
      <c r="A541" s="44"/>
      <c r="B541" s="244" t="s">
        <v>1629</v>
      </c>
      <c r="C541" s="245" t="s">
        <v>1640</v>
      </c>
      <c r="D541" s="244" t="s">
        <v>263</v>
      </c>
      <c r="E541" s="244" t="s">
        <v>1929</v>
      </c>
      <c r="F541" s="246" t="s">
        <v>213</v>
      </c>
      <c r="G541" s="259">
        <v>20</v>
      </c>
      <c r="H541" s="247"/>
      <c r="I541" s="247"/>
      <c r="J541" s="247"/>
      <c r="K541" s="247"/>
      <c r="L541" s="247"/>
      <c r="M541" s="247"/>
      <c r="N541" s="247"/>
      <c r="O541" s="248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</row>
    <row r="542" spans="1:36" ht="13.8" x14ac:dyDescent="0.25">
      <c r="A542" s="44"/>
      <c r="B542" s="244" t="s">
        <v>1632</v>
      </c>
      <c r="C542" s="245" t="s">
        <v>1925</v>
      </c>
      <c r="D542" s="244" t="s">
        <v>65</v>
      </c>
      <c r="E542" s="244" t="s">
        <v>1926</v>
      </c>
      <c r="F542" s="246" t="s">
        <v>55</v>
      </c>
      <c r="G542" s="259">
        <v>13</v>
      </c>
      <c r="H542" s="247"/>
      <c r="I542" s="247"/>
      <c r="J542" s="247"/>
      <c r="K542" s="247"/>
      <c r="L542" s="247"/>
      <c r="M542" s="247"/>
      <c r="N542" s="247"/>
      <c r="O542" s="248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</row>
    <row r="543" spans="1:36" ht="27.6" x14ac:dyDescent="0.25">
      <c r="A543" s="44"/>
      <c r="B543" s="244" t="s">
        <v>1633</v>
      </c>
      <c r="C543" s="245" t="s">
        <v>386</v>
      </c>
      <c r="D543" s="244" t="s">
        <v>44</v>
      </c>
      <c r="E543" s="244" t="s">
        <v>387</v>
      </c>
      <c r="F543" s="246" t="s">
        <v>55</v>
      </c>
      <c r="G543" s="259">
        <v>32</v>
      </c>
      <c r="H543" s="247"/>
      <c r="I543" s="247"/>
      <c r="J543" s="247"/>
      <c r="K543" s="247"/>
      <c r="L543" s="247"/>
      <c r="M543" s="247"/>
      <c r="N543" s="247"/>
      <c r="O543" s="248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</row>
    <row r="544" spans="1:36" ht="27.6" x14ac:dyDescent="0.25">
      <c r="A544" s="44"/>
      <c r="B544" s="244" t="s">
        <v>1635</v>
      </c>
      <c r="C544" s="245" t="s">
        <v>1628</v>
      </c>
      <c r="D544" s="244" t="s">
        <v>263</v>
      </c>
      <c r="E544" s="244" t="s">
        <v>1924</v>
      </c>
      <c r="F544" s="246" t="s">
        <v>213</v>
      </c>
      <c r="G544" s="259">
        <v>523</v>
      </c>
      <c r="H544" s="247"/>
      <c r="I544" s="247"/>
      <c r="J544" s="247"/>
      <c r="K544" s="247"/>
      <c r="L544" s="247"/>
      <c r="M544" s="247"/>
      <c r="N544" s="247"/>
      <c r="O544" s="248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</row>
    <row r="545" spans="1:36" ht="13.8" x14ac:dyDescent="0.25">
      <c r="A545" s="44"/>
      <c r="B545" s="244" t="s">
        <v>1636</v>
      </c>
      <c r="C545" s="245" t="s">
        <v>1630</v>
      </c>
      <c r="D545" s="244" t="s">
        <v>65</v>
      </c>
      <c r="E545" s="244" t="s">
        <v>1631</v>
      </c>
      <c r="F545" s="246" t="s">
        <v>55</v>
      </c>
      <c r="G545" s="259">
        <v>30</v>
      </c>
      <c r="H545" s="247"/>
      <c r="I545" s="247"/>
      <c r="J545" s="247"/>
      <c r="K545" s="247"/>
      <c r="L545" s="247"/>
      <c r="M545" s="247"/>
      <c r="N545" s="247"/>
      <c r="O545" s="248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</row>
    <row r="546" spans="1:36" ht="27.6" x14ac:dyDescent="0.25">
      <c r="A546" s="44"/>
      <c r="B546" s="244" t="s">
        <v>1637</v>
      </c>
      <c r="C546" s="245" t="s">
        <v>1634</v>
      </c>
      <c r="D546" s="244" t="s">
        <v>263</v>
      </c>
      <c r="E546" s="244" t="s">
        <v>1927</v>
      </c>
      <c r="F546" s="246" t="s">
        <v>213</v>
      </c>
      <c r="G546" s="259">
        <v>79</v>
      </c>
      <c r="H546" s="247"/>
      <c r="I546" s="247"/>
      <c r="J546" s="247"/>
      <c r="K546" s="247"/>
      <c r="L546" s="247"/>
      <c r="M546" s="247"/>
      <c r="N546" s="247"/>
      <c r="O546" s="248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</row>
    <row r="547" spans="1:36" ht="13.8" x14ac:dyDescent="0.25">
      <c r="A547" s="44"/>
      <c r="B547" s="244" t="s">
        <v>1639</v>
      </c>
      <c r="C547" s="245" t="s">
        <v>389</v>
      </c>
      <c r="D547" s="244" t="s">
        <v>182</v>
      </c>
      <c r="E547" s="244" t="s">
        <v>390</v>
      </c>
      <c r="F547" s="246" t="s">
        <v>213</v>
      </c>
      <c r="G547" s="259">
        <v>24</v>
      </c>
      <c r="H547" s="247"/>
      <c r="I547" s="247"/>
      <c r="J547" s="247"/>
      <c r="K547" s="247"/>
      <c r="L547" s="247"/>
      <c r="M547" s="247"/>
      <c r="N547" s="247"/>
      <c r="O547" s="248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</row>
    <row r="548" spans="1:36" ht="13.8" x14ac:dyDescent="0.25">
      <c r="A548" s="44"/>
      <c r="B548" s="240" t="s">
        <v>396</v>
      </c>
      <c r="C548" s="240"/>
      <c r="D548" s="240"/>
      <c r="E548" s="240" t="s">
        <v>1641</v>
      </c>
      <c r="F548" s="240"/>
      <c r="G548" s="258"/>
      <c r="H548" s="241"/>
      <c r="I548" s="240"/>
      <c r="J548" s="240"/>
      <c r="K548" s="240"/>
      <c r="L548" s="240"/>
      <c r="M548" s="240"/>
      <c r="N548" s="242"/>
      <c r="O548" s="243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</row>
    <row r="549" spans="1:36" ht="27.6" x14ac:dyDescent="0.25">
      <c r="A549" s="44"/>
      <c r="B549" s="244" t="s">
        <v>1642</v>
      </c>
      <c r="C549" s="245" t="s">
        <v>585</v>
      </c>
      <c r="D549" s="244" t="s">
        <v>182</v>
      </c>
      <c r="E549" s="244" t="s">
        <v>1643</v>
      </c>
      <c r="F549" s="246" t="s">
        <v>213</v>
      </c>
      <c r="G549" s="259">
        <v>2</v>
      </c>
      <c r="H549" s="247"/>
      <c r="I549" s="247"/>
      <c r="J549" s="247"/>
      <c r="K549" s="247"/>
      <c r="L549" s="247"/>
      <c r="M549" s="247"/>
      <c r="N549" s="247"/>
      <c r="O549" s="248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</row>
    <row r="550" spans="1:36" ht="27.6" x14ac:dyDescent="0.25">
      <c r="A550" s="44"/>
      <c r="B550" s="244" t="s">
        <v>1644</v>
      </c>
      <c r="C550" s="245" t="s">
        <v>1625</v>
      </c>
      <c r="D550" s="244" t="s">
        <v>44</v>
      </c>
      <c r="E550" s="244" t="s">
        <v>1626</v>
      </c>
      <c r="F550" s="246" t="s">
        <v>55</v>
      </c>
      <c r="G550" s="259">
        <v>22</v>
      </c>
      <c r="H550" s="247"/>
      <c r="I550" s="247"/>
      <c r="J550" s="247"/>
      <c r="K550" s="247"/>
      <c r="L550" s="247"/>
      <c r="M550" s="247"/>
      <c r="N550" s="247"/>
      <c r="O550" s="248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</row>
    <row r="551" spans="1:36" ht="27.6" x14ac:dyDescent="0.25">
      <c r="A551" s="44"/>
      <c r="B551" s="244" t="s">
        <v>1645</v>
      </c>
      <c r="C551" s="245" t="s">
        <v>1646</v>
      </c>
      <c r="D551" s="244" t="s">
        <v>44</v>
      </c>
      <c r="E551" s="244" t="s">
        <v>1647</v>
      </c>
      <c r="F551" s="246" t="s">
        <v>55</v>
      </c>
      <c r="G551" s="259">
        <v>23</v>
      </c>
      <c r="H551" s="247"/>
      <c r="I551" s="247"/>
      <c r="J551" s="247"/>
      <c r="K551" s="247"/>
      <c r="L551" s="247"/>
      <c r="M551" s="247"/>
      <c r="N551" s="247"/>
      <c r="O551" s="248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</row>
    <row r="552" spans="1:36" ht="13.8" x14ac:dyDescent="0.25">
      <c r="A552" s="44"/>
      <c r="B552" s="244" t="s">
        <v>1648</v>
      </c>
      <c r="C552" s="245" t="s">
        <v>306</v>
      </c>
      <c r="D552" s="244" t="s">
        <v>44</v>
      </c>
      <c r="E552" s="244" t="s">
        <v>307</v>
      </c>
      <c r="F552" s="246" t="s">
        <v>55</v>
      </c>
      <c r="G552" s="259">
        <v>22</v>
      </c>
      <c r="H552" s="247"/>
      <c r="I552" s="247"/>
      <c r="J552" s="247"/>
      <c r="K552" s="247"/>
      <c r="L552" s="247"/>
      <c r="M552" s="247"/>
      <c r="N552" s="247"/>
      <c r="O552" s="248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</row>
    <row r="553" spans="1:36" ht="13.8" x14ac:dyDescent="0.25">
      <c r="A553" s="44"/>
      <c r="B553" s="244" t="s">
        <v>1649</v>
      </c>
      <c r="C553" s="245" t="s">
        <v>308</v>
      </c>
      <c r="D553" s="244" t="s">
        <v>44</v>
      </c>
      <c r="E553" s="244" t="s">
        <v>309</v>
      </c>
      <c r="F553" s="246" t="s">
        <v>55</v>
      </c>
      <c r="G553" s="259">
        <v>1</v>
      </c>
      <c r="H553" s="247"/>
      <c r="I553" s="247"/>
      <c r="J553" s="247"/>
      <c r="K553" s="247"/>
      <c r="L553" s="247"/>
      <c r="M553" s="247"/>
      <c r="N553" s="247"/>
      <c r="O553" s="248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</row>
    <row r="554" spans="1:36" ht="13.8" x14ac:dyDescent="0.25">
      <c r="A554" s="44"/>
      <c r="B554" s="244" t="s">
        <v>1650</v>
      </c>
      <c r="C554" s="245" t="s">
        <v>1651</v>
      </c>
      <c r="D554" s="244" t="s">
        <v>44</v>
      </c>
      <c r="E554" s="244" t="s">
        <v>1652</v>
      </c>
      <c r="F554" s="246" t="s">
        <v>55</v>
      </c>
      <c r="G554" s="259">
        <v>1</v>
      </c>
      <c r="H554" s="247"/>
      <c r="I554" s="247"/>
      <c r="J554" s="247"/>
      <c r="K554" s="247"/>
      <c r="L554" s="247"/>
      <c r="M554" s="247"/>
      <c r="N554" s="247"/>
      <c r="O554" s="248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</row>
    <row r="555" spans="1:36" ht="13.8" x14ac:dyDescent="0.25">
      <c r="A555" s="44"/>
      <c r="B555" s="244" t="s">
        <v>1653</v>
      </c>
      <c r="C555" s="245" t="s">
        <v>1654</v>
      </c>
      <c r="D555" s="244" t="s">
        <v>44</v>
      </c>
      <c r="E555" s="244" t="s">
        <v>1655</v>
      </c>
      <c r="F555" s="246" t="s">
        <v>55</v>
      </c>
      <c r="G555" s="259">
        <v>115</v>
      </c>
      <c r="H555" s="247"/>
      <c r="I555" s="247"/>
      <c r="J555" s="247"/>
      <c r="K555" s="247"/>
      <c r="L555" s="247"/>
      <c r="M555" s="247"/>
      <c r="N555" s="247"/>
      <c r="O555" s="248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</row>
    <row r="556" spans="1:36" ht="13.8" x14ac:dyDescent="0.25">
      <c r="A556" s="44"/>
      <c r="B556" s="244" t="s">
        <v>1656</v>
      </c>
      <c r="C556" s="245" t="s">
        <v>1657</v>
      </c>
      <c r="D556" s="244" t="s">
        <v>44</v>
      </c>
      <c r="E556" s="244" t="s">
        <v>1658</v>
      </c>
      <c r="F556" s="246" t="s">
        <v>55</v>
      </c>
      <c r="G556" s="259">
        <v>1</v>
      </c>
      <c r="H556" s="247"/>
      <c r="I556" s="247"/>
      <c r="J556" s="247"/>
      <c r="K556" s="247"/>
      <c r="L556" s="247"/>
      <c r="M556" s="247"/>
      <c r="N556" s="247"/>
      <c r="O556" s="248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</row>
    <row r="557" spans="1:36" ht="13.8" x14ac:dyDescent="0.25">
      <c r="A557" s="44"/>
      <c r="B557" s="244" t="s">
        <v>1659</v>
      </c>
      <c r="C557" s="245" t="s">
        <v>1660</v>
      </c>
      <c r="D557" s="244" t="s">
        <v>44</v>
      </c>
      <c r="E557" s="244" t="s">
        <v>1661</v>
      </c>
      <c r="F557" s="246" t="s">
        <v>55</v>
      </c>
      <c r="G557" s="259">
        <v>11</v>
      </c>
      <c r="H557" s="247"/>
      <c r="I557" s="247"/>
      <c r="J557" s="247"/>
      <c r="K557" s="247"/>
      <c r="L557" s="247"/>
      <c r="M557" s="247"/>
      <c r="N557" s="247"/>
      <c r="O557" s="248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</row>
    <row r="558" spans="1:36" ht="13.8" x14ac:dyDescent="0.25">
      <c r="A558" s="44"/>
      <c r="B558" s="244" t="s">
        <v>1662</v>
      </c>
      <c r="C558" s="245" t="s">
        <v>302</v>
      </c>
      <c r="D558" s="244" t="s">
        <v>65</v>
      </c>
      <c r="E558" s="244" t="s">
        <v>303</v>
      </c>
      <c r="F558" s="246" t="s">
        <v>71</v>
      </c>
      <c r="G558" s="259">
        <v>982.8</v>
      </c>
      <c r="H558" s="247"/>
      <c r="I558" s="247"/>
      <c r="J558" s="247"/>
      <c r="K558" s="247"/>
      <c r="L558" s="247"/>
      <c r="M558" s="247"/>
      <c r="N558" s="247"/>
      <c r="O558" s="248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</row>
    <row r="559" spans="1:36" ht="13.8" x14ac:dyDescent="0.25">
      <c r="A559" s="44"/>
      <c r="B559" s="244" t="s">
        <v>1663</v>
      </c>
      <c r="C559" s="245" t="s">
        <v>304</v>
      </c>
      <c r="D559" s="244" t="s">
        <v>65</v>
      </c>
      <c r="E559" s="244" t="s">
        <v>305</v>
      </c>
      <c r="F559" s="246" t="s">
        <v>71</v>
      </c>
      <c r="G559" s="259">
        <v>366.2</v>
      </c>
      <c r="H559" s="247"/>
      <c r="I559" s="247"/>
      <c r="J559" s="247"/>
      <c r="K559" s="247"/>
      <c r="L559" s="247"/>
      <c r="M559" s="247"/>
      <c r="N559" s="247"/>
      <c r="O559" s="248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</row>
    <row r="560" spans="1:36" ht="27.6" x14ac:dyDescent="0.25">
      <c r="A560" s="44"/>
      <c r="B560" s="244" t="s">
        <v>1664</v>
      </c>
      <c r="C560" s="245" t="s">
        <v>1665</v>
      </c>
      <c r="D560" s="244" t="s">
        <v>44</v>
      </c>
      <c r="E560" s="244" t="s">
        <v>1666</v>
      </c>
      <c r="F560" s="246" t="s">
        <v>55</v>
      </c>
      <c r="G560" s="259">
        <v>32</v>
      </c>
      <c r="H560" s="247"/>
      <c r="I560" s="247"/>
      <c r="J560" s="247"/>
      <c r="K560" s="247"/>
      <c r="L560" s="247"/>
      <c r="M560" s="247"/>
      <c r="N560" s="247"/>
      <c r="O560" s="248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</row>
    <row r="561" spans="1:36" ht="13.8" x14ac:dyDescent="0.25">
      <c r="A561" s="44"/>
      <c r="B561" s="244" t="s">
        <v>1667</v>
      </c>
      <c r="C561" s="245" t="s">
        <v>1668</v>
      </c>
      <c r="D561" s="244" t="s">
        <v>44</v>
      </c>
      <c r="E561" s="244" t="s">
        <v>1669</v>
      </c>
      <c r="F561" s="246" t="s">
        <v>55</v>
      </c>
      <c r="G561" s="259">
        <v>80</v>
      </c>
      <c r="H561" s="247"/>
      <c r="I561" s="247"/>
      <c r="J561" s="247"/>
      <c r="K561" s="247"/>
      <c r="L561" s="247"/>
      <c r="M561" s="247"/>
      <c r="N561" s="247"/>
      <c r="O561" s="248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</row>
    <row r="562" spans="1:36" ht="13.8" x14ac:dyDescent="0.25">
      <c r="A562" s="44"/>
      <c r="B562" s="240">
        <v>19</v>
      </c>
      <c r="C562" s="240"/>
      <c r="D562" s="240"/>
      <c r="E562" s="240" t="s">
        <v>421</v>
      </c>
      <c r="F562" s="240"/>
      <c r="G562" s="258"/>
      <c r="H562" s="241"/>
      <c r="I562" s="240"/>
      <c r="J562" s="240"/>
      <c r="K562" s="240"/>
      <c r="L562" s="240"/>
      <c r="M562" s="240"/>
      <c r="N562" s="242"/>
      <c r="O562" s="243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</row>
    <row r="563" spans="1:36" ht="13.8" x14ac:dyDescent="0.25">
      <c r="A563" s="44"/>
      <c r="B563" s="240" t="s">
        <v>409</v>
      </c>
      <c r="C563" s="240"/>
      <c r="D563" s="240"/>
      <c r="E563" s="240" t="s">
        <v>1380</v>
      </c>
      <c r="F563" s="240"/>
      <c r="G563" s="258"/>
      <c r="H563" s="241"/>
      <c r="I563" s="240"/>
      <c r="J563" s="240"/>
      <c r="K563" s="240"/>
      <c r="L563" s="240"/>
      <c r="M563" s="240"/>
      <c r="N563" s="242"/>
      <c r="O563" s="243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</row>
    <row r="564" spans="1:36" ht="13.8" x14ac:dyDescent="0.25">
      <c r="A564" s="44"/>
      <c r="B564" s="244" t="s">
        <v>1930</v>
      </c>
      <c r="C564" s="245" t="s">
        <v>1670</v>
      </c>
      <c r="D564" s="244" t="s">
        <v>65</v>
      </c>
      <c r="E564" s="244" t="s">
        <v>1671</v>
      </c>
      <c r="F564" s="246" t="s">
        <v>55</v>
      </c>
      <c r="G564" s="259">
        <v>32</v>
      </c>
      <c r="H564" s="247"/>
      <c r="I564" s="247"/>
      <c r="J564" s="247"/>
      <c r="K564" s="247"/>
      <c r="L564" s="247"/>
      <c r="M564" s="247"/>
      <c r="N564" s="247"/>
      <c r="O564" s="248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</row>
    <row r="565" spans="1:36" ht="13.8" x14ac:dyDescent="0.25">
      <c r="A565" s="44"/>
      <c r="B565" s="244" t="s">
        <v>1931</v>
      </c>
      <c r="C565" s="245" t="s">
        <v>1749</v>
      </c>
      <c r="D565" s="244" t="s">
        <v>263</v>
      </c>
      <c r="E565" s="244" t="s">
        <v>1932</v>
      </c>
      <c r="F565" s="246" t="s">
        <v>45</v>
      </c>
      <c r="G565" s="259">
        <v>28</v>
      </c>
      <c r="H565" s="247"/>
      <c r="I565" s="247"/>
      <c r="J565" s="247"/>
      <c r="K565" s="247"/>
      <c r="L565" s="247"/>
      <c r="M565" s="247"/>
      <c r="N565" s="247"/>
      <c r="O565" s="248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</row>
    <row r="566" spans="1:36" ht="27.6" x14ac:dyDescent="0.25">
      <c r="A566" s="44"/>
      <c r="B566" s="244" t="s">
        <v>1933</v>
      </c>
      <c r="C566" s="245" t="s">
        <v>1747</v>
      </c>
      <c r="D566" s="244" t="s">
        <v>44</v>
      </c>
      <c r="E566" s="244" t="s">
        <v>1748</v>
      </c>
      <c r="F566" s="246" t="s">
        <v>71</v>
      </c>
      <c r="G566" s="259">
        <v>980</v>
      </c>
      <c r="H566" s="247"/>
      <c r="I566" s="247"/>
      <c r="J566" s="247"/>
      <c r="K566" s="247"/>
      <c r="L566" s="247"/>
      <c r="M566" s="247"/>
      <c r="N566" s="247"/>
      <c r="O566" s="248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</row>
    <row r="567" spans="1:36" ht="13.8" x14ac:dyDescent="0.25">
      <c r="A567" s="44"/>
      <c r="B567" s="244" t="s">
        <v>1934</v>
      </c>
      <c r="C567" s="245" t="s">
        <v>1745</v>
      </c>
      <c r="D567" s="244" t="s">
        <v>65</v>
      </c>
      <c r="E567" s="244" t="s">
        <v>1746</v>
      </c>
      <c r="F567" s="246" t="s">
        <v>55</v>
      </c>
      <c r="G567" s="259">
        <v>42</v>
      </c>
      <c r="H567" s="247"/>
      <c r="I567" s="247"/>
      <c r="J567" s="247"/>
      <c r="K567" s="247"/>
      <c r="L567" s="247"/>
      <c r="M567" s="247"/>
      <c r="N567" s="247"/>
      <c r="O567" s="248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</row>
    <row r="568" spans="1:36" ht="13.8" x14ac:dyDescent="0.25">
      <c r="A568" s="44"/>
      <c r="B568" s="244" t="s">
        <v>1935</v>
      </c>
      <c r="C568" s="245" t="s">
        <v>1743</v>
      </c>
      <c r="D568" s="244" t="s">
        <v>65</v>
      </c>
      <c r="E568" s="244" t="s">
        <v>1744</v>
      </c>
      <c r="F568" s="246" t="s">
        <v>55</v>
      </c>
      <c r="G568" s="259">
        <v>42</v>
      </c>
      <c r="H568" s="247"/>
      <c r="I568" s="247"/>
      <c r="J568" s="247"/>
      <c r="K568" s="247"/>
      <c r="L568" s="247"/>
      <c r="M568" s="247"/>
      <c r="N568" s="247"/>
      <c r="O568" s="248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</row>
    <row r="569" spans="1:36" ht="13.8" x14ac:dyDescent="0.25">
      <c r="A569" s="44"/>
      <c r="B569" s="244" t="s">
        <v>1936</v>
      </c>
      <c r="C569" s="245" t="s">
        <v>1346</v>
      </c>
      <c r="D569" s="244" t="s">
        <v>44</v>
      </c>
      <c r="E569" s="244" t="s">
        <v>1347</v>
      </c>
      <c r="F569" s="246" t="s">
        <v>55</v>
      </c>
      <c r="G569" s="259">
        <v>42</v>
      </c>
      <c r="H569" s="247"/>
      <c r="I569" s="247"/>
      <c r="J569" s="247"/>
      <c r="K569" s="247"/>
      <c r="L569" s="247"/>
      <c r="M569" s="247"/>
      <c r="N569" s="247"/>
      <c r="O569" s="248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</row>
    <row r="570" spans="1:36" ht="13.8" x14ac:dyDescent="0.25">
      <c r="A570" s="44"/>
      <c r="B570" s="244" t="s">
        <v>1937</v>
      </c>
      <c r="C570" s="245" t="s">
        <v>1149</v>
      </c>
      <c r="D570" s="244" t="s">
        <v>263</v>
      </c>
      <c r="E570" s="244" t="s">
        <v>1893</v>
      </c>
      <c r="F570" s="246" t="s">
        <v>213</v>
      </c>
      <c r="G570" s="259">
        <v>100</v>
      </c>
      <c r="H570" s="247"/>
      <c r="I570" s="247"/>
      <c r="J570" s="247"/>
      <c r="K570" s="247"/>
      <c r="L570" s="247"/>
      <c r="M570" s="247"/>
      <c r="N570" s="247"/>
      <c r="O570" s="248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</row>
    <row r="571" spans="1:36" ht="13.8" x14ac:dyDescent="0.25">
      <c r="A571" s="44"/>
      <c r="B571" s="244" t="s">
        <v>1938</v>
      </c>
      <c r="C571" s="245" t="s">
        <v>1742</v>
      </c>
      <c r="D571" s="244" t="s">
        <v>263</v>
      </c>
      <c r="E571" s="244" t="s">
        <v>1939</v>
      </c>
      <c r="F571" s="246" t="s">
        <v>213</v>
      </c>
      <c r="G571" s="259">
        <v>1</v>
      </c>
      <c r="H571" s="247"/>
      <c r="I571" s="247"/>
      <c r="J571" s="247"/>
      <c r="K571" s="247"/>
      <c r="L571" s="247"/>
      <c r="M571" s="247"/>
      <c r="N571" s="247"/>
      <c r="O571" s="248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</row>
    <row r="572" spans="1:36" ht="13.8" x14ac:dyDescent="0.25">
      <c r="A572" s="44"/>
      <c r="B572" s="244" t="s">
        <v>1940</v>
      </c>
      <c r="C572" s="245" t="s">
        <v>1740</v>
      </c>
      <c r="D572" s="244" t="s">
        <v>65</v>
      </c>
      <c r="E572" s="244" t="s">
        <v>1741</v>
      </c>
      <c r="F572" s="246" t="s">
        <v>55</v>
      </c>
      <c r="G572" s="259">
        <v>176</v>
      </c>
      <c r="H572" s="247"/>
      <c r="I572" s="247"/>
      <c r="J572" s="247"/>
      <c r="K572" s="247"/>
      <c r="L572" s="247"/>
      <c r="M572" s="247"/>
      <c r="N572" s="247"/>
      <c r="O572" s="248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</row>
    <row r="573" spans="1:36" ht="13.8" x14ac:dyDescent="0.25">
      <c r="A573" s="44"/>
      <c r="B573" s="244" t="s">
        <v>1941</v>
      </c>
      <c r="C573" s="245" t="s">
        <v>1738</v>
      </c>
      <c r="D573" s="244" t="s">
        <v>65</v>
      </c>
      <c r="E573" s="244" t="s">
        <v>1739</v>
      </c>
      <c r="F573" s="246" t="s">
        <v>55</v>
      </c>
      <c r="G573" s="259">
        <v>32</v>
      </c>
      <c r="H573" s="247"/>
      <c r="I573" s="247"/>
      <c r="J573" s="247"/>
      <c r="K573" s="247"/>
      <c r="L573" s="247"/>
      <c r="M573" s="247"/>
      <c r="N573" s="247"/>
      <c r="O573" s="248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</row>
    <row r="574" spans="1:36" ht="13.8" x14ac:dyDescent="0.25">
      <c r="A574" s="44"/>
      <c r="B574" s="244" t="s">
        <v>1942</v>
      </c>
      <c r="C574" s="245" t="s">
        <v>1736</v>
      </c>
      <c r="D574" s="244" t="s">
        <v>65</v>
      </c>
      <c r="E574" s="244" t="s">
        <v>1737</v>
      </c>
      <c r="F574" s="246" t="s">
        <v>55</v>
      </c>
      <c r="G574" s="259">
        <v>36</v>
      </c>
      <c r="H574" s="247"/>
      <c r="I574" s="247"/>
      <c r="J574" s="247"/>
      <c r="K574" s="247"/>
      <c r="L574" s="247"/>
      <c r="M574" s="247"/>
      <c r="N574" s="247"/>
      <c r="O574" s="248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</row>
    <row r="575" spans="1:36" ht="13.8" x14ac:dyDescent="0.25">
      <c r="A575" s="44"/>
      <c r="B575" s="244" t="s">
        <v>1943</v>
      </c>
      <c r="C575" s="245" t="s">
        <v>1734</v>
      </c>
      <c r="D575" s="244" t="s">
        <v>65</v>
      </c>
      <c r="E575" s="244" t="s">
        <v>1735</v>
      </c>
      <c r="F575" s="246" t="s">
        <v>55</v>
      </c>
      <c r="G575" s="259">
        <v>93</v>
      </c>
      <c r="H575" s="247"/>
      <c r="I575" s="247"/>
      <c r="J575" s="247"/>
      <c r="K575" s="247"/>
      <c r="L575" s="247"/>
      <c r="M575" s="247"/>
      <c r="N575" s="247"/>
      <c r="O575" s="248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</row>
    <row r="576" spans="1:36" ht="13.8" x14ac:dyDescent="0.25">
      <c r="A576" s="44"/>
      <c r="B576" s="244" t="s">
        <v>1944</v>
      </c>
      <c r="C576" s="245" t="s">
        <v>1732</v>
      </c>
      <c r="D576" s="244" t="s">
        <v>65</v>
      </c>
      <c r="E576" s="244" t="s">
        <v>1733</v>
      </c>
      <c r="F576" s="246" t="s">
        <v>55</v>
      </c>
      <c r="G576" s="259">
        <v>5</v>
      </c>
      <c r="H576" s="247"/>
      <c r="I576" s="247"/>
      <c r="J576" s="247"/>
      <c r="K576" s="247"/>
      <c r="L576" s="247"/>
      <c r="M576" s="247"/>
      <c r="N576" s="247"/>
      <c r="O576" s="248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</row>
    <row r="577" spans="1:36" ht="13.8" x14ac:dyDescent="0.25">
      <c r="A577" s="44"/>
      <c r="B577" s="244" t="s">
        <v>1945</v>
      </c>
      <c r="C577" s="245" t="s">
        <v>1730</v>
      </c>
      <c r="D577" s="244" t="s">
        <v>65</v>
      </c>
      <c r="E577" s="244" t="s">
        <v>1731</v>
      </c>
      <c r="F577" s="246" t="s">
        <v>55</v>
      </c>
      <c r="G577" s="259">
        <v>2</v>
      </c>
      <c r="H577" s="247"/>
      <c r="I577" s="247"/>
      <c r="J577" s="247"/>
      <c r="K577" s="247"/>
      <c r="L577" s="247"/>
      <c r="M577" s="247"/>
      <c r="N577" s="247"/>
      <c r="O577" s="248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</row>
    <row r="578" spans="1:36" ht="13.8" x14ac:dyDescent="0.25">
      <c r="A578" s="44"/>
      <c r="B578" s="244" t="s">
        <v>1946</v>
      </c>
      <c r="C578" s="245" t="s">
        <v>1728</v>
      </c>
      <c r="D578" s="244" t="s">
        <v>65</v>
      </c>
      <c r="E578" s="244" t="s">
        <v>1729</v>
      </c>
      <c r="F578" s="246" t="s">
        <v>55</v>
      </c>
      <c r="G578" s="259">
        <v>1</v>
      </c>
      <c r="H578" s="247"/>
      <c r="I578" s="247"/>
      <c r="J578" s="247"/>
      <c r="K578" s="247"/>
      <c r="L578" s="247"/>
      <c r="M578" s="247"/>
      <c r="N578" s="247"/>
      <c r="O578" s="248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</row>
    <row r="579" spans="1:36" ht="13.8" x14ac:dyDescent="0.25">
      <c r="A579" s="44"/>
      <c r="B579" s="244" t="s">
        <v>1947</v>
      </c>
      <c r="C579" s="245" t="s">
        <v>1722</v>
      </c>
      <c r="D579" s="244" t="s">
        <v>182</v>
      </c>
      <c r="E579" s="244" t="s">
        <v>1723</v>
      </c>
      <c r="F579" s="246" t="s">
        <v>324</v>
      </c>
      <c r="G579" s="259">
        <v>130</v>
      </c>
      <c r="H579" s="247"/>
      <c r="I579" s="247"/>
      <c r="J579" s="247"/>
      <c r="K579" s="247"/>
      <c r="L579" s="247"/>
      <c r="M579" s="247"/>
      <c r="N579" s="247"/>
      <c r="O579" s="248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</row>
    <row r="580" spans="1:36" ht="13.8" x14ac:dyDescent="0.25">
      <c r="A580" s="44"/>
      <c r="B580" s="244" t="s">
        <v>1948</v>
      </c>
      <c r="C580" s="245" t="s">
        <v>1726</v>
      </c>
      <c r="D580" s="244" t="s">
        <v>182</v>
      </c>
      <c r="E580" s="244" t="s">
        <v>1727</v>
      </c>
      <c r="F580" s="246" t="s">
        <v>324</v>
      </c>
      <c r="G580" s="259">
        <v>1350</v>
      </c>
      <c r="H580" s="247"/>
      <c r="I580" s="247"/>
      <c r="J580" s="247"/>
      <c r="K580" s="247"/>
      <c r="L580" s="247"/>
      <c r="M580" s="247"/>
      <c r="N580" s="247"/>
      <c r="O580" s="248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</row>
    <row r="581" spans="1:36" ht="13.8" x14ac:dyDescent="0.25">
      <c r="A581" s="44"/>
      <c r="B581" s="244" t="s">
        <v>1949</v>
      </c>
      <c r="C581" s="245" t="s">
        <v>1720</v>
      </c>
      <c r="D581" s="244" t="s">
        <v>182</v>
      </c>
      <c r="E581" s="244" t="s">
        <v>1721</v>
      </c>
      <c r="F581" s="246" t="s">
        <v>324</v>
      </c>
      <c r="G581" s="259">
        <v>250</v>
      </c>
      <c r="H581" s="247"/>
      <c r="I581" s="247"/>
      <c r="J581" s="247"/>
      <c r="K581" s="247"/>
      <c r="L581" s="247"/>
      <c r="M581" s="247"/>
      <c r="N581" s="247"/>
      <c r="O581" s="248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</row>
    <row r="582" spans="1:36" ht="13.8" x14ac:dyDescent="0.25">
      <c r="A582" s="44"/>
      <c r="B582" s="244" t="s">
        <v>1950</v>
      </c>
      <c r="C582" s="245" t="s">
        <v>1718</v>
      </c>
      <c r="D582" s="244" t="s">
        <v>182</v>
      </c>
      <c r="E582" s="244" t="s">
        <v>1719</v>
      </c>
      <c r="F582" s="246" t="s">
        <v>324</v>
      </c>
      <c r="G582" s="259">
        <v>555</v>
      </c>
      <c r="H582" s="247"/>
      <c r="I582" s="247"/>
      <c r="J582" s="247"/>
      <c r="K582" s="247"/>
      <c r="L582" s="247"/>
      <c r="M582" s="247"/>
      <c r="N582" s="247"/>
      <c r="O582" s="248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</row>
    <row r="583" spans="1:36" ht="27.6" x14ac:dyDescent="0.25">
      <c r="A583" s="44"/>
      <c r="B583" s="244" t="s">
        <v>1951</v>
      </c>
      <c r="C583" s="245" t="s">
        <v>1716</v>
      </c>
      <c r="D583" s="244" t="s">
        <v>44</v>
      </c>
      <c r="E583" s="244" t="s">
        <v>1717</v>
      </c>
      <c r="F583" s="246" t="s">
        <v>71</v>
      </c>
      <c r="G583" s="259">
        <v>1242</v>
      </c>
      <c r="H583" s="247"/>
      <c r="I583" s="247"/>
      <c r="J583" s="247"/>
      <c r="K583" s="247"/>
      <c r="L583" s="247"/>
      <c r="M583" s="247"/>
      <c r="N583" s="247"/>
      <c r="O583" s="248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</row>
    <row r="584" spans="1:36" ht="27.6" x14ac:dyDescent="0.25">
      <c r="A584" s="44"/>
      <c r="B584" s="244" t="s">
        <v>1952</v>
      </c>
      <c r="C584" s="245" t="s">
        <v>1714</v>
      </c>
      <c r="D584" s="244" t="s">
        <v>44</v>
      </c>
      <c r="E584" s="244" t="s">
        <v>1715</v>
      </c>
      <c r="F584" s="246" t="s">
        <v>71</v>
      </c>
      <c r="G584" s="259">
        <v>214</v>
      </c>
      <c r="H584" s="247"/>
      <c r="I584" s="247"/>
      <c r="J584" s="247"/>
      <c r="K584" s="247"/>
      <c r="L584" s="247"/>
      <c r="M584" s="247"/>
      <c r="N584" s="247"/>
      <c r="O584" s="248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</row>
    <row r="585" spans="1:36" ht="27.6" x14ac:dyDescent="0.25">
      <c r="A585" s="44"/>
      <c r="B585" s="244" t="s">
        <v>1953</v>
      </c>
      <c r="C585" s="245" t="s">
        <v>1712</v>
      </c>
      <c r="D585" s="244" t="s">
        <v>44</v>
      </c>
      <c r="E585" s="244" t="s">
        <v>1713</v>
      </c>
      <c r="F585" s="246" t="s">
        <v>71</v>
      </c>
      <c r="G585" s="259">
        <v>120</v>
      </c>
      <c r="H585" s="247"/>
      <c r="I585" s="247"/>
      <c r="J585" s="247"/>
      <c r="K585" s="247"/>
      <c r="L585" s="247"/>
      <c r="M585" s="247"/>
      <c r="N585" s="247"/>
      <c r="O585" s="248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</row>
    <row r="586" spans="1:36" ht="27.6" x14ac:dyDescent="0.25">
      <c r="A586" s="44"/>
      <c r="B586" s="244" t="s">
        <v>1954</v>
      </c>
      <c r="C586" s="245" t="s">
        <v>1710</v>
      </c>
      <c r="D586" s="244" t="s">
        <v>44</v>
      </c>
      <c r="E586" s="244" t="s">
        <v>1711</v>
      </c>
      <c r="F586" s="246" t="s">
        <v>71</v>
      </c>
      <c r="G586" s="259">
        <v>246</v>
      </c>
      <c r="H586" s="247"/>
      <c r="I586" s="247"/>
      <c r="J586" s="247"/>
      <c r="K586" s="247"/>
      <c r="L586" s="247"/>
      <c r="M586" s="247"/>
      <c r="N586" s="247"/>
      <c r="O586" s="248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</row>
    <row r="587" spans="1:36" ht="27.6" x14ac:dyDescent="0.25">
      <c r="A587" s="44"/>
      <c r="B587" s="244" t="s">
        <v>1955</v>
      </c>
      <c r="C587" s="245" t="s">
        <v>1708</v>
      </c>
      <c r="D587" s="244" t="s">
        <v>44</v>
      </c>
      <c r="E587" s="244" t="s">
        <v>1709</v>
      </c>
      <c r="F587" s="246" t="s">
        <v>71</v>
      </c>
      <c r="G587" s="259">
        <v>234</v>
      </c>
      <c r="H587" s="247"/>
      <c r="I587" s="247"/>
      <c r="J587" s="247"/>
      <c r="K587" s="247"/>
      <c r="L587" s="247"/>
      <c r="M587" s="247"/>
      <c r="N587" s="247"/>
      <c r="O587" s="248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</row>
    <row r="588" spans="1:36" ht="27.6" x14ac:dyDescent="0.25">
      <c r="A588" s="44"/>
      <c r="B588" s="244" t="s">
        <v>1956</v>
      </c>
      <c r="C588" s="245" t="s">
        <v>1706</v>
      </c>
      <c r="D588" s="244" t="s">
        <v>44</v>
      </c>
      <c r="E588" s="244" t="s">
        <v>1707</v>
      </c>
      <c r="F588" s="246" t="s">
        <v>71</v>
      </c>
      <c r="G588" s="259">
        <v>74</v>
      </c>
      <c r="H588" s="247"/>
      <c r="I588" s="247"/>
      <c r="J588" s="247"/>
      <c r="K588" s="247"/>
      <c r="L588" s="247"/>
      <c r="M588" s="247"/>
      <c r="N588" s="247"/>
      <c r="O588" s="248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</row>
    <row r="589" spans="1:36" ht="13.8" x14ac:dyDescent="0.25">
      <c r="A589" s="44"/>
      <c r="B589" s="244" t="s">
        <v>1957</v>
      </c>
      <c r="C589" s="245" t="s">
        <v>1705</v>
      </c>
      <c r="D589" s="244" t="s">
        <v>263</v>
      </c>
      <c r="E589" s="244" t="s">
        <v>1958</v>
      </c>
      <c r="F589" s="246" t="s">
        <v>324</v>
      </c>
      <c r="G589" s="259">
        <v>58</v>
      </c>
      <c r="H589" s="247"/>
      <c r="I589" s="247"/>
      <c r="J589" s="247"/>
      <c r="K589" s="247"/>
      <c r="L589" s="247"/>
      <c r="M589" s="247"/>
      <c r="N589" s="247"/>
      <c r="O589" s="248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</row>
    <row r="590" spans="1:36" ht="13.8" x14ac:dyDescent="0.25">
      <c r="A590" s="44"/>
      <c r="B590" s="244" t="s">
        <v>1959</v>
      </c>
      <c r="C590" s="245" t="s">
        <v>1704</v>
      </c>
      <c r="D590" s="244" t="s">
        <v>263</v>
      </c>
      <c r="E590" s="244" t="s">
        <v>1960</v>
      </c>
      <c r="F590" s="246" t="s">
        <v>324</v>
      </c>
      <c r="G590" s="259">
        <v>146</v>
      </c>
      <c r="H590" s="247"/>
      <c r="I590" s="247"/>
      <c r="J590" s="247"/>
      <c r="K590" s="247"/>
      <c r="L590" s="247"/>
      <c r="M590" s="247"/>
      <c r="N590" s="247"/>
      <c r="O590" s="248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</row>
    <row r="591" spans="1:36" ht="13.8" x14ac:dyDescent="0.25">
      <c r="A591" s="44"/>
      <c r="B591" s="244" t="s">
        <v>1961</v>
      </c>
      <c r="C591" s="245" t="s">
        <v>1702</v>
      </c>
      <c r="D591" s="244" t="s">
        <v>65</v>
      </c>
      <c r="E591" s="244" t="s">
        <v>1703</v>
      </c>
      <c r="F591" s="246" t="s">
        <v>71</v>
      </c>
      <c r="G591" s="259">
        <v>42</v>
      </c>
      <c r="H591" s="247"/>
      <c r="I591" s="247"/>
      <c r="J591" s="247"/>
      <c r="K591" s="247"/>
      <c r="L591" s="247"/>
      <c r="M591" s="247"/>
      <c r="N591" s="247"/>
      <c r="O591" s="248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</row>
    <row r="592" spans="1:36" ht="13.8" x14ac:dyDescent="0.25">
      <c r="A592" s="44"/>
      <c r="B592" s="244" t="s">
        <v>1962</v>
      </c>
      <c r="C592" s="245" t="s">
        <v>1700</v>
      </c>
      <c r="D592" s="244" t="s">
        <v>65</v>
      </c>
      <c r="E592" s="244" t="s">
        <v>1701</v>
      </c>
      <c r="F592" s="246" t="s">
        <v>71</v>
      </c>
      <c r="G592" s="259">
        <v>16</v>
      </c>
      <c r="H592" s="247"/>
      <c r="I592" s="247"/>
      <c r="J592" s="247"/>
      <c r="K592" s="247"/>
      <c r="L592" s="247"/>
      <c r="M592" s="247"/>
      <c r="N592" s="247"/>
      <c r="O592" s="248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</row>
    <row r="593" spans="1:36" ht="13.8" x14ac:dyDescent="0.25">
      <c r="A593" s="44"/>
      <c r="B593" s="244" t="s">
        <v>1963</v>
      </c>
      <c r="C593" s="245" t="s">
        <v>1698</v>
      </c>
      <c r="D593" s="244" t="s">
        <v>65</v>
      </c>
      <c r="E593" s="244" t="s">
        <v>1699</v>
      </c>
      <c r="F593" s="246" t="s">
        <v>71</v>
      </c>
      <c r="G593" s="259">
        <v>30</v>
      </c>
      <c r="H593" s="247"/>
      <c r="I593" s="247"/>
      <c r="J593" s="247"/>
      <c r="K593" s="247"/>
      <c r="L593" s="247"/>
      <c r="M593" s="247"/>
      <c r="N593" s="247"/>
      <c r="O593" s="248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</row>
    <row r="594" spans="1:36" ht="13.8" x14ac:dyDescent="0.25">
      <c r="A594" s="44"/>
      <c r="B594" s="244" t="s">
        <v>1964</v>
      </c>
      <c r="C594" s="245" t="s">
        <v>1696</v>
      </c>
      <c r="D594" s="244" t="s">
        <v>65</v>
      </c>
      <c r="E594" s="244" t="s">
        <v>1697</v>
      </c>
      <c r="F594" s="246" t="s">
        <v>71</v>
      </c>
      <c r="G594" s="259">
        <v>138</v>
      </c>
      <c r="H594" s="247"/>
      <c r="I594" s="247"/>
      <c r="J594" s="247"/>
      <c r="K594" s="247"/>
      <c r="L594" s="247"/>
      <c r="M594" s="247"/>
      <c r="N594" s="247"/>
      <c r="O594" s="248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</row>
    <row r="595" spans="1:36" ht="13.8" x14ac:dyDescent="0.25">
      <c r="A595" s="44"/>
      <c r="B595" s="244" t="s">
        <v>1965</v>
      </c>
      <c r="C595" s="245" t="s">
        <v>1694</v>
      </c>
      <c r="D595" s="244" t="s">
        <v>65</v>
      </c>
      <c r="E595" s="244" t="s">
        <v>1695</v>
      </c>
      <c r="F595" s="246" t="s">
        <v>71</v>
      </c>
      <c r="G595" s="259">
        <v>36</v>
      </c>
      <c r="H595" s="247"/>
      <c r="I595" s="247"/>
      <c r="J595" s="247"/>
      <c r="K595" s="247"/>
      <c r="L595" s="247"/>
      <c r="M595" s="247"/>
      <c r="N595" s="247"/>
      <c r="O595" s="248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</row>
    <row r="596" spans="1:36" ht="41.4" x14ac:dyDescent="0.25">
      <c r="A596" s="44"/>
      <c r="B596" s="244" t="s">
        <v>1966</v>
      </c>
      <c r="C596" s="245" t="s">
        <v>1692</v>
      </c>
      <c r="D596" s="244" t="s">
        <v>864</v>
      </c>
      <c r="E596" s="244" t="s">
        <v>1693</v>
      </c>
      <c r="F596" s="246" t="s">
        <v>82</v>
      </c>
      <c r="G596" s="259">
        <v>2866</v>
      </c>
      <c r="H596" s="247"/>
      <c r="I596" s="247"/>
      <c r="J596" s="247"/>
      <c r="K596" s="247"/>
      <c r="L596" s="247"/>
      <c r="M596" s="247"/>
      <c r="N596" s="247"/>
      <c r="O596" s="248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</row>
    <row r="597" spans="1:36" ht="55.2" x14ac:dyDescent="0.25">
      <c r="A597" s="44"/>
      <c r="B597" s="244" t="s">
        <v>1967</v>
      </c>
      <c r="C597" s="245" t="s">
        <v>1690</v>
      </c>
      <c r="D597" s="244" t="s">
        <v>864</v>
      </c>
      <c r="E597" s="244" t="s">
        <v>1691</v>
      </c>
      <c r="F597" s="246" t="s">
        <v>82</v>
      </c>
      <c r="G597" s="259">
        <v>5564</v>
      </c>
      <c r="H597" s="247"/>
      <c r="I597" s="247"/>
      <c r="J597" s="247"/>
      <c r="K597" s="247"/>
      <c r="L597" s="247"/>
      <c r="M597" s="247"/>
      <c r="N597" s="247"/>
      <c r="O597" s="248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</row>
    <row r="598" spans="1:36" ht="27.6" x14ac:dyDescent="0.25">
      <c r="A598" s="44"/>
      <c r="B598" s="244" t="s">
        <v>1968</v>
      </c>
      <c r="C598" s="245" t="s">
        <v>332</v>
      </c>
      <c r="D598" s="244" t="s">
        <v>44</v>
      </c>
      <c r="E598" s="244" t="s">
        <v>333</v>
      </c>
      <c r="F598" s="246" t="s">
        <v>45</v>
      </c>
      <c r="G598" s="259">
        <v>5.7362500000000001</v>
      </c>
      <c r="H598" s="247"/>
      <c r="I598" s="247"/>
      <c r="J598" s="247"/>
      <c r="K598" s="247"/>
      <c r="L598" s="247"/>
      <c r="M598" s="247"/>
      <c r="N598" s="247"/>
      <c r="O598" s="248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</row>
    <row r="599" spans="1:36" ht="13.8" x14ac:dyDescent="0.25">
      <c r="A599" s="44"/>
      <c r="B599" s="244" t="s">
        <v>1969</v>
      </c>
      <c r="C599" s="245" t="s">
        <v>1688</v>
      </c>
      <c r="D599" s="244" t="s">
        <v>65</v>
      </c>
      <c r="E599" s="244" t="s">
        <v>1689</v>
      </c>
      <c r="F599" s="246" t="s">
        <v>55</v>
      </c>
      <c r="G599" s="259">
        <v>3</v>
      </c>
      <c r="H599" s="247"/>
      <c r="I599" s="247"/>
      <c r="J599" s="247"/>
      <c r="K599" s="247"/>
      <c r="L599" s="247"/>
      <c r="M599" s="247"/>
      <c r="N599" s="247"/>
      <c r="O599" s="248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</row>
    <row r="600" spans="1:36" ht="13.8" x14ac:dyDescent="0.25">
      <c r="A600" s="44"/>
      <c r="B600" s="244" t="s">
        <v>1970</v>
      </c>
      <c r="C600" s="245" t="s">
        <v>1686</v>
      </c>
      <c r="D600" s="244" t="s">
        <v>65</v>
      </c>
      <c r="E600" s="244" t="s">
        <v>1687</v>
      </c>
      <c r="F600" s="246" t="s">
        <v>55</v>
      </c>
      <c r="G600" s="259">
        <v>8</v>
      </c>
      <c r="H600" s="247"/>
      <c r="I600" s="247"/>
      <c r="J600" s="247"/>
      <c r="K600" s="247"/>
      <c r="L600" s="247"/>
      <c r="M600" s="247"/>
      <c r="N600" s="247"/>
      <c r="O600" s="248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</row>
    <row r="601" spans="1:36" ht="13.8" x14ac:dyDescent="0.25">
      <c r="A601" s="44"/>
      <c r="B601" s="244" t="s">
        <v>1971</v>
      </c>
      <c r="C601" s="245" t="s">
        <v>1684</v>
      </c>
      <c r="D601" s="244" t="s">
        <v>65</v>
      </c>
      <c r="E601" s="244" t="s">
        <v>1685</v>
      </c>
      <c r="F601" s="246" t="s">
        <v>55</v>
      </c>
      <c r="G601" s="259">
        <v>9</v>
      </c>
      <c r="H601" s="247"/>
      <c r="I601" s="247"/>
      <c r="J601" s="247"/>
      <c r="K601" s="247"/>
      <c r="L601" s="247"/>
      <c r="M601" s="247"/>
      <c r="N601" s="247"/>
      <c r="O601" s="248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</row>
    <row r="602" spans="1:36" ht="13.8" x14ac:dyDescent="0.25">
      <c r="A602" s="44"/>
      <c r="B602" s="244" t="s">
        <v>1972</v>
      </c>
      <c r="C602" s="245" t="s">
        <v>1682</v>
      </c>
      <c r="D602" s="244" t="s">
        <v>65</v>
      </c>
      <c r="E602" s="244" t="s">
        <v>1683</v>
      </c>
      <c r="F602" s="246" t="s">
        <v>55</v>
      </c>
      <c r="G602" s="259">
        <v>14</v>
      </c>
      <c r="H602" s="247"/>
      <c r="I602" s="247"/>
      <c r="J602" s="247"/>
      <c r="K602" s="247"/>
      <c r="L602" s="247"/>
      <c r="M602" s="247"/>
      <c r="N602" s="247"/>
      <c r="O602" s="248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</row>
    <row r="603" spans="1:36" ht="13.8" x14ac:dyDescent="0.25">
      <c r="A603" s="44"/>
      <c r="B603" s="244" t="s">
        <v>1973</v>
      </c>
      <c r="C603" s="245" t="s">
        <v>1680</v>
      </c>
      <c r="D603" s="244" t="s">
        <v>65</v>
      </c>
      <c r="E603" s="244" t="s">
        <v>1681</v>
      </c>
      <c r="F603" s="246" t="s">
        <v>55</v>
      </c>
      <c r="G603" s="259">
        <v>6</v>
      </c>
      <c r="H603" s="247"/>
      <c r="I603" s="247"/>
      <c r="J603" s="247"/>
      <c r="K603" s="247"/>
      <c r="L603" s="247"/>
      <c r="M603" s="247"/>
      <c r="N603" s="247"/>
      <c r="O603" s="248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</row>
    <row r="604" spans="1:36" ht="13.8" x14ac:dyDescent="0.25">
      <c r="A604" s="44"/>
      <c r="B604" s="244" t="s">
        <v>1974</v>
      </c>
      <c r="C604" s="245" t="s">
        <v>1678</v>
      </c>
      <c r="D604" s="244" t="s">
        <v>65</v>
      </c>
      <c r="E604" s="244" t="s">
        <v>1679</v>
      </c>
      <c r="F604" s="246" t="s">
        <v>55</v>
      </c>
      <c r="G604" s="259">
        <v>20</v>
      </c>
      <c r="H604" s="247"/>
      <c r="I604" s="247"/>
      <c r="J604" s="247"/>
      <c r="K604" s="247"/>
      <c r="L604" s="247"/>
      <c r="M604" s="247"/>
      <c r="N604" s="247"/>
      <c r="O604" s="248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</row>
    <row r="605" spans="1:36" ht="13.8" x14ac:dyDescent="0.25">
      <c r="A605" s="44"/>
      <c r="B605" s="244" t="s">
        <v>1975</v>
      </c>
      <c r="C605" s="245" t="s">
        <v>1676</v>
      </c>
      <c r="D605" s="244" t="s">
        <v>65</v>
      </c>
      <c r="E605" s="244" t="s">
        <v>1677</v>
      </c>
      <c r="F605" s="246" t="s">
        <v>55</v>
      </c>
      <c r="G605" s="259">
        <v>16</v>
      </c>
      <c r="H605" s="247"/>
      <c r="I605" s="247"/>
      <c r="J605" s="247"/>
      <c r="K605" s="247"/>
      <c r="L605" s="247"/>
      <c r="M605" s="247"/>
      <c r="N605" s="247"/>
      <c r="O605" s="248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</row>
    <row r="606" spans="1:36" ht="13.8" x14ac:dyDescent="0.25">
      <c r="A606" s="44"/>
      <c r="B606" s="244" t="s">
        <v>1976</v>
      </c>
      <c r="C606" s="245" t="s">
        <v>1674</v>
      </c>
      <c r="D606" s="244" t="s">
        <v>65</v>
      </c>
      <c r="E606" s="244" t="s">
        <v>1675</v>
      </c>
      <c r="F606" s="246" t="s">
        <v>55</v>
      </c>
      <c r="G606" s="259">
        <v>19</v>
      </c>
      <c r="H606" s="247"/>
      <c r="I606" s="247"/>
      <c r="J606" s="247"/>
      <c r="K606" s="247"/>
      <c r="L606" s="247"/>
      <c r="M606" s="247"/>
      <c r="N606" s="247"/>
      <c r="O606" s="248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</row>
    <row r="607" spans="1:36" ht="13.8" x14ac:dyDescent="0.25">
      <c r="A607" s="44"/>
      <c r="B607" s="244" t="s">
        <v>1977</v>
      </c>
      <c r="C607" s="245" t="s">
        <v>1724</v>
      </c>
      <c r="D607" s="244" t="s">
        <v>182</v>
      </c>
      <c r="E607" s="244" t="s">
        <v>1725</v>
      </c>
      <c r="F607" s="246" t="s">
        <v>324</v>
      </c>
      <c r="G607" s="259">
        <v>220</v>
      </c>
      <c r="H607" s="247"/>
      <c r="I607" s="247"/>
      <c r="J607" s="247"/>
      <c r="K607" s="247"/>
      <c r="L607" s="247"/>
      <c r="M607" s="247"/>
      <c r="N607" s="247"/>
      <c r="O607" s="248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</row>
    <row r="608" spans="1:36" ht="13.8" x14ac:dyDescent="0.25">
      <c r="A608" s="44"/>
      <c r="B608" s="244" t="s">
        <v>1978</v>
      </c>
      <c r="C608" s="245" t="s">
        <v>1672</v>
      </c>
      <c r="D608" s="244" t="s">
        <v>65</v>
      </c>
      <c r="E608" s="244" t="s">
        <v>1673</v>
      </c>
      <c r="F608" s="246" t="s">
        <v>55</v>
      </c>
      <c r="G608" s="259">
        <v>65</v>
      </c>
      <c r="H608" s="247"/>
      <c r="I608" s="247"/>
      <c r="J608" s="247"/>
      <c r="K608" s="247"/>
      <c r="L608" s="247"/>
      <c r="M608" s="247"/>
      <c r="N608" s="247"/>
      <c r="O608" s="248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  <c r="AJ608" s="44"/>
    </row>
    <row r="609" spans="1:36" ht="27.6" x14ac:dyDescent="0.25">
      <c r="A609" s="44"/>
      <c r="B609" s="244" t="s">
        <v>2216</v>
      </c>
      <c r="C609" s="245" t="s">
        <v>2217</v>
      </c>
      <c r="D609" s="244" t="s">
        <v>44</v>
      </c>
      <c r="E609" s="244" t="s">
        <v>2218</v>
      </c>
      <c r="F609" s="246" t="s">
        <v>55</v>
      </c>
      <c r="G609" s="259">
        <v>1</v>
      </c>
      <c r="H609" s="247"/>
      <c r="I609" s="247"/>
      <c r="J609" s="247"/>
      <c r="K609" s="247"/>
      <c r="L609" s="247"/>
      <c r="M609" s="247"/>
      <c r="N609" s="247"/>
      <c r="O609" s="248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</row>
    <row r="610" spans="1:36" ht="13.8" x14ac:dyDescent="0.25">
      <c r="A610" s="44"/>
      <c r="B610" s="240" t="s">
        <v>412</v>
      </c>
      <c r="C610" s="240"/>
      <c r="D610" s="240"/>
      <c r="E610" s="240" t="s">
        <v>919</v>
      </c>
      <c r="F610" s="240"/>
      <c r="G610" s="258"/>
      <c r="H610" s="241"/>
      <c r="I610" s="240"/>
      <c r="J610" s="240"/>
      <c r="K610" s="240"/>
      <c r="L610" s="240"/>
      <c r="M610" s="240"/>
      <c r="N610" s="242"/>
      <c r="O610" s="243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</row>
    <row r="611" spans="1:36" ht="27.6" x14ac:dyDescent="0.25">
      <c r="A611" s="44"/>
      <c r="B611" s="244" t="s">
        <v>1979</v>
      </c>
      <c r="C611" s="245" t="s">
        <v>2219</v>
      </c>
      <c r="D611" s="244" t="s">
        <v>263</v>
      </c>
      <c r="E611" s="244" t="s">
        <v>2220</v>
      </c>
      <c r="F611" s="246" t="s">
        <v>213</v>
      </c>
      <c r="G611" s="259">
        <v>1</v>
      </c>
      <c r="H611" s="247"/>
      <c r="I611" s="247"/>
      <c r="J611" s="247"/>
      <c r="K611" s="247"/>
      <c r="L611" s="247"/>
      <c r="M611" s="247"/>
      <c r="N611" s="247"/>
      <c r="O611" s="248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</row>
    <row r="612" spans="1:36" ht="13.8" x14ac:dyDescent="0.25">
      <c r="A612" s="44"/>
      <c r="B612" s="244" t="s">
        <v>1980</v>
      </c>
      <c r="C612" s="245" t="s">
        <v>2312</v>
      </c>
      <c r="D612" s="244" t="s">
        <v>263</v>
      </c>
      <c r="E612" s="244" t="s">
        <v>2313</v>
      </c>
      <c r="F612" s="246" t="s">
        <v>213</v>
      </c>
      <c r="G612" s="259">
        <v>1</v>
      </c>
      <c r="H612" s="247"/>
      <c r="I612" s="247"/>
      <c r="J612" s="247"/>
      <c r="K612" s="247"/>
      <c r="L612" s="247"/>
      <c r="M612" s="247"/>
      <c r="N612" s="247"/>
      <c r="O612" s="248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</row>
    <row r="613" spans="1:36" ht="13.8" x14ac:dyDescent="0.25">
      <c r="A613" s="44"/>
      <c r="B613" s="244" t="s">
        <v>1981</v>
      </c>
      <c r="C613" s="245" t="s">
        <v>2221</v>
      </c>
      <c r="D613" s="244" t="s">
        <v>263</v>
      </c>
      <c r="E613" s="244" t="s">
        <v>2222</v>
      </c>
      <c r="F613" s="246" t="s">
        <v>213</v>
      </c>
      <c r="G613" s="259">
        <v>3</v>
      </c>
      <c r="H613" s="247"/>
      <c r="I613" s="247"/>
      <c r="J613" s="247"/>
      <c r="K613" s="247"/>
      <c r="L613" s="247"/>
      <c r="M613" s="247"/>
      <c r="N613" s="247"/>
      <c r="O613" s="248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</row>
    <row r="614" spans="1:36" ht="55.2" x14ac:dyDescent="0.25">
      <c r="A614" s="44"/>
      <c r="B614" s="244" t="s">
        <v>1984</v>
      </c>
      <c r="C614" s="245" t="s">
        <v>1982</v>
      </c>
      <c r="D614" s="244" t="s">
        <v>121</v>
      </c>
      <c r="E614" s="244" t="s">
        <v>1983</v>
      </c>
      <c r="F614" s="246" t="s">
        <v>55</v>
      </c>
      <c r="G614" s="259">
        <v>1</v>
      </c>
      <c r="H614" s="247"/>
      <c r="I614" s="247"/>
      <c r="J614" s="247"/>
      <c r="K614" s="247"/>
      <c r="L614" s="247"/>
      <c r="M614" s="247"/>
      <c r="N614" s="247"/>
      <c r="O614" s="248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</row>
    <row r="615" spans="1:36" ht="27.6" x14ac:dyDescent="0.25">
      <c r="A615" s="44"/>
      <c r="B615" s="244" t="s">
        <v>1985</v>
      </c>
      <c r="C615" s="245" t="s">
        <v>2223</v>
      </c>
      <c r="D615" s="244" t="s">
        <v>263</v>
      </c>
      <c r="E615" s="244" t="s">
        <v>2224</v>
      </c>
      <c r="F615" s="246" t="s">
        <v>213</v>
      </c>
      <c r="G615" s="259">
        <v>1</v>
      </c>
      <c r="H615" s="247"/>
      <c r="I615" s="247"/>
      <c r="J615" s="247"/>
      <c r="K615" s="247"/>
      <c r="L615" s="247"/>
      <c r="M615" s="247"/>
      <c r="N615" s="247"/>
      <c r="O615" s="248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</row>
    <row r="616" spans="1:36" ht="55.2" x14ac:dyDescent="0.25">
      <c r="A616" s="44"/>
      <c r="B616" s="244" t="s">
        <v>1988</v>
      </c>
      <c r="C616" s="245" t="s">
        <v>1986</v>
      </c>
      <c r="D616" s="244" t="s">
        <v>121</v>
      </c>
      <c r="E616" s="244" t="s">
        <v>1987</v>
      </c>
      <c r="F616" s="246" t="s">
        <v>55</v>
      </c>
      <c r="G616" s="259">
        <v>2</v>
      </c>
      <c r="H616" s="247"/>
      <c r="I616" s="247"/>
      <c r="J616" s="247"/>
      <c r="K616" s="247"/>
      <c r="L616" s="247"/>
      <c r="M616" s="247"/>
      <c r="N616" s="247"/>
      <c r="O616" s="248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</row>
    <row r="617" spans="1:36" ht="55.2" x14ac:dyDescent="0.25">
      <c r="A617" s="44"/>
      <c r="B617" s="244" t="s">
        <v>1991</v>
      </c>
      <c r="C617" s="245" t="s">
        <v>1989</v>
      </c>
      <c r="D617" s="244" t="s">
        <v>121</v>
      </c>
      <c r="E617" s="244" t="s">
        <v>1990</v>
      </c>
      <c r="F617" s="246" t="s">
        <v>55</v>
      </c>
      <c r="G617" s="259">
        <v>6</v>
      </c>
      <c r="H617" s="247"/>
      <c r="I617" s="247"/>
      <c r="J617" s="247"/>
      <c r="K617" s="247"/>
      <c r="L617" s="247"/>
      <c r="M617" s="247"/>
      <c r="N617" s="247"/>
      <c r="O617" s="248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</row>
    <row r="618" spans="1:36" ht="55.2" x14ac:dyDescent="0.25">
      <c r="A618" s="44"/>
      <c r="B618" s="244" t="s">
        <v>1994</v>
      </c>
      <c r="C618" s="245" t="s">
        <v>1992</v>
      </c>
      <c r="D618" s="244" t="s">
        <v>121</v>
      </c>
      <c r="E618" s="244" t="s">
        <v>1993</v>
      </c>
      <c r="F618" s="246" t="s">
        <v>55</v>
      </c>
      <c r="G618" s="259">
        <v>1</v>
      </c>
      <c r="H618" s="247"/>
      <c r="I618" s="247"/>
      <c r="J618" s="247"/>
      <c r="K618" s="247"/>
      <c r="L618" s="247"/>
      <c r="M618" s="247"/>
      <c r="N618" s="247"/>
      <c r="O618" s="248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</row>
    <row r="619" spans="1:36" ht="55.2" x14ac:dyDescent="0.25">
      <c r="A619" s="44"/>
      <c r="B619" s="244" t="s">
        <v>1997</v>
      </c>
      <c r="C619" s="245" t="s">
        <v>1995</v>
      </c>
      <c r="D619" s="244" t="s">
        <v>121</v>
      </c>
      <c r="E619" s="244" t="s">
        <v>1996</v>
      </c>
      <c r="F619" s="246" t="s">
        <v>55</v>
      </c>
      <c r="G619" s="259">
        <v>1</v>
      </c>
      <c r="H619" s="247"/>
      <c r="I619" s="247"/>
      <c r="J619" s="247"/>
      <c r="K619" s="247"/>
      <c r="L619" s="247"/>
      <c r="M619" s="247"/>
      <c r="N619" s="247"/>
      <c r="O619" s="248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</row>
    <row r="620" spans="1:36" ht="55.2" x14ac:dyDescent="0.25">
      <c r="A620" s="44"/>
      <c r="B620" s="244" t="s">
        <v>2000</v>
      </c>
      <c r="C620" s="245" t="s">
        <v>1998</v>
      </c>
      <c r="D620" s="244" t="s">
        <v>121</v>
      </c>
      <c r="E620" s="244" t="s">
        <v>1999</v>
      </c>
      <c r="F620" s="246" t="s">
        <v>55</v>
      </c>
      <c r="G620" s="259">
        <v>1</v>
      </c>
      <c r="H620" s="247"/>
      <c r="I620" s="247"/>
      <c r="J620" s="247"/>
      <c r="K620" s="247"/>
      <c r="L620" s="247"/>
      <c r="M620" s="247"/>
      <c r="N620" s="247"/>
      <c r="O620" s="248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</row>
    <row r="621" spans="1:36" ht="55.2" x14ac:dyDescent="0.25">
      <c r="A621" s="44"/>
      <c r="B621" s="244" t="s">
        <v>2003</v>
      </c>
      <c r="C621" s="245" t="s">
        <v>2001</v>
      </c>
      <c r="D621" s="244" t="s">
        <v>121</v>
      </c>
      <c r="E621" s="244" t="s">
        <v>2002</v>
      </c>
      <c r="F621" s="246" t="s">
        <v>55</v>
      </c>
      <c r="G621" s="259">
        <v>1</v>
      </c>
      <c r="H621" s="247"/>
      <c r="I621" s="247"/>
      <c r="J621" s="247"/>
      <c r="K621" s="247"/>
      <c r="L621" s="247"/>
      <c r="M621" s="247"/>
      <c r="N621" s="247"/>
      <c r="O621" s="248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</row>
    <row r="622" spans="1:36" ht="13.8" x14ac:dyDescent="0.25">
      <c r="A622" s="44"/>
      <c r="B622" s="244" t="s">
        <v>2004</v>
      </c>
      <c r="C622" s="245" t="s">
        <v>2225</v>
      </c>
      <c r="D622" s="244" t="s">
        <v>263</v>
      </c>
      <c r="E622" s="244" t="s">
        <v>2226</v>
      </c>
      <c r="F622" s="246" t="s">
        <v>55</v>
      </c>
      <c r="G622" s="259">
        <v>5</v>
      </c>
      <c r="H622" s="247"/>
      <c r="I622" s="247"/>
      <c r="J622" s="247"/>
      <c r="K622" s="247"/>
      <c r="L622" s="247"/>
      <c r="M622" s="247"/>
      <c r="N622" s="247"/>
      <c r="O622" s="248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</row>
    <row r="623" spans="1:36" ht="55.2" x14ac:dyDescent="0.25">
      <c r="A623" s="44"/>
      <c r="B623" s="244" t="s">
        <v>2005</v>
      </c>
      <c r="C623" s="245" t="s">
        <v>2007</v>
      </c>
      <c r="D623" s="244" t="s">
        <v>121</v>
      </c>
      <c r="E623" s="244" t="s">
        <v>2008</v>
      </c>
      <c r="F623" s="246" t="s">
        <v>55</v>
      </c>
      <c r="G623" s="259">
        <v>1</v>
      </c>
      <c r="H623" s="247"/>
      <c r="I623" s="247"/>
      <c r="J623" s="247"/>
      <c r="K623" s="247"/>
      <c r="L623" s="247"/>
      <c r="M623" s="247"/>
      <c r="N623" s="247"/>
      <c r="O623" s="248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</row>
    <row r="624" spans="1:36" ht="55.2" x14ac:dyDescent="0.25">
      <c r="A624" s="44"/>
      <c r="B624" s="244" t="s">
        <v>2006</v>
      </c>
      <c r="C624" s="245" t="s">
        <v>2010</v>
      </c>
      <c r="D624" s="244" t="s">
        <v>121</v>
      </c>
      <c r="E624" s="244" t="s">
        <v>2011</v>
      </c>
      <c r="F624" s="246" t="s">
        <v>55</v>
      </c>
      <c r="G624" s="259">
        <v>1</v>
      </c>
      <c r="H624" s="247"/>
      <c r="I624" s="247"/>
      <c r="J624" s="247"/>
      <c r="K624" s="247"/>
      <c r="L624" s="247"/>
      <c r="M624" s="247"/>
      <c r="N624" s="247"/>
      <c r="O624" s="248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</row>
    <row r="625" spans="1:36" ht="41.4" x14ac:dyDescent="0.25">
      <c r="A625" s="44"/>
      <c r="B625" s="244" t="s">
        <v>2009</v>
      </c>
      <c r="C625" s="245" t="s">
        <v>2013</v>
      </c>
      <c r="D625" s="244" t="s">
        <v>121</v>
      </c>
      <c r="E625" s="244" t="s">
        <v>2014</v>
      </c>
      <c r="F625" s="246" t="s">
        <v>55</v>
      </c>
      <c r="G625" s="259">
        <v>1</v>
      </c>
      <c r="H625" s="247"/>
      <c r="I625" s="247"/>
      <c r="J625" s="247"/>
      <c r="K625" s="247"/>
      <c r="L625" s="247"/>
      <c r="M625" s="247"/>
      <c r="N625" s="247"/>
      <c r="O625" s="248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</row>
    <row r="626" spans="1:36" ht="41.4" x14ac:dyDescent="0.25">
      <c r="A626" s="44"/>
      <c r="B626" s="244" t="s">
        <v>2012</v>
      </c>
      <c r="C626" s="245" t="s">
        <v>2016</v>
      </c>
      <c r="D626" s="244" t="s">
        <v>121</v>
      </c>
      <c r="E626" s="244" t="s">
        <v>2017</v>
      </c>
      <c r="F626" s="246" t="s">
        <v>55</v>
      </c>
      <c r="G626" s="259">
        <v>1</v>
      </c>
      <c r="H626" s="247"/>
      <c r="I626" s="247"/>
      <c r="J626" s="247"/>
      <c r="K626" s="247"/>
      <c r="L626" s="247"/>
      <c r="M626" s="247"/>
      <c r="N626" s="247"/>
      <c r="O626" s="248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</row>
    <row r="627" spans="1:36" ht="41.4" x14ac:dyDescent="0.25">
      <c r="A627" s="44"/>
      <c r="B627" s="244" t="s">
        <v>2015</v>
      </c>
      <c r="C627" s="245" t="s">
        <v>2019</v>
      </c>
      <c r="D627" s="244" t="s">
        <v>121</v>
      </c>
      <c r="E627" s="244" t="s">
        <v>2020</v>
      </c>
      <c r="F627" s="246" t="s">
        <v>55</v>
      </c>
      <c r="G627" s="259">
        <v>2</v>
      </c>
      <c r="H627" s="247"/>
      <c r="I627" s="247"/>
      <c r="J627" s="247"/>
      <c r="K627" s="247"/>
      <c r="L627" s="247"/>
      <c r="M627" s="247"/>
      <c r="N627" s="247"/>
      <c r="O627" s="248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</row>
    <row r="628" spans="1:36" ht="41.4" x14ac:dyDescent="0.25">
      <c r="A628" s="44"/>
      <c r="B628" s="244" t="s">
        <v>2018</v>
      </c>
      <c r="C628" s="245" t="s">
        <v>2022</v>
      </c>
      <c r="D628" s="244" t="s">
        <v>121</v>
      </c>
      <c r="E628" s="244" t="s">
        <v>2023</v>
      </c>
      <c r="F628" s="246" t="s">
        <v>55</v>
      </c>
      <c r="G628" s="259">
        <v>2</v>
      </c>
      <c r="H628" s="247"/>
      <c r="I628" s="247"/>
      <c r="J628" s="247"/>
      <c r="K628" s="247"/>
      <c r="L628" s="247"/>
      <c r="M628" s="247"/>
      <c r="N628" s="247"/>
      <c r="O628" s="248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</row>
    <row r="629" spans="1:36" ht="41.4" x14ac:dyDescent="0.25">
      <c r="A629" s="44"/>
      <c r="B629" s="244" t="s">
        <v>2021</v>
      </c>
      <c r="C629" s="245" t="s">
        <v>2025</v>
      </c>
      <c r="D629" s="244" t="s">
        <v>121</v>
      </c>
      <c r="E629" s="244" t="s">
        <v>2026</v>
      </c>
      <c r="F629" s="246" t="s">
        <v>55</v>
      </c>
      <c r="G629" s="259">
        <v>37</v>
      </c>
      <c r="H629" s="247"/>
      <c r="I629" s="247"/>
      <c r="J629" s="247"/>
      <c r="K629" s="247"/>
      <c r="L629" s="247"/>
      <c r="M629" s="247"/>
      <c r="N629" s="247"/>
      <c r="O629" s="248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  <c r="AJ629" s="44"/>
    </row>
    <row r="630" spans="1:36" ht="41.4" x14ac:dyDescent="0.25">
      <c r="A630" s="44"/>
      <c r="B630" s="244" t="s">
        <v>2024</v>
      </c>
      <c r="C630" s="245" t="s">
        <v>2028</v>
      </c>
      <c r="D630" s="244" t="s">
        <v>121</v>
      </c>
      <c r="E630" s="244" t="s">
        <v>2029</v>
      </c>
      <c r="F630" s="246" t="s">
        <v>55</v>
      </c>
      <c r="G630" s="259">
        <v>11</v>
      </c>
      <c r="H630" s="247"/>
      <c r="I630" s="247"/>
      <c r="J630" s="247"/>
      <c r="K630" s="247"/>
      <c r="L630" s="247"/>
      <c r="M630" s="247"/>
      <c r="N630" s="247"/>
      <c r="O630" s="248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  <c r="AJ630" s="44"/>
    </row>
    <row r="631" spans="1:36" ht="41.4" x14ac:dyDescent="0.25">
      <c r="A631" s="44"/>
      <c r="B631" s="244" t="s">
        <v>2027</v>
      </c>
      <c r="C631" s="245" t="s">
        <v>2031</v>
      </c>
      <c r="D631" s="244" t="s">
        <v>121</v>
      </c>
      <c r="E631" s="244" t="s">
        <v>2032</v>
      </c>
      <c r="F631" s="246" t="s">
        <v>55</v>
      </c>
      <c r="G631" s="259">
        <v>7</v>
      </c>
      <c r="H631" s="247"/>
      <c r="I631" s="247"/>
      <c r="J631" s="247"/>
      <c r="K631" s="247"/>
      <c r="L631" s="247"/>
      <c r="M631" s="247"/>
      <c r="N631" s="247"/>
      <c r="O631" s="248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  <c r="AJ631" s="44"/>
    </row>
    <row r="632" spans="1:36" ht="41.4" x14ac:dyDescent="0.25">
      <c r="A632" s="44"/>
      <c r="B632" s="244" t="s">
        <v>2030</v>
      </c>
      <c r="C632" s="245" t="s">
        <v>2034</v>
      </c>
      <c r="D632" s="244" t="s">
        <v>121</v>
      </c>
      <c r="E632" s="244" t="s">
        <v>2035</v>
      </c>
      <c r="F632" s="246" t="s">
        <v>55</v>
      </c>
      <c r="G632" s="259">
        <v>1</v>
      </c>
      <c r="H632" s="247"/>
      <c r="I632" s="247"/>
      <c r="J632" s="247"/>
      <c r="K632" s="247"/>
      <c r="L632" s="247"/>
      <c r="M632" s="247"/>
      <c r="N632" s="247"/>
      <c r="O632" s="248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</row>
    <row r="633" spans="1:36" ht="41.4" x14ac:dyDescent="0.25">
      <c r="A633" s="44"/>
      <c r="B633" s="244" t="s">
        <v>2033</v>
      </c>
      <c r="C633" s="245" t="s">
        <v>2037</v>
      </c>
      <c r="D633" s="244" t="s">
        <v>121</v>
      </c>
      <c r="E633" s="244" t="s">
        <v>2038</v>
      </c>
      <c r="F633" s="246" t="s">
        <v>55</v>
      </c>
      <c r="G633" s="259">
        <v>7</v>
      </c>
      <c r="H633" s="247"/>
      <c r="I633" s="247"/>
      <c r="J633" s="247"/>
      <c r="K633" s="247"/>
      <c r="L633" s="247"/>
      <c r="M633" s="247"/>
      <c r="N633" s="247"/>
      <c r="O633" s="248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</row>
    <row r="634" spans="1:36" ht="41.4" x14ac:dyDescent="0.25">
      <c r="A634" s="44"/>
      <c r="B634" s="244" t="s">
        <v>2036</v>
      </c>
      <c r="C634" s="245" t="s">
        <v>2040</v>
      </c>
      <c r="D634" s="244" t="s">
        <v>121</v>
      </c>
      <c r="E634" s="244" t="s">
        <v>2041</v>
      </c>
      <c r="F634" s="246" t="s">
        <v>55</v>
      </c>
      <c r="G634" s="259">
        <v>1</v>
      </c>
      <c r="H634" s="247"/>
      <c r="I634" s="247"/>
      <c r="J634" s="247"/>
      <c r="K634" s="247"/>
      <c r="L634" s="247"/>
      <c r="M634" s="247"/>
      <c r="N634" s="247"/>
      <c r="O634" s="248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</row>
    <row r="635" spans="1:36" ht="41.4" x14ac:dyDescent="0.25">
      <c r="A635" s="44"/>
      <c r="B635" s="244" t="s">
        <v>2039</v>
      </c>
      <c r="C635" s="245" t="s">
        <v>2043</v>
      </c>
      <c r="D635" s="244" t="s">
        <v>121</v>
      </c>
      <c r="E635" s="244" t="s">
        <v>2044</v>
      </c>
      <c r="F635" s="246" t="s">
        <v>55</v>
      </c>
      <c r="G635" s="259">
        <v>1</v>
      </c>
      <c r="H635" s="247"/>
      <c r="I635" s="247"/>
      <c r="J635" s="247"/>
      <c r="K635" s="247"/>
      <c r="L635" s="247"/>
      <c r="M635" s="247"/>
      <c r="N635" s="247"/>
      <c r="O635" s="248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</row>
    <row r="636" spans="1:36" ht="41.4" x14ac:dyDescent="0.25">
      <c r="A636" s="44"/>
      <c r="B636" s="244" t="s">
        <v>2042</v>
      </c>
      <c r="C636" s="245" t="s">
        <v>2046</v>
      </c>
      <c r="D636" s="244" t="s">
        <v>121</v>
      </c>
      <c r="E636" s="244" t="s">
        <v>2047</v>
      </c>
      <c r="F636" s="246" t="s">
        <v>55</v>
      </c>
      <c r="G636" s="259">
        <v>1</v>
      </c>
      <c r="H636" s="247"/>
      <c r="I636" s="247"/>
      <c r="J636" s="247"/>
      <c r="K636" s="247"/>
      <c r="L636" s="247"/>
      <c r="M636" s="247"/>
      <c r="N636" s="247"/>
      <c r="O636" s="248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</row>
    <row r="637" spans="1:36" ht="41.4" x14ac:dyDescent="0.25">
      <c r="A637" s="44"/>
      <c r="B637" s="244" t="s">
        <v>2045</v>
      </c>
      <c r="C637" s="245" t="s">
        <v>2049</v>
      </c>
      <c r="D637" s="244" t="s">
        <v>121</v>
      </c>
      <c r="E637" s="244" t="s">
        <v>2050</v>
      </c>
      <c r="F637" s="246" t="s">
        <v>55</v>
      </c>
      <c r="G637" s="259">
        <v>1</v>
      </c>
      <c r="H637" s="247"/>
      <c r="I637" s="247"/>
      <c r="J637" s="247"/>
      <c r="K637" s="247"/>
      <c r="L637" s="247"/>
      <c r="M637" s="247"/>
      <c r="N637" s="247"/>
      <c r="O637" s="248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</row>
    <row r="638" spans="1:36" ht="41.4" x14ac:dyDescent="0.25">
      <c r="A638" s="44"/>
      <c r="B638" s="244" t="s">
        <v>2048</v>
      </c>
      <c r="C638" s="245" t="s">
        <v>2052</v>
      </c>
      <c r="D638" s="244" t="s">
        <v>121</v>
      </c>
      <c r="E638" s="244" t="s">
        <v>2053</v>
      </c>
      <c r="F638" s="246" t="s">
        <v>55</v>
      </c>
      <c r="G638" s="259">
        <v>1</v>
      </c>
      <c r="H638" s="247"/>
      <c r="I638" s="247"/>
      <c r="J638" s="247"/>
      <c r="K638" s="247"/>
      <c r="L638" s="247"/>
      <c r="M638" s="247"/>
      <c r="N638" s="247"/>
      <c r="O638" s="248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</row>
    <row r="639" spans="1:36" ht="41.4" x14ac:dyDescent="0.25">
      <c r="A639" s="44"/>
      <c r="B639" s="244" t="s">
        <v>2051</v>
      </c>
      <c r="C639" s="245" t="s">
        <v>2055</v>
      </c>
      <c r="D639" s="244" t="s">
        <v>121</v>
      </c>
      <c r="E639" s="244" t="s">
        <v>2056</v>
      </c>
      <c r="F639" s="246" t="s">
        <v>55</v>
      </c>
      <c r="G639" s="259">
        <v>1</v>
      </c>
      <c r="H639" s="247"/>
      <c r="I639" s="247"/>
      <c r="J639" s="247"/>
      <c r="K639" s="247"/>
      <c r="L639" s="247"/>
      <c r="M639" s="247"/>
      <c r="N639" s="247"/>
      <c r="O639" s="248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</row>
    <row r="640" spans="1:36" ht="41.4" x14ac:dyDescent="0.25">
      <c r="A640" s="44"/>
      <c r="B640" s="244" t="s">
        <v>2054</v>
      </c>
      <c r="C640" s="245" t="s">
        <v>2058</v>
      </c>
      <c r="D640" s="244" t="s">
        <v>121</v>
      </c>
      <c r="E640" s="244" t="s">
        <v>2059</v>
      </c>
      <c r="F640" s="246" t="s">
        <v>55</v>
      </c>
      <c r="G640" s="259">
        <v>1</v>
      </c>
      <c r="H640" s="247"/>
      <c r="I640" s="247"/>
      <c r="J640" s="247"/>
      <c r="K640" s="247"/>
      <c r="L640" s="247"/>
      <c r="M640" s="247"/>
      <c r="N640" s="247"/>
      <c r="O640" s="248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</row>
    <row r="641" spans="1:36" ht="41.4" x14ac:dyDescent="0.25">
      <c r="A641" s="44"/>
      <c r="B641" s="244" t="s">
        <v>2057</v>
      </c>
      <c r="C641" s="245" t="s">
        <v>2061</v>
      </c>
      <c r="D641" s="244" t="s">
        <v>121</v>
      </c>
      <c r="E641" s="244" t="s">
        <v>2062</v>
      </c>
      <c r="F641" s="246" t="s">
        <v>55</v>
      </c>
      <c r="G641" s="259">
        <v>1</v>
      </c>
      <c r="H641" s="247"/>
      <c r="I641" s="247"/>
      <c r="J641" s="247"/>
      <c r="K641" s="247"/>
      <c r="L641" s="247"/>
      <c r="M641" s="247"/>
      <c r="N641" s="247"/>
      <c r="O641" s="248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</row>
    <row r="642" spans="1:36" ht="41.4" x14ac:dyDescent="0.25">
      <c r="A642" s="44"/>
      <c r="B642" s="244" t="s">
        <v>2060</v>
      </c>
      <c r="C642" s="245" t="s">
        <v>2064</v>
      </c>
      <c r="D642" s="244" t="s">
        <v>121</v>
      </c>
      <c r="E642" s="244" t="s">
        <v>2065</v>
      </c>
      <c r="F642" s="246" t="s">
        <v>55</v>
      </c>
      <c r="G642" s="259">
        <v>1</v>
      </c>
      <c r="H642" s="247"/>
      <c r="I642" s="247"/>
      <c r="J642" s="247"/>
      <c r="K642" s="247"/>
      <c r="L642" s="247"/>
      <c r="M642" s="247"/>
      <c r="N642" s="247"/>
      <c r="O642" s="248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</row>
    <row r="643" spans="1:36" ht="41.4" x14ac:dyDescent="0.25">
      <c r="A643" s="44"/>
      <c r="B643" s="244" t="s">
        <v>2063</v>
      </c>
      <c r="C643" s="245" t="s">
        <v>2067</v>
      </c>
      <c r="D643" s="244" t="s">
        <v>121</v>
      </c>
      <c r="E643" s="244" t="s">
        <v>2068</v>
      </c>
      <c r="F643" s="246" t="s">
        <v>55</v>
      </c>
      <c r="G643" s="259">
        <v>1</v>
      </c>
      <c r="H643" s="247"/>
      <c r="I643" s="247"/>
      <c r="J643" s="247"/>
      <c r="K643" s="247"/>
      <c r="L643" s="247"/>
      <c r="M643" s="247"/>
      <c r="N643" s="247"/>
      <c r="O643" s="248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</row>
    <row r="644" spans="1:36" ht="41.4" x14ac:dyDescent="0.25">
      <c r="A644" s="44"/>
      <c r="B644" s="244" t="s">
        <v>2066</v>
      </c>
      <c r="C644" s="245" t="s">
        <v>2070</v>
      </c>
      <c r="D644" s="244" t="s">
        <v>121</v>
      </c>
      <c r="E644" s="244" t="s">
        <v>2071</v>
      </c>
      <c r="F644" s="246" t="s">
        <v>55</v>
      </c>
      <c r="G644" s="259">
        <v>1</v>
      </c>
      <c r="H644" s="247"/>
      <c r="I644" s="247"/>
      <c r="J644" s="247"/>
      <c r="K644" s="247"/>
      <c r="L644" s="247"/>
      <c r="M644" s="247"/>
      <c r="N644" s="247"/>
      <c r="O644" s="248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</row>
    <row r="645" spans="1:36" ht="41.4" x14ac:dyDescent="0.25">
      <c r="A645" s="44"/>
      <c r="B645" s="244" t="s">
        <v>2069</v>
      </c>
      <c r="C645" s="245" t="s">
        <v>2073</v>
      </c>
      <c r="D645" s="244" t="s">
        <v>121</v>
      </c>
      <c r="E645" s="244" t="s">
        <v>2074</v>
      </c>
      <c r="F645" s="246" t="s">
        <v>55</v>
      </c>
      <c r="G645" s="259">
        <v>1</v>
      </c>
      <c r="H645" s="247"/>
      <c r="I645" s="247"/>
      <c r="J645" s="247"/>
      <c r="K645" s="247"/>
      <c r="L645" s="247"/>
      <c r="M645" s="247"/>
      <c r="N645" s="247"/>
      <c r="O645" s="248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</row>
    <row r="646" spans="1:36" ht="41.4" x14ac:dyDescent="0.25">
      <c r="A646" s="44"/>
      <c r="B646" s="244" t="s">
        <v>2072</v>
      </c>
      <c r="C646" s="245" t="s">
        <v>2076</v>
      </c>
      <c r="D646" s="244" t="s">
        <v>121</v>
      </c>
      <c r="E646" s="244" t="s">
        <v>2077</v>
      </c>
      <c r="F646" s="246" t="s">
        <v>55</v>
      </c>
      <c r="G646" s="259">
        <v>1</v>
      </c>
      <c r="H646" s="247"/>
      <c r="I646" s="247"/>
      <c r="J646" s="247"/>
      <c r="K646" s="247"/>
      <c r="L646" s="247"/>
      <c r="M646" s="247"/>
      <c r="N646" s="247"/>
      <c r="O646" s="248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</row>
    <row r="647" spans="1:36" ht="41.4" x14ac:dyDescent="0.25">
      <c r="A647" s="44"/>
      <c r="B647" s="244" t="s">
        <v>2075</v>
      </c>
      <c r="C647" s="245" t="s">
        <v>2079</v>
      </c>
      <c r="D647" s="244" t="s">
        <v>121</v>
      </c>
      <c r="E647" s="244" t="s">
        <v>2080</v>
      </c>
      <c r="F647" s="246" t="s">
        <v>55</v>
      </c>
      <c r="G647" s="259">
        <v>1</v>
      </c>
      <c r="H647" s="247"/>
      <c r="I647" s="247"/>
      <c r="J647" s="247"/>
      <c r="K647" s="247"/>
      <c r="L647" s="247"/>
      <c r="M647" s="247"/>
      <c r="N647" s="247"/>
      <c r="O647" s="248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</row>
    <row r="648" spans="1:36" ht="27.6" x14ac:dyDescent="0.25">
      <c r="A648" s="44"/>
      <c r="B648" s="244" t="s">
        <v>2078</v>
      </c>
      <c r="C648" s="245" t="s">
        <v>2082</v>
      </c>
      <c r="D648" s="244" t="s">
        <v>121</v>
      </c>
      <c r="E648" s="244" t="s">
        <v>2083</v>
      </c>
      <c r="F648" s="246" t="s">
        <v>55</v>
      </c>
      <c r="G648" s="259">
        <v>1</v>
      </c>
      <c r="H648" s="247"/>
      <c r="I648" s="247"/>
      <c r="J648" s="247"/>
      <c r="K648" s="247"/>
      <c r="L648" s="247"/>
      <c r="M648" s="247"/>
      <c r="N648" s="247"/>
      <c r="O648" s="248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</row>
    <row r="649" spans="1:36" ht="27.6" x14ac:dyDescent="0.25">
      <c r="A649" s="44"/>
      <c r="B649" s="244" t="s">
        <v>2081</v>
      </c>
      <c r="C649" s="245" t="s">
        <v>2085</v>
      </c>
      <c r="D649" s="244" t="s">
        <v>121</v>
      </c>
      <c r="E649" s="244" t="s">
        <v>2086</v>
      </c>
      <c r="F649" s="246" t="s">
        <v>55</v>
      </c>
      <c r="G649" s="259">
        <v>1</v>
      </c>
      <c r="H649" s="247"/>
      <c r="I649" s="247"/>
      <c r="J649" s="247"/>
      <c r="K649" s="247"/>
      <c r="L649" s="247"/>
      <c r="M649" s="247"/>
      <c r="N649" s="247"/>
      <c r="O649" s="248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</row>
    <row r="650" spans="1:36" ht="15.75" customHeight="1" x14ac:dyDescent="0.25">
      <c r="A650" s="44"/>
      <c r="B650" s="244" t="s">
        <v>2084</v>
      </c>
      <c r="C650" s="245" t="s">
        <v>2088</v>
      </c>
      <c r="D650" s="244" t="s">
        <v>121</v>
      </c>
      <c r="E650" s="244" t="s">
        <v>2089</v>
      </c>
      <c r="F650" s="246" t="s">
        <v>55</v>
      </c>
      <c r="G650" s="259">
        <v>1</v>
      </c>
      <c r="H650" s="247"/>
      <c r="I650" s="247"/>
      <c r="J650" s="247"/>
      <c r="K650" s="247"/>
      <c r="L650" s="247"/>
      <c r="M650" s="247"/>
      <c r="N650" s="247"/>
      <c r="O650" s="248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</row>
    <row r="651" spans="1:36" ht="15.75" customHeight="1" x14ac:dyDescent="0.25">
      <c r="A651" s="44"/>
      <c r="B651" s="244" t="s">
        <v>2087</v>
      </c>
      <c r="C651" s="245" t="s">
        <v>2091</v>
      </c>
      <c r="D651" s="244" t="s">
        <v>121</v>
      </c>
      <c r="E651" s="244" t="s">
        <v>2092</v>
      </c>
      <c r="F651" s="246" t="s">
        <v>55</v>
      </c>
      <c r="G651" s="259">
        <v>1</v>
      </c>
      <c r="H651" s="247"/>
      <c r="I651" s="247"/>
      <c r="J651" s="247"/>
      <c r="K651" s="247"/>
      <c r="L651" s="247"/>
      <c r="M651" s="247"/>
      <c r="N651" s="247"/>
      <c r="O651" s="248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</row>
    <row r="652" spans="1:36" ht="15.75" customHeight="1" x14ac:dyDescent="0.25">
      <c r="A652" s="44"/>
      <c r="B652" s="244" t="s">
        <v>2090</v>
      </c>
      <c r="C652" s="245" t="s">
        <v>2093</v>
      </c>
      <c r="D652" s="244" t="s">
        <v>121</v>
      </c>
      <c r="E652" s="244" t="s">
        <v>2094</v>
      </c>
      <c r="F652" s="246" t="s">
        <v>55</v>
      </c>
      <c r="G652" s="259">
        <v>1</v>
      </c>
      <c r="H652" s="247"/>
      <c r="I652" s="247"/>
      <c r="J652" s="247"/>
      <c r="K652" s="247"/>
      <c r="L652" s="247"/>
      <c r="M652" s="247"/>
      <c r="N652" s="247"/>
      <c r="O652" s="248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</row>
    <row r="653" spans="1:36" ht="15.75" customHeight="1" x14ac:dyDescent="0.25">
      <c r="A653" s="44"/>
      <c r="B653" s="244" t="s">
        <v>2311</v>
      </c>
      <c r="C653" s="245" t="s">
        <v>2095</v>
      </c>
      <c r="D653" s="244" t="s">
        <v>121</v>
      </c>
      <c r="E653" s="244" t="s">
        <v>2096</v>
      </c>
      <c r="F653" s="246" t="s">
        <v>55</v>
      </c>
      <c r="G653" s="259">
        <v>1</v>
      </c>
      <c r="H653" s="247"/>
      <c r="I653" s="247"/>
      <c r="J653" s="247"/>
      <c r="K653" s="247"/>
      <c r="L653" s="247"/>
      <c r="M653" s="247"/>
      <c r="N653" s="247"/>
      <c r="O653" s="248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</row>
    <row r="654" spans="1:36" ht="15.75" customHeight="1" x14ac:dyDescent="0.25">
      <c r="A654" s="44"/>
      <c r="B654" s="240">
        <v>20</v>
      </c>
      <c r="C654" s="240"/>
      <c r="D654" s="240"/>
      <c r="E654" s="240" t="s">
        <v>425</v>
      </c>
      <c r="F654" s="240"/>
      <c r="G654" s="258"/>
      <c r="H654" s="241"/>
      <c r="I654" s="240"/>
      <c r="J654" s="240"/>
      <c r="K654" s="240"/>
      <c r="L654" s="240"/>
      <c r="M654" s="240"/>
      <c r="N654" s="242"/>
      <c r="O654" s="243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</row>
    <row r="655" spans="1:36" ht="15.75" customHeight="1" x14ac:dyDescent="0.25">
      <c r="A655" s="44"/>
      <c r="B655" s="244" t="s">
        <v>413</v>
      </c>
      <c r="C655" s="245" t="s">
        <v>426</v>
      </c>
      <c r="D655" s="244" t="s">
        <v>44</v>
      </c>
      <c r="E655" s="244" t="s">
        <v>427</v>
      </c>
      <c r="F655" s="246" t="s">
        <v>55</v>
      </c>
      <c r="G655" s="259">
        <v>264</v>
      </c>
      <c r="H655" s="247"/>
      <c r="I655" s="247"/>
      <c r="J655" s="247"/>
      <c r="K655" s="247"/>
      <c r="L655" s="247"/>
      <c r="M655" s="247"/>
      <c r="N655" s="247"/>
      <c r="O655" s="248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</row>
    <row r="656" spans="1:36" ht="15.75" customHeight="1" x14ac:dyDescent="0.25">
      <c r="A656" s="44"/>
      <c r="B656" s="244" t="s">
        <v>416</v>
      </c>
      <c r="C656" s="245" t="s">
        <v>1750</v>
      </c>
      <c r="D656" s="244" t="s">
        <v>263</v>
      </c>
      <c r="E656" s="244" t="s">
        <v>2097</v>
      </c>
      <c r="F656" s="246" t="s">
        <v>584</v>
      </c>
      <c r="G656" s="259">
        <v>136</v>
      </c>
      <c r="H656" s="247"/>
      <c r="I656" s="247"/>
      <c r="J656" s="247"/>
      <c r="K656" s="247"/>
      <c r="L656" s="247"/>
      <c r="M656" s="247"/>
      <c r="N656" s="247"/>
      <c r="O656" s="248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</row>
    <row r="657" spans="1:36" ht="15.75" customHeight="1" x14ac:dyDescent="0.25">
      <c r="A657" s="44"/>
      <c r="B657" s="244" t="s">
        <v>2227</v>
      </c>
      <c r="C657" s="245" t="s">
        <v>2228</v>
      </c>
      <c r="D657" s="244" t="s">
        <v>65</v>
      </c>
      <c r="E657" s="244" t="s">
        <v>2229</v>
      </c>
      <c r="F657" s="246" t="s">
        <v>55</v>
      </c>
      <c r="G657" s="259">
        <v>14</v>
      </c>
      <c r="H657" s="247"/>
      <c r="I657" s="247"/>
      <c r="J657" s="247"/>
      <c r="K657" s="247"/>
      <c r="L657" s="247"/>
      <c r="M657" s="247"/>
      <c r="N657" s="247"/>
      <c r="O657" s="248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</row>
    <row r="658" spans="1:36" ht="15.75" customHeight="1" x14ac:dyDescent="0.25">
      <c r="A658" s="44"/>
      <c r="B658" s="244" t="s">
        <v>2230</v>
      </c>
      <c r="C658" s="245" t="s">
        <v>2231</v>
      </c>
      <c r="D658" s="244" t="s">
        <v>864</v>
      </c>
      <c r="E658" s="244" t="s">
        <v>2232</v>
      </c>
      <c r="F658" s="246" t="s">
        <v>55</v>
      </c>
      <c r="G658" s="259">
        <v>5</v>
      </c>
      <c r="H658" s="247"/>
      <c r="I658" s="247"/>
      <c r="J658" s="247"/>
      <c r="K658" s="247"/>
      <c r="L658" s="247"/>
      <c r="M658" s="247"/>
      <c r="N658" s="247"/>
      <c r="O658" s="248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</row>
    <row r="659" spans="1:36" ht="15.75" customHeight="1" x14ac:dyDescent="0.25">
      <c r="A659" s="44"/>
      <c r="B659" s="244" t="s">
        <v>2233</v>
      </c>
      <c r="C659" s="245" t="s">
        <v>2234</v>
      </c>
      <c r="D659" s="244" t="s">
        <v>65</v>
      </c>
      <c r="E659" s="244" t="s">
        <v>2235</v>
      </c>
      <c r="F659" s="246" t="s">
        <v>71</v>
      </c>
      <c r="G659" s="259">
        <v>296.60000000000002</v>
      </c>
      <c r="H659" s="247"/>
      <c r="I659" s="247"/>
      <c r="J659" s="247"/>
      <c r="K659" s="247"/>
      <c r="L659" s="247"/>
      <c r="M659" s="247"/>
      <c r="N659" s="247"/>
      <c r="O659" s="248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</row>
    <row r="660" spans="1:36" ht="15.75" customHeight="1" x14ac:dyDescent="0.25">
      <c r="A660" s="44"/>
      <c r="B660" s="244" t="s">
        <v>2236</v>
      </c>
      <c r="C660" s="245" t="s">
        <v>1569</v>
      </c>
      <c r="D660" s="244" t="s">
        <v>263</v>
      </c>
      <c r="E660" s="244" t="s">
        <v>1922</v>
      </c>
      <c r="F660" s="246" t="s">
        <v>213</v>
      </c>
      <c r="G660" s="259">
        <v>236</v>
      </c>
      <c r="H660" s="247"/>
      <c r="I660" s="247"/>
      <c r="J660" s="247"/>
      <c r="K660" s="247"/>
      <c r="L660" s="247"/>
      <c r="M660" s="247"/>
      <c r="N660" s="247"/>
      <c r="O660" s="248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</row>
    <row r="661" spans="1:36" ht="15.75" customHeight="1" x14ac:dyDescent="0.25">
      <c r="A661" s="44"/>
      <c r="B661" s="244" t="s">
        <v>2237</v>
      </c>
      <c r="C661" s="245" t="s">
        <v>2238</v>
      </c>
      <c r="D661" s="244" t="s">
        <v>864</v>
      </c>
      <c r="E661" s="244" t="s">
        <v>2239</v>
      </c>
      <c r="F661" s="246" t="s">
        <v>55</v>
      </c>
      <c r="G661" s="259">
        <v>4</v>
      </c>
      <c r="H661" s="247"/>
      <c r="I661" s="247"/>
      <c r="J661" s="247"/>
      <c r="K661" s="247"/>
      <c r="L661" s="247"/>
      <c r="M661" s="247"/>
      <c r="N661" s="247"/>
      <c r="O661" s="248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</row>
    <row r="662" spans="1:36" ht="15.75" customHeight="1" x14ac:dyDescent="0.25">
      <c r="A662" s="44"/>
      <c r="B662" s="240">
        <v>21</v>
      </c>
      <c r="C662" s="240"/>
      <c r="D662" s="240"/>
      <c r="E662" s="240" t="s">
        <v>428</v>
      </c>
      <c r="F662" s="240"/>
      <c r="G662" s="258"/>
      <c r="H662" s="241"/>
      <c r="I662" s="240"/>
      <c r="J662" s="240"/>
      <c r="K662" s="240"/>
      <c r="L662" s="240"/>
      <c r="M662" s="240"/>
      <c r="N662" s="242"/>
      <c r="O662" s="243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</row>
    <row r="663" spans="1:36" ht="15.75" customHeight="1" x14ac:dyDescent="0.25">
      <c r="A663" s="44"/>
      <c r="B663" s="244" t="s">
        <v>418</v>
      </c>
      <c r="C663" s="245" t="s">
        <v>429</v>
      </c>
      <c r="D663" s="244" t="s">
        <v>44</v>
      </c>
      <c r="E663" s="244" t="s">
        <v>430</v>
      </c>
      <c r="F663" s="246" t="s">
        <v>71</v>
      </c>
      <c r="G663" s="259">
        <v>650</v>
      </c>
      <c r="H663" s="247"/>
      <c r="I663" s="247"/>
      <c r="J663" s="247"/>
      <c r="K663" s="247"/>
      <c r="L663" s="247"/>
      <c r="M663" s="247"/>
      <c r="N663" s="247"/>
      <c r="O663" s="248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</row>
    <row r="664" spans="1:36" ht="15.75" customHeight="1" x14ac:dyDescent="0.25">
      <c r="A664" s="44"/>
      <c r="B664" s="244" t="s">
        <v>1751</v>
      </c>
      <c r="C664" s="245" t="s">
        <v>1752</v>
      </c>
      <c r="D664" s="244" t="s">
        <v>44</v>
      </c>
      <c r="E664" s="244" t="s">
        <v>1753</v>
      </c>
      <c r="F664" s="246" t="s">
        <v>71</v>
      </c>
      <c r="G664" s="259">
        <v>220</v>
      </c>
      <c r="H664" s="247"/>
      <c r="I664" s="247"/>
      <c r="J664" s="247"/>
      <c r="K664" s="247"/>
      <c r="L664" s="247"/>
      <c r="M664" s="247"/>
      <c r="N664" s="247"/>
      <c r="O664" s="248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</row>
    <row r="665" spans="1:36" ht="15.75" customHeight="1" x14ac:dyDescent="0.25">
      <c r="A665" s="44"/>
      <c r="B665" s="244" t="s">
        <v>1754</v>
      </c>
      <c r="C665" s="245" t="s">
        <v>431</v>
      </c>
      <c r="D665" s="244" t="s">
        <v>44</v>
      </c>
      <c r="E665" s="244" t="s">
        <v>432</v>
      </c>
      <c r="F665" s="246" t="s">
        <v>55</v>
      </c>
      <c r="G665" s="259">
        <v>72</v>
      </c>
      <c r="H665" s="247"/>
      <c r="I665" s="247"/>
      <c r="J665" s="247"/>
      <c r="K665" s="247"/>
      <c r="L665" s="247"/>
      <c r="M665" s="247"/>
      <c r="N665" s="247"/>
      <c r="O665" s="248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</row>
    <row r="666" spans="1:36" ht="15.75" customHeight="1" x14ac:dyDescent="0.25">
      <c r="A666" s="44"/>
      <c r="B666" s="244" t="s">
        <v>1755</v>
      </c>
      <c r="C666" s="245" t="s">
        <v>1756</v>
      </c>
      <c r="D666" s="244" t="s">
        <v>44</v>
      </c>
      <c r="E666" s="244" t="s">
        <v>1757</v>
      </c>
      <c r="F666" s="246" t="s">
        <v>55</v>
      </c>
      <c r="G666" s="259">
        <v>1</v>
      </c>
      <c r="H666" s="247"/>
      <c r="I666" s="247"/>
      <c r="J666" s="247"/>
      <c r="K666" s="247"/>
      <c r="L666" s="247"/>
      <c r="M666" s="247"/>
      <c r="N666" s="247"/>
      <c r="O666" s="248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</row>
    <row r="667" spans="1:36" ht="15.75" customHeight="1" x14ac:dyDescent="0.25">
      <c r="A667" s="44"/>
      <c r="B667" s="244" t="s">
        <v>1758</v>
      </c>
      <c r="C667" s="245" t="s">
        <v>1759</v>
      </c>
      <c r="D667" s="244" t="s">
        <v>44</v>
      </c>
      <c r="E667" s="244" t="s">
        <v>1760</v>
      </c>
      <c r="F667" s="246" t="s">
        <v>55</v>
      </c>
      <c r="G667" s="259">
        <v>9</v>
      </c>
      <c r="H667" s="247"/>
      <c r="I667" s="247"/>
      <c r="J667" s="247"/>
      <c r="K667" s="247"/>
      <c r="L667" s="247"/>
      <c r="M667" s="247"/>
      <c r="N667" s="247"/>
      <c r="O667" s="248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</row>
    <row r="668" spans="1:36" ht="15.75" customHeight="1" x14ac:dyDescent="0.25">
      <c r="A668" s="44"/>
      <c r="B668" s="244" t="s">
        <v>1761</v>
      </c>
      <c r="C668" s="245" t="s">
        <v>433</v>
      </c>
      <c r="D668" s="244" t="s">
        <v>44</v>
      </c>
      <c r="E668" s="244" t="s">
        <v>434</v>
      </c>
      <c r="F668" s="246" t="s">
        <v>55</v>
      </c>
      <c r="G668" s="259">
        <v>40</v>
      </c>
      <c r="H668" s="247"/>
      <c r="I668" s="247"/>
      <c r="J668" s="247"/>
      <c r="K668" s="247"/>
      <c r="L668" s="247"/>
      <c r="M668" s="247"/>
      <c r="N668" s="247"/>
      <c r="O668" s="248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</row>
    <row r="669" spans="1:36" ht="15.75" customHeight="1" x14ac:dyDescent="0.25">
      <c r="A669" s="44"/>
      <c r="B669" s="244" t="s">
        <v>1762</v>
      </c>
      <c r="C669" s="245" t="s">
        <v>1763</v>
      </c>
      <c r="D669" s="244" t="s">
        <v>44</v>
      </c>
      <c r="E669" s="244" t="s">
        <v>1764</v>
      </c>
      <c r="F669" s="246" t="s">
        <v>55</v>
      </c>
      <c r="G669" s="259">
        <v>40</v>
      </c>
      <c r="H669" s="247"/>
      <c r="I669" s="247"/>
      <c r="J669" s="247"/>
      <c r="K669" s="247"/>
      <c r="L669" s="247"/>
      <c r="M669" s="247"/>
      <c r="N669" s="247"/>
      <c r="O669" s="248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</row>
    <row r="670" spans="1:36" ht="15.75" customHeight="1" x14ac:dyDescent="0.25">
      <c r="A670" s="44"/>
      <c r="B670" s="244" t="s">
        <v>1765</v>
      </c>
      <c r="C670" s="245" t="s">
        <v>435</v>
      </c>
      <c r="D670" s="244" t="s">
        <v>44</v>
      </c>
      <c r="E670" s="244" t="s">
        <v>436</v>
      </c>
      <c r="F670" s="246" t="s">
        <v>55</v>
      </c>
      <c r="G670" s="259">
        <v>250</v>
      </c>
      <c r="H670" s="247"/>
      <c r="I670" s="247"/>
      <c r="J670" s="247"/>
      <c r="K670" s="247"/>
      <c r="L670" s="247"/>
      <c r="M670" s="247"/>
      <c r="N670" s="247"/>
      <c r="O670" s="248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</row>
    <row r="671" spans="1:36" ht="15.75" customHeight="1" x14ac:dyDescent="0.25">
      <c r="A671" s="44"/>
      <c r="B671" s="244" t="s">
        <v>1766</v>
      </c>
      <c r="C671" s="245" t="s">
        <v>1767</v>
      </c>
      <c r="D671" s="244" t="s">
        <v>44</v>
      </c>
      <c r="E671" s="244" t="s">
        <v>1768</v>
      </c>
      <c r="F671" s="246" t="s">
        <v>55</v>
      </c>
      <c r="G671" s="259">
        <v>20</v>
      </c>
      <c r="H671" s="247"/>
      <c r="I671" s="247"/>
      <c r="J671" s="247"/>
      <c r="K671" s="247"/>
      <c r="L671" s="247"/>
      <c r="M671" s="247"/>
      <c r="N671" s="247"/>
      <c r="O671" s="248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</row>
    <row r="672" spans="1:36" ht="15.75" customHeight="1" x14ac:dyDescent="0.25">
      <c r="A672" s="44"/>
      <c r="B672" s="244" t="s">
        <v>1769</v>
      </c>
      <c r="C672" s="245" t="s">
        <v>1770</v>
      </c>
      <c r="D672" s="244" t="s">
        <v>44</v>
      </c>
      <c r="E672" s="244" t="s">
        <v>1771</v>
      </c>
      <c r="F672" s="246" t="s">
        <v>55</v>
      </c>
      <c r="G672" s="259">
        <v>54</v>
      </c>
      <c r="H672" s="247"/>
      <c r="I672" s="247"/>
      <c r="J672" s="247"/>
      <c r="K672" s="247"/>
      <c r="L672" s="247"/>
      <c r="M672" s="247"/>
      <c r="N672" s="247"/>
      <c r="O672" s="248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</row>
    <row r="673" spans="1:36" ht="15.75" customHeight="1" x14ac:dyDescent="0.25">
      <c r="A673" s="44"/>
      <c r="B673" s="244" t="s">
        <v>1772</v>
      </c>
      <c r="C673" s="245" t="s">
        <v>437</v>
      </c>
      <c r="D673" s="244" t="s">
        <v>44</v>
      </c>
      <c r="E673" s="244" t="s">
        <v>438</v>
      </c>
      <c r="F673" s="246" t="s">
        <v>55</v>
      </c>
      <c r="G673" s="259">
        <v>77</v>
      </c>
      <c r="H673" s="247"/>
      <c r="I673" s="247"/>
      <c r="J673" s="247"/>
      <c r="K673" s="247"/>
      <c r="L673" s="247"/>
      <c r="M673" s="247"/>
      <c r="N673" s="247"/>
      <c r="O673" s="248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</row>
    <row r="674" spans="1:36" ht="15.75" customHeight="1" x14ac:dyDescent="0.25">
      <c r="A674" s="44"/>
      <c r="B674" s="244" t="s">
        <v>1773</v>
      </c>
      <c r="C674" s="245" t="s">
        <v>439</v>
      </c>
      <c r="D674" s="244" t="s">
        <v>182</v>
      </c>
      <c r="E674" s="244" t="s">
        <v>440</v>
      </c>
      <c r="F674" s="246" t="s">
        <v>213</v>
      </c>
      <c r="G674" s="259">
        <v>3</v>
      </c>
      <c r="H674" s="247"/>
      <c r="I674" s="247"/>
      <c r="J674" s="247"/>
      <c r="K674" s="247"/>
      <c r="L674" s="247"/>
      <c r="M674" s="247"/>
      <c r="N674" s="247"/>
      <c r="O674" s="248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</row>
    <row r="675" spans="1:36" ht="15.75" customHeight="1" x14ac:dyDescent="0.25">
      <c r="A675" s="44"/>
      <c r="B675" s="244" t="s">
        <v>1774</v>
      </c>
      <c r="C675" s="245" t="s">
        <v>441</v>
      </c>
      <c r="D675" s="244" t="s">
        <v>182</v>
      </c>
      <c r="E675" s="244" t="s">
        <v>442</v>
      </c>
      <c r="F675" s="246" t="s">
        <v>213</v>
      </c>
      <c r="G675" s="259">
        <v>2</v>
      </c>
      <c r="H675" s="247"/>
      <c r="I675" s="247"/>
      <c r="J675" s="247"/>
      <c r="K675" s="247"/>
      <c r="L675" s="247"/>
      <c r="M675" s="247"/>
      <c r="N675" s="247"/>
      <c r="O675" s="248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</row>
    <row r="676" spans="1:36" ht="15.75" customHeight="1" x14ac:dyDescent="0.25">
      <c r="A676" s="44"/>
      <c r="B676" s="244" t="s">
        <v>1775</v>
      </c>
      <c r="C676" s="245" t="s">
        <v>1776</v>
      </c>
      <c r="D676" s="244" t="s">
        <v>864</v>
      </c>
      <c r="E676" s="244" t="s">
        <v>1777</v>
      </c>
      <c r="F676" s="246" t="s">
        <v>55</v>
      </c>
      <c r="G676" s="259">
        <v>2</v>
      </c>
      <c r="H676" s="247"/>
      <c r="I676" s="247"/>
      <c r="J676" s="247"/>
      <c r="K676" s="247"/>
      <c r="L676" s="247"/>
      <c r="M676" s="247"/>
      <c r="N676" s="247"/>
      <c r="O676" s="248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</row>
    <row r="677" spans="1:36" ht="15.75" customHeight="1" x14ac:dyDescent="0.25">
      <c r="A677" s="44"/>
      <c r="B677" s="244" t="s">
        <v>1778</v>
      </c>
      <c r="C677" s="245" t="s">
        <v>1779</v>
      </c>
      <c r="D677" s="244" t="s">
        <v>44</v>
      </c>
      <c r="E677" s="244" t="s">
        <v>1780</v>
      </c>
      <c r="F677" s="246" t="s">
        <v>71</v>
      </c>
      <c r="G677" s="259">
        <v>20</v>
      </c>
      <c r="H677" s="247"/>
      <c r="I677" s="247"/>
      <c r="J677" s="247"/>
      <c r="K677" s="247"/>
      <c r="L677" s="247"/>
      <c r="M677" s="247"/>
      <c r="N677" s="247"/>
      <c r="O677" s="248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</row>
    <row r="678" spans="1:36" ht="15.75" customHeight="1" x14ac:dyDescent="0.25">
      <c r="A678" s="44"/>
      <c r="B678" s="244" t="s">
        <v>1781</v>
      </c>
      <c r="C678" s="245" t="s">
        <v>1782</v>
      </c>
      <c r="D678" s="244" t="s">
        <v>182</v>
      </c>
      <c r="E678" s="244" t="s">
        <v>1783</v>
      </c>
      <c r="F678" s="246" t="s">
        <v>324</v>
      </c>
      <c r="G678" s="259">
        <v>4</v>
      </c>
      <c r="H678" s="247"/>
      <c r="I678" s="247"/>
      <c r="J678" s="247"/>
      <c r="K678" s="247"/>
      <c r="L678" s="247"/>
      <c r="M678" s="247"/>
      <c r="N678" s="247"/>
      <c r="O678" s="248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</row>
    <row r="679" spans="1:36" ht="15.75" customHeight="1" x14ac:dyDescent="0.25">
      <c r="A679" s="44"/>
      <c r="B679" s="244" t="s">
        <v>1784</v>
      </c>
      <c r="C679" s="245" t="s">
        <v>1785</v>
      </c>
      <c r="D679" s="244" t="s">
        <v>44</v>
      </c>
      <c r="E679" s="244" t="s">
        <v>1786</v>
      </c>
      <c r="F679" s="246" t="s">
        <v>55</v>
      </c>
      <c r="G679" s="259">
        <v>8</v>
      </c>
      <c r="H679" s="247"/>
      <c r="I679" s="247"/>
      <c r="J679" s="247"/>
      <c r="K679" s="247"/>
      <c r="L679" s="247"/>
      <c r="M679" s="247"/>
      <c r="N679" s="247"/>
      <c r="O679" s="248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  <c r="AJ679" s="44"/>
    </row>
    <row r="680" spans="1:36" ht="15.75" customHeight="1" x14ac:dyDescent="0.25">
      <c r="A680" s="44"/>
      <c r="B680" s="244" t="s">
        <v>1787</v>
      </c>
      <c r="C680" s="245" t="s">
        <v>1788</v>
      </c>
      <c r="D680" s="244" t="s">
        <v>44</v>
      </c>
      <c r="E680" s="244" t="s">
        <v>1789</v>
      </c>
      <c r="F680" s="246" t="s">
        <v>71</v>
      </c>
      <c r="G680" s="259">
        <v>70</v>
      </c>
      <c r="H680" s="247"/>
      <c r="I680" s="247"/>
      <c r="J680" s="247"/>
      <c r="K680" s="247"/>
      <c r="L680" s="247"/>
      <c r="M680" s="247"/>
      <c r="N680" s="247"/>
      <c r="O680" s="248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</row>
    <row r="681" spans="1:36" ht="15.75" customHeight="1" x14ac:dyDescent="0.25">
      <c r="A681" s="44"/>
      <c r="B681" s="244" t="s">
        <v>2098</v>
      </c>
      <c r="C681" s="245" t="s">
        <v>2099</v>
      </c>
      <c r="D681" s="244" t="s">
        <v>182</v>
      </c>
      <c r="E681" s="244" t="s">
        <v>2100</v>
      </c>
      <c r="F681" s="246" t="s">
        <v>213</v>
      </c>
      <c r="G681" s="259">
        <v>19</v>
      </c>
      <c r="H681" s="247"/>
      <c r="I681" s="247"/>
      <c r="J681" s="247"/>
      <c r="K681" s="247"/>
      <c r="L681" s="247"/>
      <c r="M681" s="247"/>
      <c r="N681" s="247"/>
      <c r="O681" s="248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</row>
    <row r="682" spans="1:36" ht="15.75" customHeight="1" x14ac:dyDescent="0.25">
      <c r="A682" s="44"/>
      <c r="B682" s="244" t="s">
        <v>2101</v>
      </c>
      <c r="C682" s="245" t="s">
        <v>2102</v>
      </c>
      <c r="D682" s="244" t="s">
        <v>864</v>
      </c>
      <c r="E682" s="244" t="s">
        <v>2103</v>
      </c>
      <c r="F682" s="246" t="s">
        <v>55</v>
      </c>
      <c r="G682" s="259">
        <v>1</v>
      </c>
      <c r="H682" s="247"/>
      <c r="I682" s="247"/>
      <c r="J682" s="247"/>
      <c r="K682" s="247"/>
      <c r="L682" s="247"/>
      <c r="M682" s="247"/>
      <c r="N682" s="247"/>
      <c r="O682" s="248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</row>
    <row r="683" spans="1:36" ht="15.75" customHeight="1" x14ac:dyDescent="0.25">
      <c r="A683" s="44"/>
      <c r="B683" s="244" t="s">
        <v>2104</v>
      </c>
      <c r="C683" s="245" t="s">
        <v>2105</v>
      </c>
      <c r="D683" s="244" t="s">
        <v>864</v>
      </c>
      <c r="E683" s="244" t="s">
        <v>2106</v>
      </c>
      <c r="F683" s="246" t="s">
        <v>55</v>
      </c>
      <c r="G683" s="259">
        <v>1</v>
      </c>
      <c r="H683" s="247"/>
      <c r="I683" s="247"/>
      <c r="J683" s="247"/>
      <c r="K683" s="247"/>
      <c r="L683" s="247"/>
      <c r="M683" s="247"/>
      <c r="N683" s="247"/>
      <c r="O683" s="248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  <c r="AJ683" s="44"/>
    </row>
    <row r="684" spans="1:36" ht="15.75" customHeight="1" x14ac:dyDescent="0.25">
      <c r="A684" s="44"/>
      <c r="B684" s="240">
        <v>22</v>
      </c>
      <c r="C684" s="240"/>
      <c r="D684" s="240"/>
      <c r="E684" s="240" t="s">
        <v>1790</v>
      </c>
      <c r="F684" s="240"/>
      <c r="G684" s="258"/>
      <c r="H684" s="241"/>
      <c r="I684" s="240"/>
      <c r="J684" s="240"/>
      <c r="K684" s="240"/>
      <c r="L684" s="240"/>
      <c r="M684" s="240"/>
      <c r="N684" s="242"/>
      <c r="O684" s="243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</row>
    <row r="685" spans="1:36" ht="15.75" customHeight="1" x14ac:dyDescent="0.25">
      <c r="A685" s="44"/>
      <c r="B685" s="240" t="s">
        <v>422</v>
      </c>
      <c r="C685" s="240"/>
      <c r="D685" s="240"/>
      <c r="E685" s="240" t="s">
        <v>2107</v>
      </c>
      <c r="F685" s="240"/>
      <c r="G685" s="258"/>
      <c r="H685" s="241"/>
      <c r="I685" s="240"/>
      <c r="J685" s="240"/>
      <c r="K685" s="240"/>
      <c r="L685" s="240"/>
      <c r="M685" s="240"/>
      <c r="N685" s="242"/>
      <c r="O685" s="243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</row>
    <row r="686" spans="1:36" ht="15.75" customHeight="1" x14ac:dyDescent="0.25">
      <c r="A686" s="44"/>
      <c r="B686" s="244" t="s">
        <v>1791</v>
      </c>
      <c r="C686" s="245" t="s">
        <v>1792</v>
      </c>
      <c r="D686" s="244" t="s">
        <v>44</v>
      </c>
      <c r="E686" s="244" t="s">
        <v>1793</v>
      </c>
      <c r="F686" s="246" t="s">
        <v>45</v>
      </c>
      <c r="G686" s="259">
        <v>31.5</v>
      </c>
      <c r="H686" s="247"/>
      <c r="I686" s="247"/>
      <c r="J686" s="247"/>
      <c r="K686" s="247"/>
      <c r="L686" s="247"/>
      <c r="M686" s="247"/>
      <c r="N686" s="247"/>
      <c r="O686" s="248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</row>
    <row r="687" spans="1:36" ht="15.75" customHeight="1" x14ac:dyDescent="0.25">
      <c r="A687" s="44"/>
      <c r="B687" s="244" t="s">
        <v>2108</v>
      </c>
      <c r="C687" s="245" t="s">
        <v>2109</v>
      </c>
      <c r="D687" s="244" t="s">
        <v>65</v>
      </c>
      <c r="E687" s="244" t="s">
        <v>2110</v>
      </c>
      <c r="F687" s="246" t="s">
        <v>55</v>
      </c>
      <c r="G687" s="259">
        <v>1</v>
      </c>
      <c r="H687" s="247"/>
      <c r="I687" s="247"/>
      <c r="J687" s="247"/>
      <c r="K687" s="247"/>
      <c r="L687" s="247"/>
      <c r="M687" s="247"/>
      <c r="N687" s="247"/>
      <c r="O687" s="248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</row>
    <row r="688" spans="1:36" ht="15.75" customHeight="1" x14ac:dyDescent="0.25">
      <c r="A688" s="44"/>
      <c r="B688" s="240" t="s">
        <v>423</v>
      </c>
      <c r="C688" s="240"/>
      <c r="D688" s="240"/>
      <c r="E688" s="240" t="s">
        <v>417</v>
      </c>
      <c r="F688" s="240"/>
      <c r="G688" s="258"/>
      <c r="H688" s="241"/>
      <c r="I688" s="240"/>
      <c r="J688" s="240"/>
      <c r="K688" s="240"/>
      <c r="L688" s="240"/>
      <c r="M688" s="240"/>
      <c r="N688" s="242"/>
      <c r="O688" s="243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</row>
    <row r="689" spans="1:36" ht="15.75" customHeight="1" x14ac:dyDescent="0.25">
      <c r="A689" s="44"/>
      <c r="B689" s="244" t="s">
        <v>1794</v>
      </c>
      <c r="C689" s="245" t="s">
        <v>419</v>
      </c>
      <c r="D689" s="244" t="s">
        <v>44</v>
      </c>
      <c r="E689" s="244" t="s">
        <v>420</v>
      </c>
      <c r="F689" s="246" t="s">
        <v>45</v>
      </c>
      <c r="G689" s="259">
        <v>683.8</v>
      </c>
      <c r="H689" s="247"/>
      <c r="I689" s="247"/>
      <c r="J689" s="247"/>
      <c r="K689" s="247"/>
      <c r="L689" s="247"/>
      <c r="M689" s="247"/>
      <c r="N689" s="247"/>
      <c r="O689" s="248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</row>
    <row r="690" spans="1:36" ht="15.75" customHeight="1" x14ac:dyDescent="0.25">
      <c r="A690" s="44"/>
      <c r="B690" s="240" t="s">
        <v>424</v>
      </c>
      <c r="C690" s="240"/>
      <c r="D690" s="240"/>
      <c r="E690" s="240" t="s">
        <v>1795</v>
      </c>
      <c r="F690" s="240"/>
      <c r="G690" s="258"/>
      <c r="H690" s="241"/>
      <c r="I690" s="240"/>
      <c r="J690" s="240"/>
      <c r="K690" s="240"/>
      <c r="L690" s="240"/>
      <c r="M690" s="240"/>
      <c r="N690" s="242"/>
      <c r="O690" s="243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</row>
    <row r="691" spans="1:36" ht="15.75" customHeight="1" x14ac:dyDescent="0.25">
      <c r="A691" s="44"/>
      <c r="B691" s="244" t="s">
        <v>1796</v>
      </c>
      <c r="C691" s="245" t="s">
        <v>414</v>
      </c>
      <c r="D691" s="244" t="s">
        <v>182</v>
      </c>
      <c r="E691" s="244" t="s">
        <v>415</v>
      </c>
      <c r="F691" s="246" t="s">
        <v>213</v>
      </c>
      <c r="G691" s="259">
        <v>15</v>
      </c>
      <c r="H691" s="247"/>
      <c r="I691" s="247"/>
      <c r="J691" s="247"/>
      <c r="K691" s="247"/>
      <c r="L691" s="247"/>
      <c r="M691" s="247"/>
      <c r="N691" s="247"/>
      <c r="O691" s="248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</row>
    <row r="692" spans="1:36" ht="15.75" customHeight="1" x14ac:dyDescent="0.25">
      <c r="A692" s="44"/>
      <c r="B692" s="240">
        <v>23</v>
      </c>
      <c r="C692" s="240"/>
      <c r="D692" s="240"/>
      <c r="E692" s="240" t="s">
        <v>1797</v>
      </c>
      <c r="F692" s="240"/>
      <c r="G692" s="258"/>
      <c r="H692" s="241"/>
      <c r="I692" s="240"/>
      <c r="J692" s="240"/>
      <c r="K692" s="240"/>
      <c r="L692" s="240"/>
      <c r="M692" s="240"/>
      <c r="N692" s="242"/>
      <c r="O692" s="243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</row>
    <row r="693" spans="1:36" ht="15.75" customHeight="1" x14ac:dyDescent="0.25">
      <c r="A693" s="44"/>
      <c r="B693" s="244" t="s">
        <v>2111</v>
      </c>
      <c r="C693" s="245" t="s">
        <v>443</v>
      </c>
      <c r="D693" s="244" t="s">
        <v>182</v>
      </c>
      <c r="E693" s="244" t="s">
        <v>444</v>
      </c>
      <c r="F693" s="246" t="s">
        <v>45</v>
      </c>
      <c r="G693" s="259">
        <v>3213</v>
      </c>
      <c r="H693" s="247"/>
      <c r="I693" s="247"/>
      <c r="J693" s="247"/>
      <c r="K693" s="247"/>
      <c r="L693" s="247"/>
      <c r="M693" s="247"/>
      <c r="N693" s="247"/>
      <c r="O693" s="248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</row>
    <row r="694" spans="1:36" ht="15.75" customHeight="1" x14ac:dyDescent="0.25">
      <c r="A694" s="44"/>
      <c r="B694" s="250"/>
      <c r="C694" s="250"/>
      <c r="D694" s="250"/>
      <c r="E694" s="250"/>
      <c r="F694" s="250"/>
      <c r="G694" s="260"/>
      <c r="H694" s="250"/>
      <c r="I694" s="250"/>
      <c r="J694" s="250"/>
      <c r="K694" s="250" t="s">
        <v>449</v>
      </c>
      <c r="L694" s="250"/>
      <c r="M694" s="250"/>
      <c r="N694" s="250"/>
      <c r="O694" s="250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</row>
    <row r="695" spans="1:36" ht="15.75" customHeight="1" x14ac:dyDescent="0.25">
      <c r="A695" s="44"/>
      <c r="B695" s="251"/>
      <c r="C695" s="251"/>
      <c r="D695" s="251"/>
      <c r="E695" s="251"/>
      <c r="F695" s="251"/>
      <c r="G695" s="261"/>
      <c r="H695" s="251"/>
      <c r="I695" s="251"/>
      <c r="J695" s="251"/>
      <c r="K695" s="251"/>
      <c r="L695" s="251"/>
      <c r="M695" s="251"/>
      <c r="N695" s="251"/>
      <c r="O695" s="251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</row>
    <row r="696" spans="1:36" ht="15.75" customHeight="1" x14ac:dyDescent="0.25">
      <c r="A696" s="44"/>
      <c r="B696" s="285"/>
      <c r="C696" s="285"/>
      <c r="D696" s="285"/>
      <c r="E696" s="252"/>
      <c r="F696" s="250"/>
      <c r="G696" s="260"/>
      <c r="H696" s="250"/>
      <c r="I696" s="250"/>
      <c r="J696" s="250"/>
      <c r="K696" s="286" t="s">
        <v>450</v>
      </c>
      <c r="L696" s="285"/>
      <c r="M696" s="287"/>
      <c r="N696" s="285"/>
      <c r="O696" s="285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</row>
    <row r="697" spans="1:36" ht="15.75" customHeight="1" x14ac:dyDescent="0.25">
      <c r="A697" s="44"/>
      <c r="B697" s="285"/>
      <c r="C697" s="285"/>
      <c r="D697" s="285"/>
      <c r="E697" s="252"/>
      <c r="F697" s="250"/>
      <c r="G697" s="260"/>
      <c r="H697" s="250"/>
      <c r="I697" s="250"/>
      <c r="J697" s="250"/>
      <c r="K697" s="286" t="s">
        <v>451</v>
      </c>
      <c r="L697" s="285"/>
      <c r="M697" s="287"/>
      <c r="N697" s="285"/>
      <c r="O697" s="285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</row>
    <row r="698" spans="1:36" ht="15.75" customHeight="1" x14ac:dyDescent="0.25">
      <c r="A698" s="44"/>
      <c r="B698" s="285"/>
      <c r="C698" s="285"/>
      <c r="D698" s="285"/>
      <c r="E698" s="252"/>
      <c r="F698" s="250"/>
      <c r="G698" s="260"/>
      <c r="H698" s="250"/>
      <c r="I698" s="250"/>
      <c r="J698" s="250"/>
      <c r="K698" s="286" t="s">
        <v>452</v>
      </c>
      <c r="L698" s="285"/>
      <c r="M698" s="287"/>
      <c r="N698" s="285"/>
      <c r="O698" s="285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</row>
    <row r="699" spans="1:36" ht="15.75" customHeight="1" x14ac:dyDescent="0.25">
      <c r="A699" s="44"/>
      <c r="B699" s="44"/>
      <c r="C699" s="44"/>
      <c r="D699" s="44"/>
      <c r="E699" s="44"/>
      <c r="F699" s="44"/>
      <c r="G699" s="220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</row>
    <row r="700" spans="1:36" ht="15.75" customHeight="1" x14ac:dyDescent="0.25">
      <c r="A700" s="44"/>
      <c r="B700" s="44"/>
      <c r="C700" s="44"/>
      <c r="D700" s="44"/>
      <c r="E700" s="44"/>
      <c r="F700" s="44"/>
      <c r="G700" s="220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</row>
    <row r="701" spans="1:36" ht="15.75" customHeight="1" x14ac:dyDescent="0.25">
      <c r="A701" s="44"/>
      <c r="B701" s="44"/>
      <c r="C701" s="44"/>
      <c r="D701" s="44"/>
      <c r="E701" s="44"/>
      <c r="F701" s="44"/>
      <c r="G701" s="220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</row>
    <row r="702" spans="1:36" ht="15.75" customHeight="1" x14ac:dyDescent="0.25">
      <c r="A702" s="44"/>
      <c r="B702" s="44"/>
      <c r="C702" s="44"/>
      <c r="D702" s="44"/>
      <c r="E702" s="44"/>
      <c r="F702" s="44"/>
      <c r="G702" s="220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</row>
    <row r="703" spans="1:36" ht="15.75" customHeight="1" x14ac:dyDescent="0.25">
      <c r="A703" s="44"/>
      <c r="B703" s="44"/>
      <c r="C703" s="44"/>
      <c r="D703" s="44"/>
      <c r="E703" s="44"/>
      <c r="F703" s="44"/>
      <c r="G703" s="220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</row>
    <row r="704" spans="1:36" ht="15.75" customHeight="1" x14ac:dyDescent="0.25">
      <c r="A704" s="44"/>
      <c r="B704" s="44"/>
      <c r="C704" s="44"/>
      <c r="D704" s="44"/>
      <c r="E704" s="44"/>
      <c r="F704" s="44"/>
      <c r="G704" s="220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  <c r="AJ704" s="44"/>
    </row>
    <row r="705" spans="1:36" ht="15.75" customHeight="1" x14ac:dyDescent="0.25">
      <c r="A705" s="44"/>
      <c r="B705" s="44"/>
      <c r="C705" s="44"/>
      <c r="D705" s="44"/>
      <c r="E705" s="44"/>
      <c r="F705" s="44"/>
      <c r="G705" s="220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  <c r="AJ705" s="44"/>
    </row>
    <row r="706" spans="1:36" ht="15.75" customHeight="1" x14ac:dyDescent="0.25">
      <c r="A706" s="44"/>
      <c r="B706" s="44"/>
      <c r="C706" s="44"/>
      <c r="D706" s="44"/>
      <c r="E706" s="44"/>
      <c r="F706" s="44"/>
      <c r="G706" s="220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4"/>
      <c r="AJ706" s="44"/>
    </row>
    <row r="707" spans="1:36" ht="15.75" customHeight="1" x14ac:dyDescent="0.25">
      <c r="A707" s="44"/>
      <c r="B707" s="44"/>
      <c r="C707" s="44"/>
      <c r="D707" s="44"/>
      <c r="E707" s="44"/>
      <c r="F707" s="44"/>
      <c r="G707" s="220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/>
      <c r="AJ707" s="44"/>
    </row>
    <row r="708" spans="1:36" ht="15.75" customHeight="1" x14ac:dyDescent="0.25">
      <c r="A708" s="44"/>
      <c r="B708" s="44"/>
      <c r="C708" s="44"/>
      <c r="D708" s="44"/>
      <c r="E708" s="44"/>
      <c r="F708" s="44"/>
      <c r="G708" s="220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</row>
    <row r="709" spans="1:36" ht="15.75" customHeight="1" x14ac:dyDescent="0.25">
      <c r="A709" s="44"/>
      <c r="B709" s="44"/>
      <c r="C709" s="44"/>
      <c r="D709" s="44"/>
      <c r="E709" s="44"/>
      <c r="F709" s="44"/>
      <c r="G709" s="220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  <c r="AJ709" s="44"/>
    </row>
    <row r="710" spans="1:36" ht="15.75" customHeight="1" x14ac:dyDescent="0.25">
      <c r="A710" s="44"/>
      <c r="B710" s="44"/>
      <c r="C710" s="44"/>
      <c r="D710" s="44"/>
      <c r="E710" s="44"/>
      <c r="F710" s="44"/>
      <c r="G710" s="220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  <c r="AJ710" s="44"/>
    </row>
    <row r="711" spans="1:36" ht="15.75" customHeight="1" x14ac:dyDescent="0.25">
      <c r="A711" s="44"/>
      <c r="B711" s="44"/>
      <c r="C711" s="44"/>
      <c r="D711" s="44"/>
      <c r="E711" s="44"/>
      <c r="F711" s="44"/>
      <c r="G711" s="220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</row>
    <row r="712" spans="1:36" ht="15.75" customHeight="1" x14ac:dyDescent="0.25">
      <c r="A712" s="44"/>
      <c r="B712" s="44"/>
      <c r="C712" s="44"/>
      <c r="D712" s="44"/>
      <c r="E712" s="44"/>
      <c r="F712" s="44"/>
      <c r="G712" s="220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  <c r="AJ712" s="44"/>
    </row>
    <row r="713" spans="1:36" ht="15.75" customHeight="1" x14ac:dyDescent="0.25">
      <c r="A713" s="44"/>
      <c r="B713" s="44"/>
      <c r="C713" s="44"/>
      <c r="D713" s="44"/>
      <c r="E713" s="44"/>
      <c r="F713" s="44"/>
      <c r="G713" s="220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4"/>
      <c r="AJ713" s="44"/>
    </row>
    <row r="714" spans="1:36" ht="15.75" customHeight="1" x14ac:dyDescent="0.25">
      <c r="A714" s="44"/>
      <c r="B714" s="44"/>
      <c r="C714" s="44"/>
      <c r="D714" s="44"/>
      <c r="E714" s="44"/>
      <c r="F714" s="44"/>
      <c r="G714" s="220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  <c r="AJ714" s="44"/>
    </row>
    <row r="715" spans="1:36" ht="15.75" customHeight="1" x14ac:dyDescent="0.25">
      <c r="A715" s="44"/>
      <c r="B715" s="44"/>
      <c r="C715" s="44"/>
      <c r="D715" s="44"/>
      <c r="E715" s="44"/>
      <c r="F715" s="44"/>
      <c r="G715" s="220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  <c r="AJ715" s="44"/>
    </row>
    <row r="716" spans="1:36" ht="15.75" customHeight="1" x14ac:dyDescent="0.25">
      <c r="A716" s="44"/>
      <c r="B716" s="44"/>
      <c r="C716" s="44"/>
      <c r="D716" s="44"/>
      <c r="E716" s="44"/>
      <c r="F716" s="44"/>
      <c r="G716" s="220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</row>
    <row r="717" spans="1:36" ht="15.75" customHeight="1" x14ac:dyDescent="0.25">
      <c r="A717" s="44"/>
      <c r="B717" s="44"/>
      <c r="C717" s="44"/>
      <c r="D717" s="44"/>
      <c r="E717" s="44"/>
      <c r="F717" s="44"/>
      <c r="G717" s="220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</row>
    <row r="718" spans="1:36" ht="15.75" customHeight="1" x14ac:dyDescent="0.25">
      <c r="A718" s="44"/>
      <c r="B718" s="44"/>
      <c r="C718" s="44"/>
      <c r="D718" s="44"/>
      <c r="E718" s="44"/>
      <c r="F718" s="44"/>
      <c r="G718" s="220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  <c r="AJ718" s="44"/>
    </row>
    <row r="719" spans="1:36" ht="15.75" customHeight="1" x14ac:dyDescent="0.25">
      <c r="A719" s="44"/>
      <c r="B719" s="44"/>
      <c r="C719" s="44"/>
      <c r="D719" s="44"/>
      <c r="E719" s="44"/>
      <c r="F719" s="44"/>
      <c r="G719" s="220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</row>
    <row r="720" spans="1:36" ht="15.75" customHeight="1" x14ac:dyDescent="0.25">
      <c r="A720" s="44"/>
      <c r="B720" s="44"/>
      <c r="C720" s="44"/>
      <c r="D720" s="44"/>
      <c r="E720" s="44"/>
      <c r="F720" s="44"/>
      <c r="G720" s="220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  <c r="AJ720" s="44"/>
    </row>
    <row r="721" spans="1:36" ht="15.75" customHeight="1" x14ac:dyDescent="0.25">
      <c r="A721" s="44"/>
      <c r="B721" s="44"/>
      <c r="C721" s="44"/>
      <c r="D721" s="44"/>
      <c r="E721" s="44"/>
      <c r="F721" s="44"/>
      <c r="G721" s="220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</row>
    <row r="722" spans="1:36" ht="15.75" customHeight="1" x14ac:dyDescent="0.25">
      <c r="A722" s="44"/>
      <c r="B722" s="44"/>
      <c r="C722" s="44"/>
      <c r="D722" s="44"/>
      <c r="E722" s="44"/>
      <c r="F722" s="44"/>
      <c r="G722" s="220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</row>
    <row r="723" spans="1:36" ht="15.75" customHeight="1" x14ac:dyDescent="0.25">
      <c r="A723" s="44"/>
      <c r="B723" s="44"/>
      <c r="C723" s="44"/>
      <c r="D723" s="44"/>
      <c r="E723" s="44"/>
      <c r="F723" s="44"/>
      <c r="G723" s="220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</row>
    <row r="724" spans="1:36" ht="15.75" customHeight="1" x14ac:dyDescent="0.25">
      <c r="A724" s="44"/>
      <c r="B724" s="44"/>
      <c r="C724" s="44"/>
      <c r="D724" s="44"/>
      <c r="E724" s="44"/>
      <c r="F724" s="44"/>
      <c r="G724" s="220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</row>
    <row r="725" spans="1:36" ht="15.75" customHeight="1" x14ac:dyDescent="0.25">
      <c r="A725" s="44"/>
      <c r="B725" s="44"/>
      <c r="C725" s="44"/>
      <c r="D725" s="44"/>
      <c r="E725" s="44"/>
      <c r="F725" s="44"/>
      <c r="G725" s="220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</row>
    <row r="726" spans="1:36" ht="15.75" customHeight="1" x14ac:dyDescent="0.25">
      <c r="A726" s="44"/>
      <c r="B726" s="44"/>
      <c r="C726" s="44"/>
      <c r="D726" s="44"/>
      <c r="E726" s="44"/>
      <c r="F726" s="44"/>
      <c r="G726" s="220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</row>
    <row r="727" spans="1:36" ht="15.75" customHeight="1" x14ac:dyDescent="0.25">
      <c r="A727" s="44"/>
      <c r="B727" s="44"/>
      <c r="C727" s="44"/>
      <c r="D727" s="44"/>
      <c r="E727" s="44"/>
      <c r="F727" s="44"/>
      <c r="G727" s="220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</row>
    <row r="728" spans="1:36" ht="15.75" customHeight="1" x14ac:dyDescent="0.25">
      <c r="A728" s="44"/>
      <c r="B728" s="44"/>
      <c r="C728" s="44"/>
      <c r="D728" s="44"/>
      <c r="E728" s="44"/>
      <c r="F728" s="44"/>
      <c r="G728" s="220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</row>
    <row r="729" spans="1:36" ht="15.75" customHeight="1" x14ac:dyDescent="0.25">
      <c r="A729" s="44"/>
      <c r="B729" s="44"/>
      <c r="C729" s="44"/>
      <c r="D729" s="44"/>
      <c r="E729" s="44"/>
      <c r="F729" s="44"/>
      <c r="G729" s="220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</row>
    <row r="730" spans="1:36" ht="15.75" customHeight="1" x14ac:dyDescent="0.25">
      <c r="A730" s="44"/>
      <c r="B730" s="44"/>
      <c r="C730" s="44"/>
      <c r="D730" s="44"/>
      <c r="E730" s="44"/>
      <c r="F730" s="44"/>
      <c r="G730" s="220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</row>
    <row r="731" spans="1:36" ht="15.75" customHeight="1" x14ac:dyDescent="0.25">
      <c r="A731" s="44"/>
      <c r="B731" s="44"/>
      <c r="C731" s="44"/>
      <c r="D731" s="44"/>
      <c r="E731" s="44"/>
      <c r="F731" s="44"/>
      <c r="G731" s="220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</row>
    <row r="732" spans="1:36" ht="15.75" customHeight="1" x14ac:dyDescent="0.25">
      <c r="A732" s="44"/>
      <c r="B732" s="44"/>
      <c r="C732" s="44"/>
      <c r="D732" s="44"/>
      <c r="E732" s="44"/>
      <c r="F732" s="44"/>
      <c r="G732" s="220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</row>
    <row r="733" spans="1:36" ht="15.75" customHeight="1" x14ac:dyDescent="0.25">
      <c r="A733" s="44"/>
      <c r="B733" s="44"/>
      <c r="C733" s="44"/>
      <c r="D733" s="44"/>
      <c r="E733" s="44"/>
      <c r="F733" s="44"/>
      <c r="G733" s="220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</row>
    <row r="734" spans="1:36" ht="15.75" customHeight="1" x14ac:dyDescent="0.25">
      <c r="A734" s="44"/>
      <c r="B734" s="44"/>
      <c r="C734" s="44"/>
      <c r="D734" s="44"/>
      <c r="E734" s="44"/>
      <c r="F734" s="44"/>
      <c r="G734" s="220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</row>
    <row r="735" spans="1:36" ht="15.75" customHeight="1" x14ac:dyDescent="0.25">
      <c r="A735" s="44"/>
      <c r="B735" s="44"/>
      <c r="C735" s="44"/>
      <c r="D735" s="44"/>
      <c r="E735" s="44"/>
      <c r="F735" s="44"/>
      <c r="G735" s="220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</row>
    <row r="736" spans="1:36" ht="15.75" customHeight="1" x14ac:dyDescent="0.25">
      <c r="A736" s="44"/>
      <c r="B736" s="44"/>
      <c r="C736" s="44"/>
      <c r="D736" s="44"/>
      <c r="E736" s="44"/>
      <c r="F736" s="44"/>
      <c r="G736" s="220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</row>
    <row r="737" spans="1:36" ht="15.75" customHeight="1" x14ac:dyDescent="0.25">
      <c r="A737" s="44"/>
      <c r="B737" s="44"/>
      <c r="C737" s="44"/>
      <c r="D737" s="44"/>
      <c r="E737" s="44"/>
      <c r="F737" s="44"/>
      <c r="G737" s="220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</row>
    <row r="738" spans="1:36" ht="15.75" customHeight="1" x14ac:dyDescent="0.25">
      <c r="A738" s="44"/>
      <c r="B738" s="44"/>
      <c r="C738" s="44"/>
      <c r="D738" s="44"/>
      <c r="E738" s="44"/>
      <c r="F738" s="44"/>
      <c r="G738" s="220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</row>
    <row r="739" spans="1:36" ht="15.75" customHeight="1" x14ac:dyDescent="0.25">
      <c r="A739" s="44"/>
      <c r="B739" s="44"/>
      <c r="C739" s="44"/>
      <c r="D739" s="44"/>
      <c r="E739" s="44"/>
      <c r="F739" s="44"/>
      <c r="G739" s="220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</row>
    <row r="740" spans="1:36" ht="15.75" customHeight="1" x14ac:dyDescent="0.25">
      <c r="A740" s="44"/>
      <c r="B740" s="44"/>
      <c r="C740" s="44"/>
      <c r="D740" s="44"/>
      <c r="E740" s="44"/>
      <c r="F740" s="44"/>
      <c r="G740" s="220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</row>
    <row r="741" spans="1:36" ht="15.75" customHeight="1" x14ac:dyDescent="0.25">
      <c r="A741" s="44"/>
      <c r="B741" s="44"/>
      <c r="C741" s="44"/>
      <c r="D741" s="44"/>
      <c r="E741" s="44"/>
      <c r="F741" s="44"/>
      <c r="G741" s="220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</row>
    <row r="742" spans="1:36" ht="15.75" customHeight="1" x14ac:dyDescent="0.25">
      <c r="A742" s="44"/>
      <c r="B742" s="44"/>
      <c r="C742" s="44"/>
      <c r="D742" s="44"/>
      <c r="E742" s="44"/>
      <c r="F742" s="44"/>
      <c r="G742" s="220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  <c r="AJ742" s="44"/>
    </row>
    <row r="743" spans="1:36" ht="15.75" customHeight="1" x14ac:dyDescent="0.25">
      <c r="A743" s="44"/>
      <c r="B743" s="44"/>
      <c r="C743" s="44"/>
      <c r="D743" s="44"/>
      <c r="E743" s="44"/>
      <c r="F743" s="44"/>
      <c r="G743" s="220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  <c r="AJ743" s="44"/>
    </row>
    <row r="744" spans="1:36" ht="15.75" customHeight="1" x14ac:dyDescent="0.25">
      <c r="A744" s="44"/>
      <c r="B744" s="44"/>
      <c r="C744" s="44"/>
      <c r="D744" s="44"/>
      <c r="E744" s="44"/>
      <c r="F744" s="44"/>
      <c r="G744" s="220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</row>
    <row r="745" spans="1:36" ht="15.75" customHeight="1" x14ac:dyDescent="0.25">
      <c r="A745" s="44"/>
      <c r="B745" s="44"/>
      <c r="C745" s="44"/>
      <c r="D745" s="44"/>
      <c r="E745" s="44"/>
      <c r="F745" s="44"/>
      <c r="G745" s="220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</row>
    <row r="746" spans="1:36" ht="15.75" customHeight="1" x14ac:dyDescent="0.25">
      <c r="A746" s="44"/>
      <c r="B746" s="44"/>
      <c r="C746" s="44"/>
      <c r="D746" s="44"/>
      <c r="E746" s="44"/>
      <c r="F746" s="44"/>
      <c r="G746" s="220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  <c r="AJ746" s="44"/>
    </row>
    <row r="747" spans="1:36" ht="15.75" customHeight="1" x14ac:dyDescent="0.25">
      <c r="A747" s="44"/>
      <c r="B747" s="44"/>
      <c r="C747" s="44"/>
      <c r="D747" s="44"/>
      <c r="E747" s="44"/>
      <c r="F747" s="44"/>
      <c r="G747" s="220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</row>
    <row r="748" spans="1:36" ht="15.75" customHeight="1" x14ac:dyDescent="0.25">
      <c r="A748" s="44"/>
      <c r="B748" s="44"/>
      <c r="C748" s="44"/>
      <c r="D748" s="44"/>
      <c r="E748" s="44"/>
      <c r="F748" s="44"/>
      <c r="G748" s="220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</row>
    <row r="749" spans="1:36" ht="15.75" customHeight="1" x14ac:dyDescent="0.25">
      <c r="A749" s="44"/>
      <c r="B749" s="44"/>
      <c r="C749" s="44"/>
      <c r="D749" s="44"/>
      <c r="E749" s="44"/>
      <c r="F749" s="44"/>
      <c r="G749" s="220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</row>
    <row r="750" spans="1:36" ht="15.75" customHeight="1" x14ac:dyDescent="0.25">
      <c r="A750" s="44"/>
      <c r="B750" s="44"/>
      <c r="C750" s="44"/>
      <c r="D750" s="44"/>
      <c r="E750" s="44"/>
      <c r="F750" s="44"/>
      <c r="G750" s="220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</row>
    <row r="751" spans="1:36" ht="15.75" customHeight="1" x14ac:dyDescent="0.25">
      <c r="A751" s="44"/>
      <c r="B751" s="44"/>
      <c r="C751" s="44"/>
      <c r="D751" s="44"/>
      <c r="E751" s="44"/>
      <c r="F751" s="44"/>
      <c r="G751" s="220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  <c r="AJ751" s="44"/>
    </row>
    <row r="752" spans="1:36" ht="15.75" customHeight="1" x14ac:dyDescent="0.25">
      <c r="A752" s="44"/>
      <c r="B752" s="44"/>
      <c r="C752" s="44"/>
      <c r="D752" s="44"/>
      <c r="E752" s="44"/>
      <c r="F752" s="44"/>
      <c r="G752" s="220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</row>
    <row r="753" spans="1:36" ht="15.75" customHeight="1" x14ac:dyDescent="0.25">
      <c r="A753" s="44"/>
      <c r="B753" s="44"/>
      <c r="C753" s="44"/>
      <c r="D753" s="44"/>
      <c r="E753" s="44"/>
      <c r="F753" s="44"/>
      <c r="G753" s="220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</row>
    <row r="754" spans="1:36" ht="15.75" customHeight="1" x14ac:dyDescent="0.25">
      <c r="A754" s="44"/>
      <c r="B754" s="44"/>
      <c r="C754" s="44"/>
      <c r="D754" s="44"/>
      <c r="E754" s="44"/>
      <c r="F754" s="44"/>
      <c r="G754" s="220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</row>
    <row r="755" spans="1:36" ht="15.75" customHeight="1" x14ac:dyDescent="0.25">
      <c r="A755" s="44"/>
      <c r="B755" s="44"/>
      <c r="C755" s="44"/>
      <c r="D755" s="44"/>
      <c r="E755" s="44"/>
      <c r="F755" s="44"/>
      <c r="G755" s="220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</row>
    <row r="756" spans="1:36" ht="15.75" customHeight="1" x14ac:dyDescent="0.25">
      <c r="A756" s="44"/>
      <c r="B756" s="44"/>
      <c r="C756" s="44"/>
      <c r="D756" s="44"/>
      <c r="E756" s="44"/>
      <c r="F756" s="44"/>
      <c r="G756" s="220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  <c r="AI756" s="44"/>
      <c r="AJ756" s="44"/>
    </row>
    <row r="757" spans="1:36" ht="15.75" customHeight="1" x14ac:dyDescent="0.25">
      <c r="A757" s="44"/>
      <c r="B757" s="44"/>
      <c r="C757" s="44"/>
      <c r="D757" s="44"/>
      <c r="E757" s="44"/>
      <c r="F757" s="44"/>
      <c r="G757" s="220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  <c r="AI757" s="44"/>
      <c r="AJ757" s="44"/>
    </row>
    <row r="758" spans="1:36" ht="15.75" customHeight="1" x14ac:dyDescent="0.25">
      <c r="A758" s="44"/>
      <c r="B758" s="44"/>
      <c r="C758" s="44"/>
      <c r="D758" s="44"/>
      <c r="E758" s="44"/>
      <c r="F758" s="44"/>
      <c r="G758" s="220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  <c r="AI758" s="44"/>
      <c r="AJ758" s="44"/>
    </row>
    <row r="759" spans="1:36" ht="15.75" customHeight="1" x14ac:dyDescent="0.25">
      <c r="A759" s="44"/>
      <c r="B759" s="44"/>
      <c r="C759" s="44"/>
      <c r="D759" s="44"/>
      <c r="E759" s="44"/>
      <c r="F759" s="44"/>
      <c r="G759" s="220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  <c r="AI759" s="44"/>
      <c r="AJ759" s="44"/>
    </row>
    <row r="760" spans="1:36" ht="15.75" customHeight="1" x14ac:dyDescent="0.25">
      <c r="A760" s="44"/>
      <c r="B760" s="44"/>
      <c r="C760" s="44"/>
      <c r="D760" s="44"/>
      <c r="E760" s="44"/>
      <c r="F760" s="44"/>
      <c r="G760" s="220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  <c r="AI760" s="44"/>
      <c r="AJ760" s="44"/>
    </row>
    <row r="761" spans="1:36" ht="15.75" customHeight="1" x14ac:dyDescent="0.25">
      <c r="A761" s="44"/>
      <c r="B761" s="44"/>
      <c r="C761" s="44"/>
      <c r="D761" s="44"/>
      <c r="E761" s="44"/>
      <c r="F761" s="44"/>
      <c r="G761" s="220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  <c r="AI761" s="44"/>
      <c r="AJ761" s="44"/>
    </row>
    <row r="762" spans="1:36" ht="15.75" customHeight="1" x14ac:dyDescent="0.25">
      <c r="A762" s="44"/>
      <c r="B762" s="44"/>
      <c r="C762" s="44"/>
      <c r="D762" s="44"/>
      <c r="E762" s="44"/>
      <c r="F762" s="44"/>
      <c r="G762" s="220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  <c r="AI762" s="44"/>
      <c r="AJ762" s="44"/>
    </row>
    <row r="763" spans="1:36" ht="15.75" customHeight="1" x14ac:dyDescent="0.25">
      <c r="A763" s="44"/>
      <c r="B763" s="44"/>
      <c r="C763" s="44"/>
      <c r="D763" s="44"/>
      <c r="E763" s="44"/>
      <c r="F763" s="44"/>
      <c r="G763" s="220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  <c r="AI763" s="44"/>
      <c r="AJ763" s="44"/>
    </row>
    <row r="764" spans="1:36" ht="15.75" customHeight="1" x14ac:dyDescent="0.25">
      <c r="A764" s="44"/>
      <c r="B764" s="44"/>
      <c r="C764" s="44"/>
      <c r="D764" s="44"/>
      <c r="E764" s="44"/>
      <c r="F764" s="44"/>
      <c r="G764" s="220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  <c r="AI764" s="44"/>
      <c r="AJ764" s="44"/>
    </row>
    <row r="765" spans="1:36" ht="15.75" customHeight="1" x14ac:dyDescent="0.25">
      <c r="A765" s="44"/>
      <c r="B765" s="44"/>
      <c r="C765" s="44"/>
      <c r="D765" s="44"/>
      <c r="E765" s="44"/>
      <c r="F765" s="44"/>
      <c r="G765" s="220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  <c r="AI765" s="44"/>
      <c r="AJ765" s="44"/>
    </row>
    <row r="766" spans="1:36" ht="15.75" customHeight="1" x14ac:dyDescent="0.25">
      <c r="A766" s="44"/>
      <c r="B766" s="44"/>
      <c r="C766" s="44"/>
      <c r="D766" s="44"/>
      <c r="E766" s="44"/>
      <c r="F766" s="44"/>
      <c r="G766" s="220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</row>
    <row r="767" spans="1:36" ht="15.75" customHeight="1" x14ac:dyDescent="0.25">
      <c r="A767" s="44"/>
      <c r="B767" s="44"/>
      <c r="C767" s="44"/>
      <c r="D767" s="44"/>
      <c r="E767" s="44"/>
      <c r="F767" s="44"/>
      <c r="G767" s="220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</row>
    <row r="768" spans="1:36" ht="15.75" customHeight="1" x14ac:dyDescent="0.25">
      <c r="A768" s="44"/>
      <c r="B768" s="44"/>
      <c r="C768" s="44"/>
      <c r="D768" s="44"/>
      <c r="E768" s="44"/>
      <c r="F768" s="44"/>
      <c r="G768" s="220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  <c r="AI768" s="44"/>
      <c r="AJ768" s="44"/>
    </row>
    <row r="769" spans="1:36" ht="15.75" customHeight="1" x14ac:dyDescent="0.25">
      <c r="A769" s="44"/>
      <c r="B769" s="44"/>
      <c r="C769" s="44"/>
      <c r="D769" s="44"/>
      <c r="E769" s="44"/>
      <c r="F769" s="44"/>
      <c r="G769" s="220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</row>
    <row r="770" spans="1:36" ht="15.75" customHeight="1" x14ac:dyDescent="0.25">
      <c r="A770" s="44"/>
      <c r="B770" s="44"/>
      <c r="C770" s="44"/>
      <c r="D770" s="44"/>
      <c r="E770" s="44"/>
      <c r="F770" s="44"/>
      <c r="G770" s="220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</row>
    <row r="771" spans="1:36" ht="15.75" customHeight="1" x14ac:dyDescent="0.25">
      <c r="A771" s="44"/>
      <c r="B771" s="44"/>
      <c r="C771" s="44"/>
      <c r="D771" s="44"/>
      <c r="E771" s="44"/>
      <c r="F771" s="44"/>
      <c r="G771" s="220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</row>
    <row r="772" spans="1:36" ht="15.75" customHeight="1" x14ac:dyDescent="0.25">
      <c r="A772" s="44"/>
      <c r="B772" s="44"/>
      <c r="C772" s="44"/>
      <c r="D772" s="44"/>
      <c r="E772" s="44"/>
      <c r="F772" s="44"/>
      <c r="G772" s="220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</row>
    <row r="773" spans="1:36" ht="15.75" customHeight="1" x14ac:dyDescent="0.25">
      <c r="A773" s="44"/>
      <c r="B773" s="44"/>
      <c r="C773" s="44"/>
      <c r="D773" s="44"/>
      <c r="E773" s="44"/>
      <c r="F773" s="44"/>
      <c r="G773" s="220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</row>
    <row r="774" spans="1:36" ht="15.75" customHeight="1" x14ac:dyDescent="0.25">
      <c r="A774" s="44"/>
      <c r="B774" s="44"/>
      <c r="C774" s="44"/>
      <c r="D774" s="44"/>
      <c r="E774" s="44"/>
      <c r="F774" s="44"/>
      <c r="G774" s="220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</row>
    <row r="775" spans="1:36" ht="15.75" customHeight="1" x14ac:dyDescent="0.25">
      <c r="A775" s="44"/>
      <c r="B775" s="44"/>
      <c r="C775" s="44"/>
      <c r="D775" s="44"/>
      <c r="E775" s="44"/>
      <c r="F775" s="44"/>
      <c r="G775" s="220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</row>
    <row r="776" spans="1:36" ht="15.75" customHeight="1" x14ac:dyDescent="0.25">
      <c r="A776" s="44"/>
      <c r="B776" s="44"/>
      <c r="C776" s="44"/>
      <c r="D776" s="44"/>
      <c r="E776" s="44"/>
      <c r="F776" s="44"/>
      <c r="G776" s="220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</row>
    <row r="777" spans="1:36" ht="15.75" customHeight="1" x14ac:dyDescent="0.25">
      <c r="A777" s="44"/>
      <c r="B777" s="44"/>
      <c r="C777" s="44"/>
      <c r="D777" s="44"/>
      <c r="E777" s="44"/>
      <c r="F777" s="44"/>
      <c r="G777" s="220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</row>
    <row r="778" spans="1:36" ht="15.75" customHeight="1" x14ac:dyDescent="0.25">
      <c r="A778" s="44"/>
      <c r="B778" s="44"/>
      <c r="C778" s="44"/>
      <c r="D778" s="44"/>
      <c r="E778" s="44"/>
      <c r="F778" s="44"/>
      <c r="G778" s="220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</row>
    <row r="779" spans="1:36" ht="15.75" customHeight="1" x14ac:dyDescent="0.25">
      <c r="A779" s="44"/>
      <c r="B779" s="44"/>
      <c r="C779" s="44"/>
      <c r="D779" s="44"/>
      <c r="E779" s="44"/>
      <c r="F779" s="44"/>
      <c r="G779" s="220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</row>
    <row r="780" spans="1:36" ht="15.75" customHeight="1" x14ac:dyDescent="0.25">
      <c r="A780" s="44"/>
      <c r="B780" s="44"/>
      <c r="C780" s="44"/>
      <c r="D780" s="44"/>
      <c r="E780" s="44"/>
      <c r="F780" s="44"/>
      <c r="G780" s="220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  <c r="AI780" s="44"/>
      <c r="AJ780" s="44"/>
    </row>
    <row r="781" spans="1:36" ht="15.75" customHeight="1" x14ac:dyDescent="0.25">
      <c r="A781" s="44"/>
      <c r="B781" s="44"/>
      <c r="C781" s="44"/>
      <c r="D781" s="44"/>
      <c r="E781" s="44"/>
      <c r="F781" s="44"/>
      <c r="G781" s="220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  <c r="AI781" s="44"/>
      <c r="AJ781" s="44"/>
    </row>
    <row r="782" spans="1:36" ht="15.75" customHeight="1" x14ac:dyDescent="0.25">
      <c r="A782" s="44"/>
      <c r="B782" s="44"/>
      <c r="C782" s="44"/>
      <c r="D782" s="44"/>
      <c r="E782" s="44"/>
      <c r="F782" s="44"/>
      <c r="G782" s="220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  <c r="AI782" s="44"/>
      <c r="AJ782" s="44"/>
    </row>
    <row r="783" spans="1:36" ht="15.75" customHeight="1" x14ac:dyDescent="0.25">
      <c r="A783" s="44"/>
      <c r="B783" s="44"/>
      <c r="C783" s="44"/>
      <c r="D783" s="44"/>
      <c r="E783" s="44"/>
      <c r="F783" s="44"/>
      <c r="G783" s="220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  <c r="AI783" s="44"/>
      <c r="AJ783" s="44"/>
    </row>
    <row r="784" spans="1:36" ht="15.75" customHeight="1" x14ac:dyDescent="0.25">
      <c r="A784" s="44"/>
      <c r="B784" s="44"/>
      <c r="C784" s="44"/>
      <c r="D784" s="44"/>
      <c r="E784" s="44"/>
      <c r="F784" s="44"/>
      <c r="G784" s="220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  <c r="AI784" s="44"/>
      <c r="AJ784" s="44"/>
    </row>
    <row r="785" spans="1:36" ht="15.75" customHeight="1" x14ac:dyDescent="0.25">
      <c r="A785" s="44"/>
      <c r="B785" s="44"/>
      <c r="C785" s="44"/>
      <c r="D785" s="44"/>
      <c r="E785" s="44"/>
      <c r="F785" s="44"/>
      <c r="G785" s="220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  <c r="AI785" s="44"/>
      <c r="AJ785" s="44"/>
    </row>
    <row r="786" spans="1:36" ht="15.75" customHeight="1" x14ac:dyDescent="0.25">
      <c r="A786" s="44"/>
      <c r="B786" s="44"/>
      <c r="C786" s="44"/>
      <c r="D786" s="44"/>
      <c r="E786" s="44"/>
      <c r="F786" s="44"/>
      <c r="G786" s="220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  <c r="AI786" s="44"/>
      <c r="AJ786" s="44"/>
    </row>
    <row r="787" spans="1:36" ht="15.75" customHeight="1" x14ac:dyDescent="0.25">
      <c r="A787" s="44"/>
      <c r="B787" s="44"/>
      <c r="C787" s="44"/>
      <c r="D787" s="44"/>
      <c r="E787" s="44"/>
      <c r="F787" s="44"/>
      <c r="G787" s="220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</row>
    <row r="788" spans="1:36" ht="15.75" customHeight="1" x14ac:dyDescent="0.25">
      <c r="A788" s="44"/>
      <c r="B788" s="44"/>
      <c r="C788" s="44"/>
      <c r="D788" s="44"/>
      <c r="E788" s="44"/>
      <c r="F788" s="44"/>
      <c r="G788" s="220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  <c r="AI788" s="44"/>
      <c r="AJ788" s="44"/>
    </row>
    <row r="789" spans="1:36" ht="15.75" customHeight="1" x14ac:dyDescent="0.25">
      <c r="A789" s="44"/>
      <c r="B789" s="44"/>
      <c r="C789" s="44"/>
      <c r="D789" s="44"/>
      <c r="E789" s="44"/>
      <c r="F789" s="44"/>
      <c r="G789" s="220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  <c r="AI789" s="44"/>
      <c r="AJ789" s="44"/>
    </row>
    <row r="790" spans="1:36" ht="15.75" customHeight="1" x14ac:dyDescent="0.25">
      <c r="A790" s="44"/>
      <c r="B790" s="44"/>
      <c r="C790" s="44"/>
      <c r="D790" s="44"/>
      <c r="E790" s="44"/>
      <c r="F790" s="44"/>
      <c r="G790" s="220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  <c r="AI790" s="44"/>
      <c r="AJ790" s="44"/>
    </row>
    <row r="791" spans="1:36" ht="15.75" customHeight="1" x14ac:dyDescent="0.25">
      <c r="A791" s="44"/>
      <c r="B791" s="44"/>
      <c r="C791" s="44"/>
      <c r="D791" s="44"/>
      <c r="E791" s="44"/>
      <c r="F791" s="44"/>
      <c r="G791" s="220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  <c r="AI791" s="44"/>
      <c r="AJ791" s="44"/>
    </row>
    <row r="792" spans="1:36" ht="15.75" customHeight="1" x14ac:dyDescent="0.25">
      <c r="A792" s="44"/>
      <c r="B792" s="44"/>
      <c r="C792" s="44"/>
      <c r="D792" s="44"/>
      <c r="E792" s="44"/>
      <c r="F792" s="44"/>
      <c r="G792" s="220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  <c r="AI792" s="44"/>
      <c r="AJ792" s="44"/>
    </row>
    <row r="793" spans="1:36" ht="15.75" customHeight="1" x14ac:dyDescent="0.25">
      <c r="A793" s="44"/>
      <c r="B793" s="44"/>
      <c r="C793" s="44"/>
      <c r="D793" s="44"/>
      <c r="E793" s="44"/>
      <c r="F793" s="44"/>
      <c r="G793" s="220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  <c r="AI793" s="44"/>
      <c r="AJ793" s="44"/>
    </row>
    <row r="794" spans="1:36" ht="15.75" customHeight="1" x14ac:dyDescent="0.25">
      <c r="A794" s="44"/>
      <c r="B794" s="44"/>
      <c r="C794" s="44"/>
      <c r="D794" s="44"/>
      <c r="E794" s="44"/>
      <c r="F794" s="44"/>
      <c r="G794" s="220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  <c r="AI794" s="44"/>
      <c r="AJ794" s="44"/>
    </row>
    <row r="795" spans="1:36" ht="15.75" customHeight="1" x14ac:dyDescent="0.25">
      <c r="A795" s="44"/>
      <c r="B795" s="44"/>
      <c r="C795" s="44"/>
      <c r="D795" s="44"/>
      <c r="E795" s="44"/>
      <c r="F795" s="44"/>
      <c r="G795" s="220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  <c r="AI795" s="44"/>
      <c r="AJ795" s="44"/>
    </row>
    <row r="796" spans="1:36" ht="15.75" customHeight="1" x14ac:dyDescent="0.25">
      <c r="A796" s="44"/>
      <c r="B796" s="44"/>
      <c r="C796" s="44"/>
      <c r="D796" s="44"/>
      <c r="E796" s="44"/>
      <c r="F796" s="44"/>
      <c r="G796" s="220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  <c r="AI796" s="44"/>
      <c r="AJ796" s="44"/>
    </row>
    <row r="797" spans="1:36" ht="15.75" customHeight="1" x14ac:dyDescent="0.25">
      <c r="A797" s="44"/>
      <c r="B797" s="44"/>
      <c r="C797" s="44"/>
      <c r="D797" s="44"/>
      <c r="E797" s="44"/>
      <c r="F797" s="44"/>
      <c r="G797" s="220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  <c r="AI797" s="44"/>
      <c r="AJ797" s="44"/>
    </row>
    <row r="798" spans="1:36" ht="15.75" customHeight="1" x14ac:dyDescent="0.25">
      <c r="A798" s="44"/>
      <c r="B798" s="44"/>
      <c r="C798" s="44"/>
      <c r="D798" s="44"/>
      <c r="E798" s="44"/>
      <c r="F798" s="44"/>
      <c r="G798" s="220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  <c r="AJ798" s="44"/>
    </row>
    <row r="799" spans="1:36" ht="15.75" customHeight="1" x14ac:dyDescent="0.25">
      <c r="A799" s="44"/>
      <c r="B799" s="44"/>
      <c r="C799" s="44"/>
      <c r="D799" s="44"/>
      <c r="E799" s="44"/>
      <c r="F799" s="44"/>
      <c r="G799" s="220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  <c r="AI799" s="44"/>
      <c r="AJ799" s="44"/>
    </row>
    <row r="800" spans="1:36" ht="15.75" customHeight="1" x14ac:dyDescent="0.25">
      <c r="A800" s="44"/>
      <c r="B800" s="44"/>
      <c r="C800" s="44"/>
      <c r="D800" s="44"/>
      <c r="E800" s="44"/>
      <c r="F800" s="44"/>
      <c r="G800" s="220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  <c r="AI800" s="44"/>
      <c r="AJ800" s="44"/>
    </row>
    <row r="801" spans="1:36" ht="15.75" customHeight="1" x14ac:dyDescent="0.25">
      <c r="A801" s="44"/>
      <c r="B801" s="44"/>
      <c r="C801" s="44"/>
      <c r="D801" s="44"/>
      <c r="E801" s="44"/>
      <c r="F801" s="44"/>
      <c r="G801" s="220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  <c r="AI801" s="44"/>
      <c r="AJ801" s="44"/>
    </row>
    <row r="802" spans="1:36" ht="15.75" customHeight="1" x14ac:dyDescent="0.25">
      <c r="A802" s="44"/>
      <c r="B802" s="44"/>
      <c r="C802" s="44"/>
      <c r="D802" s="44"/>
      <c r="E802" s="44"/>
      <c r="F802" s="44"/>
      <c r="G802" s="220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  <c r="AI802" s="44"/>
      <c r="AJ802" s="44"/>
    </row>
    <row r="803" spans="1:36" ht="15.75" customHeight="1" x14ac:dyDescent="0.25">
      <c r="A803" s="44"/>
      <c r="B803" s="44"/>
      <c r="C803" s="44"/>
      <c r="D803" s="44"/>
      <c r="E803" s="44"/>
      <c r="F803" s="44"/>
      <c r="G803" s="220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  <c r="AI803" s="44"/>
      <c r="AJ803" s="44"/>
    </row>
    <row r="804" spans="1:36" ht="15.75" customHeight="1" x14ac:dyDescent="0.25">
      <c r="A804" s="44"/>
      <c r="B804" s="44"/>
      <c r="C804" s="44"/>
      <c r="D804" s="44"/>
      <c r="E804" s="44"/>
      <c r="F804" s="44"/>
      <c r="G804" s="220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  <c r="AI804" s="44"/>
      <c r="AJ804" s="44"/>
    </row>
    <row r="805" spans="1:36" ht="15.75" customHeight="1" x14ac:dyDescent="0.25">
      <c r="A805" s="44"/>
      <c r="B805" s="44"/>
      <c r="C805" s="44"/>
      <c r="D805" s="44"/>
      <c r="E805" s="44"/>
      <c r="F805" s="44"/>
      <c r="G805" s="220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  <c r="AI805" s="44"/>
      <c r="AJ805" s="44"/>
    </row>
    <row r="806" spans="1:36" ht="15.75" customHeight="1" x14ac:dyDescent="0.25">
      <c r="A806" s="44"/>
      <c r="B806" s="44"/>
      <c r="C806" s="44"/>
      <c r="D806" s="44"/>
      <c r="E806" s="44"/>
      <c r="F806" s="44"/>
      <c r="G806" s="220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</row>
    <row r="807" spans="1:36" ht="15.75" customHeight="1" x14ac:dyDescent="0.25">
      <c r="A807" s="44"/>
      <c r="B807" s="44"/>
      <c r="C807" s="44"/>
      <c r="D807" s="44"/>
      <c r="E807" s="44"/>
      <c r="F807" s="44"/>
      <c r="G807" s="220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</row>
    <row r="808" spans="1:36" ht="15.75" customHeight="1" x14ac:dyDescent="0.25">
      <c r="A808" s="44"/>
      <c r="B808" s="44"/>
      <c r="C808" s="44"/>
      <c r="D808" s="44"/>
      <c r="E808" s="44"/>
      <c r="F808" s="44"/>
      <c r="G808" s="220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  <c r="AI808" s="44"/>
      <c r="AJ808" s="44"/>
    </row>
    <row r="809" spans="1:36" ht="15.75" customHeight="1" x14ac:dyDescent="0.25">
      <c r="A809" s="44"/>
      <c r="B809" s="44"/>
      <c r="C809" s="44"/>
      <c r="D809" s="44"/>
      <c r="E809" s="44"/>
      <c r="F809" s="44"/>
      <c r="G809" s="220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</row>
    <row r="810" spans="1:36" ht="15.75" customHeight="1" x14ac:dyDescent="0.25">
      <c r="A810" s="44"/>
      <c r="B810" s="44"/>
      <c r="C810" s="44"/>
      <c r="D810" s="44"/>
      <c r="E810" s="44"/>
      <c r="F810" s="44"/>
      <c r="G810" s="220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</row>
    <row r="811" spans="1:36" ht="15.75" customHeight="1" x14ac:dyDescent="0.25">
      <c r="A811" s="44"/>
      <c r="B811" s="44"/>
      <c r="C811" s="44"/>
      <c r="D811" s="44"/>
      <c r="E811" s="44"/>
      <c r="F811" s="44"/>
      <c r="G811" s="220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</row>
    <row r="812" spans="1:36" ht="15.75" customHeight="1" x14ac:dyDescent="0.25">
      <c r="A812" s="44"/>
      <c r="B812" s="44"/>
      <c r="C812" s="44"/>
      <c r="D812" s="44"/>
      <c r="E812" s="44"/>
      <c r="F812" s="44"/>
      <c r="G812" s="220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</row>
    <row r="813" spans="1:36" ht="15.75" customHeight="1" x14ac:dyDescent="0.25">
      <c r="A813" s="44"/>
      <c r="B813" s="44"/>
      <c r="C813" s="44"/>
      <c r="D813" s="44"/>
      <c r="E813" s="44"/>
      <c r="F813" s="44"/>
      <c r="G813" s="220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</row>
    <row r="814" spans="1:36" ht="15.75" customHeight="1" x14ac:dyDescent="0.25">
      <c r="A814" s="44"/>
      <c r="B814" s="44"/>
      <c r="C814" s="44"/>
      <c r="D814" s="44"/>
      <c r="E814" s="44"/>
      <c r="F814" s="44"/>
      <c r="G814" s="220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</row>
    <row r="815" spans="1:36" ht="15.75" customHeight="1" x14ac:dyDescent="0.25">
      <c r="A815" s="44"/>
      <c r="B815" s="44"/>
      <c r="C815" s="44"/>
      <c r="D815" s="44"/>
      <c r="E815" s="44"/>
      <c r="F815" s="44"/>
      <c r="G815" s="220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</row>
    <row r="816" spans="1:36" ht="15.75" customHeight="1" x14ac:dyDescent="0.25">
      <c r="A816" s="44"/>
      <c r="B816" s="44"/>
      <c r="C816" s="44"/>
      <c r="D816" s="44"/>
      <c r="E816" s="44"/>
      <c r="F816" s="44"/>
      <c r="G816" s="220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</row>
    <row r="817" spans="1:36" ht="15.75" customHeight="1" x14ac:dyDescent="0.25">
      <c r="A817" s="44"/>
      <c r="B817" s="44"/>
      <c r="C817" s="44"/>
      <c r="D817" s="44"/>
      <c r="E817" s="44"/>
      <c r="F817" s="44"/>
      <c r="G817" s="220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</row>
    <row r="818" spans="1:36" ht="15.75" customHeight="1" x14ac:dyDescent="0.25">
      <c r="A818" s="44"/>
      <c r="B818" s="44"/>
      <c r="C818" s="44"/>
      <c r="D818" s="44"/>
      <c r="E818" s="44"/>
      <c r="F818" s="44"/>
      <c r="G818" s="220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</row>
    <row r="819" spans="1:36" ht="15.75" customHeight="1" x14ac:dyDescent="0.25">
      <c r="A819" s="44"/>
      <c r="B819" s="44"/>
      <c r="C819" s="44"/>
      <c r="D819" s="44"/>
      <c r="E819" s="44"/>
      <c r="F819" s="44"/>
      <c r="G819" s="220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</row>
    <row r="820" spans="1:36" ht="15.75" customHeight="1" x14ac:dyDescent="0.25">
      <c r="A820" s="44"/>
      <c r="B820" s="44"/>
      <c r="C820" s="44"/>
      <c r="D820" s="44"/>
      <c r="E820" s="44"/>
      <c r="F820" s="44"/>
      <c r="G820" s="220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  <c r="AI820" s="44"/>
      <c r="AJ820" s="44"/>
    </row>
    <row r="821" spans="1:36" ht="15.75" customHeight="1" x14ac:dyDescent="0.25">
      <c r="A821" s="44"/>
      <c r="B821" s="44"/>
      <c r="C821" s="44"/>
      <c r="D821" s="44"/>
      <c r="E821" s="44"/>
      <c r="F821" s="44"/>
      <c r="G821" s="220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  <c r="AI821" s="44"/>
      <c r="AJ821" s="44"/>
    </row>
    <row r="822" spans="1:36" ht="15.75" customHeight="1" x14ac:dyDescent="0.25">
      <c r="A822" s="44"/>
      <c r="B822" s="44"/>
      <c r="C822" s="44"/>
      <c r="D822" s="44"/>
      <c r="E822" s="44"/>
      <c r="F822" s="44"/>
      <c r="G822" s="220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  <c r="AI822" s="44"/>
      <c r="AJ822" s="44"/>
    </row>
    <row r="823" spans="1:36" ht="15.75" customHeight="1" x14ac:dyDescent="0.25">
      <c r="A823" s="44"/>
      <c r="B823" s="44"/>
      <c r="C823" s="44"/>
      <c r="D823" s="44"/>
      <c r="E823" s="44"/>
      <c r="F823" s="44"/>
      <c r="G823" s="220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  <c r="AI823" s="44"/>
      <c r="AJ823" s="44"/>
    </row>
    <row r="824" spans="1:36" ht="15.75" customHeight="1" x14ac:dyDescent="0.25">
      <c r="A824" s="44"/>
      <c r="B824" s="44"/>
      <c r="C824" s="44"/>
      <c r="D824" s="44"/>
      <c r="E824" s="44"/>
      <c r="F824" s="44"/>
      <c r="G824" s="220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  <c r="AI824" s="44"/>
      <c r="AJ824" s="44"/>
    </row>
    <row r="825" spans="1:36" ht="15.75" customHeight="1" x14ac:dyDescent="0.25">
      <c r="A825" s="44"/>
      <c r="B825" s="44"/>
      <c r="C825" s="44"/>
      <c r="D825" s="44"/>
      <c r="E825" s="44"/>
      <c r="F825" s="44"/>
      <c r="G825" s="220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</row>
    <row r="826" spans="1:36" ht="15.75" customHeight="1" x14ac:dyDescent="0.25">
      <c r="A826" s="44"/>
      <c r="B826" s="44"/>
      <c r="C826" s="44"/>
      <c r="D826" s="44"/>
      <c r="E826" s="44"/>
      <c r="F826" s="44"/>
      <c r="G826" s="220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  <c r="AI826" s="44"/>
      <c r="AJ826" s="44"/>
    </row>
    <row r="827" spans="1:36" ht="15.75" customHeight="1" x14ac:dyDescent="0.25">
      <c r="A827" s="44"/>
      <c r="B827" s="44"/>
      <c r="C827" s="44"/>
      <c r="D827" s="44"/>
      <c r="E827" s="44"/>
      <c r="F827" s="44"/>
      <c r="G827" s="220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  <c r="AI827" s="44"/>
      <c r="AJ827" s="44"/>
    </row>
    <row r="828" spans="1:36" ht="15.75" customHeight="1" x14ac:dyDescent="0.25">
      <c r="A828" s="44"/>
      <c r="B828" s="44"/>
      <c r="C828" s="44"/>
      <c r="D828" s="44"/>
      <c r="E828" s="44"/>
      <c r="F828" s="44"/>
      <c r="G828" s="220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  <c r="AI828" s="44"/>
      <c r="AJ828" s="44"/>
    </row>
    <row r="829" spans="1:36" ht="15.75" customHeight="1" x14ac:dyDescent="0.25">
      <c r="A829" s="44"/>
      <c r="B829" s="44"/>
      <c r="C829" s="44"/>
      <c r="D829" s="44"/>
      <c r="E829" s="44"/>
      <c r="F829" s="44"/>
      <c r="G829" s="220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  <c r="AI829" s="44"/>
      <c r="AJ829" s="44"/>
    </row>
    <row r="830" spans="1:36" ht="15.75" customHeight="1" x14ac:dyDescent="0.25">
      <c r="A830" s="44"/>
      <c r="B830" s="44"/>
      <c r="C830" s="44"/>
      <c r="D830" s="44"/>
      <c r="E830" s="44"/>
      <c r="F830" s="44"/>
      <c r="G830" s="220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  <c r="AI830" s="44"/>
      <c r="AJ830" s="44"/>
    </row>
    <row r="831" spans="1:36" ht="15.75" customHeight="1" x14ac:dyDescent="0.25">
      <c r="A831" s="44"/>
      <c r="B831" s="44"/>
      <c r="C831" s="44"/>
      <c r="D831" s="44"/>
      <c r="E831" s="44"/>
      <c r="F831" s="44"/>
      <c r="G831" s="220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</row>
    <row r="832" spans="1:36" ht="15.75" customHeight="1" x14ac:dyDescent="0.25">
      <c r="A832" s="44"/>
      <c r="B832" s="44"/>
      <c r="C832" s="44"/>
      <c r="D832" s="44"/>
      <c r="E832" s="44"/>
      <c r="F832" s="44"/>
      <c r="G832" s="220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  <c r="AI832" s="44"/>
      <c r="AJ832" s="44"/>
    </row>
    <row r="833" spans="1:36" ht="15.75" customHeight="1" x14ac:dyDescent="0.25">
      <c r="A833" s="44"/>
      <c r="B833" s="44"/>
      <c r="C833" s="44"/>
      <c r="D833" s="44"/>
      <c r="E833" s="44"/>
      <c r="F833" s="44"/>
      <c r="G833" s="220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  <c r="AI833" s="44"/>
      <c r="AJ833" s="44"/>
    </row>
    <row r="834" spans="1:36" ht="15.75" customHeight="1" x14ac:dyDescent="0.25">
      <c r="A834" s="44"/>
      <c r="B834" s="44"/>
      <c r="C834" s="44"/>
      <c r="D834" s="44"/>
      <c r="E834" s="44"/>
      <c r="F834" s="44"/>
      <c r="G834" s="220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  <c r="AI834" s="44"/>
      <c r="AJ834" s="44"/>
    </row>
    <row r="835" spans="1:36" ht="15.75" customHeight="1" x14ac:dyDescent="0.25">
      <c r="A835" s="44"/>
      <c r="B835" s="44"/>
      <c r="C835" s="44"/>
      <c r="D835" s="44"/>
      <c r="E835" s="44"/>
      <c r="F835" s="44"/>
      <c r="G835" s="220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  <c r="AI835" s="44"/>
      <c r="AJ835" s="44"/>
    </row>
    <row r="836" spans="1:36" ht="15.75" customHeight="1" x14ac:dyDescent="0.25">
      <c r="A836" s="44"/>
      <c r="B836" s="44"/>
      <c r="C836" s="44"/>
      <c r="D836" s="44"/>
      <c r="E836" s="44"/>
      <c r="F836" s="44"/>
      <c r="G836" s="220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  <c r="AI836" s="44"/>
      <c r="AJ836" s="44"/>
    </row>
    <row r="837" spans="1:36" ht="15.75" customHeight="1" x14ac:dyDescent="0.25">
      <c r="A837" s="44"/>
      <c r="B837" s="44"/>
      <c r="C837" s="44"/>
      <c r="D837" s="44"/>
      <c r="E837" s="44"/>
      <c r="F837" s="44"/>
      <c r="G837" s="220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  <c r="AI837" s="44"/>
      <c r="AJ837" s="44"/>
    </row>
    <row r="838" spans="1:36" ht="15.75" customHeight="1" x14ac:dyDescent="0.25">
      <c r="A838" s="44"/>
      <c r="B838" s="44"/>
      <c r="C838" s="44"/>
      <c r="D838" s="44"/>
      <c r="E838" s="44"/>
      <c r="F838" s="44"/>
      <c r="G838" s="220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  <c r="AI838" s="44"/>
      <c r="AJ838" s="44"/>
    </row>
    <row r="839" spans="1:36" ht="15.75" customHeight="1" x14ac:dyDescent="0.25">
      <c r="A839" s="44"/>
      <c r="B839" s="44"/>
      <c r="C839" s="44"/>
      <c r="D839" s="44"/>
      <c r="E839" s="44"/>
      <c r="F839" s="44"/>
      <c r="G839" s="220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  <c r="AI839" s="44"/>
      <c r="AJ839" s="44"/>
    </row>
    <row r="840" spans="1:36" ht="15.75" customHeight="1" x14ac:dyDescent="0.25">
      <c r="A840" s="44"/>
      <c r="B840" s="44"/>
      <c r="C840" s="44"/>
      <c r="D840" s="44"/>
      <c r="E840" s="44"/>
      <c r="F840" s="44"/>
      <c r="G840" s="220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  <c r="AI840" s="44"/>
      <c r="AJ840" s="44"/>
    </row>
    <row r="841" spans="1:36" ht="15.75" customHeight="1" x14ac:dyDescent="0.25">
      <c r="A841" s="44"/>
      <c r="B841" s="44"/>
      <c r="C841" s="44"/>
      <c r="D841" s="44"/>
      <c r="E841" s="44"/>
      <c r="F841" s="44"/>
      <c r="G841" s="220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  <c r="AI841" s="44"/>
      <c r="AJ841" s="44"/>
    </row>
    <row r="842" spans="1:36" ht="15.75" customHeight="1" x14ac:dyDescent="0.25">
      <c r="A842" s="44"/>
      <c r="B842" s="44"/>
      <c r="C842" s="44"/>
      <c r="D842" s="44"/>
      <c r="E842" s="44"/>
      <c r="F842" s="44"/>
      <c r="G842" s="220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  <c r="AI842" s="44"/>
      <c r="AJ842" s="44"/>
    </row>
    <row r="843" spans="1:36" ht="15.75" customHeight="1" x14ac:dyDescent="0.25">
      <c r="A843" s="44"/>
      <c r="B843" s="44"/>
      <c r="C843" s="44"/>
      <c r="D843" s="44"/>
      <c r="E843" s="44"/>
      <c r="F843" s="44"/>
      <c r="G843" s="220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</row>
    <row r="844" spans="1:36" ht="15.75" customHeight="1" x14ac:dyDescent="0.25">
      <c r="A844" s="44"/>
      <c r="B844" s="44"/>
      <c r="C844" s="44"/>
      <c r="D844" s="44"/>
      <c r="E844" s="44"/>
      <c r="F844" s="44"/>
      <c r="G844" s="220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  <c r="AI844" s="44"/>
      <c r="AJ844" s="44"/>
    </row>
    <row r="845" spans="1:36" ht="15.75" customHeight="1" x14ac:dyDescent="0.25">
      <c r="A845" s="44"/>
      <c r="B845" s="44"/>
      <c r="C845" s="44"/>
      <c r="D845" s="44"/>
      <c r="E845" s="44"/>
      <c r="F845" s="44"/>
      <c r="G845" s="220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  <c r="AI845" s="44"/>
      <c r="AJ845" s="44"/>
    </row>
    <row r="846" spans="1:36" ht="15.75" customHeight="1" x14ac:dyDescent="0.25">
      <c r="A846" s="44"/>
      <c r="B846" s="44"/>
      <c r="C846" s="44"/>
      <c r="D846" s="44"/>
      <c r="E846" s="44"/>
      <c r="F846" s="44"/>
      <c r="G846" s="220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</row>
    <row r="847" spans="1:36" ht="15.75" customHeight="1" x14ac:dyDescent="0.25">
      <c r="A847" s="44"/>
      <c r="B847" s="44"/>
      <c r="C847" s="44"/>
      <c r="D847" s="44"/>
      <c r="E847" s="44"/>
      <c r="F847" s="44"/>
      <c r="G847" s="220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</row>
    <row r="848" spans="1:36" ht="15.75" customHeight="1" x14ac:dyDescent="0.25">
      <c r="A848" s="44"/>
      <c r="B848" s="44"/>
      <c r="C848" s="44"/>
      <c r="D848" s="44"/>
      <c r="E848" s="44"/>
      <c r="F848" s="44"/>
      <c r="G848" s="220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  <c r="AI848" s="44"/>
      <c r="AJ848" s="44"/>
    </row>
    <row r="849" spans="1:36" ht="15.75" customHeight="1" x14ac:dyDescent="0.25">
      <c r="A849" s="44"/>
      <c r="B849" s="44"/>
      <c r="C849" s="44"/>
      <c r="D849" s="44"/>
      <c r="E849" s="44"/>
      <c r="F849" s="44"/>
      <c r="G849" s="220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</row>
    <row r="850" spans="1:36" ht="15.75" customHeight="1" x14ac:dyDescent="0.25">
      <c r="A850" s="44"/>
      <c r="B850" s="44"/>
      <c r="C850" s="44"/>
      <c r="D850" s="44"/>
      <c r="E850" s="44"/>
      <c r="F850" s="44"/>
      <c r="G850" s="220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</row>
    <row r="851" spans="1:36" ht="15.75" customHeight="1" x14ac:dyDescent="0.25">
      <c r="A851" s="44"/>
      <c r="B851" s="44"/>
      <c r="C851" s="44"/>
      <c r="D851" s="44"/>
      <c r="E851" s="44"/>
      <c r="F851" s="44"/>
      <c r="G851" s="220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</row>
    <row r="852" spans="1:36" ht="15.75" customHeight="1" x14ac:dyDescent="0.25">
      <c r="A852" s="44"/>
      <c r="B852" s="44"/>
      <c r="C852" s="44"/>
      <c r="D852" s="44"/>
      <c r="E852" s="44"/>
      <c r="F852" s="44"/>
      <c r="G852" s="220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</row>
    <row r="853" spans="1:36" ht="15.75" customHeight="1" x14ac:dyDescent="0.25">
      <c r="A853" s="44"/>
      <c r="B853" s="44"/>
      <c r="C853" s="44"/>
      <c r="D853" s="44"/>
      <c r="E853" s="44"/>
      <c r="F853" s="44"/>
      <c r="G853" s="220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</row>
    <row r="854" spans="1:36" ht="15.75" customHeight="1" x14ac:dyDescent="0.25">
      <c r="A854" s="44"/>
      <c r="B854" s="44"/>
      <c r="C854" s="44"/>
      <c r="D854" s="44"/>
      <c r="E854" s="44"/>
      <c r="F854" s="44"/>
      <c r="G854" s="220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</row>
    <row r="855" spans="1:36" ht="15.75" customHeight="1" x14ac:dyDescent="0.25">
      <c r="A855" s="44"/>
      <c r="B855" s="44"/>
      <c r="C855" s="44"/>
      <c r="D855" s="44"/>
      <c r="E855" s="44"/>
      <c r="F855" s="44"/>
      <c r="G855" s="220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</row>
    <row r="856" spans="1:36" ht="15.75" customHeight="1" x14ac:dyDescent="0.25">
      <c r="A856" s="44"/>
      <c r="B856" s="44"/>
      <c r="C856" s="44"/>
      <c r="D856" s="44"/>
      <c r="E856" s="44"/>
      <c r="F856" s="44"/>
      <c r="G856" s="220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</row>
    <row r="857" spans="1:36" ht="15.75" customHeight="1" x14ac:dyDescent="0.25">
      <c r="A857" s="44"/>
      <c r="B857" s="44"/>
      <c r="C857" s="44"/>
      <c r="D857" s="44"/>
      <c r="E857" s="44"/>
      <c r="F857" s="44"/>
      <c r="G857" s="220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</row>
    <row r="858" spans="1:36" ht="15.75" customHeight="1" x14ac:dyDescent="0.25">
      <c r="A858" s="44"/>
      <c r="B858" s="44"/>
      <c r="C858" s="44"/>
      <c r="D858" s="44"/>
      <c r="E858" s="44"/>
      <c r="F858" s="44"/>
      <c r="G858" s="220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</row>
    <row r="859" spans="1:36" ht="15.75" customHeight="1" x14ac:dyDescent="0.25">
      <c r="A859" s="44"/>
      <c r="B859" s="44"/>
      <c r="C859" s="44"/>
      <c r="D859" s="44"/>
      <c r="E859" s="44"/>
      <c r="F859" s="44"/>
      <c r="G859" s="220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</row>
    <row r="860" spans="1:36" ht="15.75" customHeight="1" x14ac:dyDescent="0.25">
      <c r="A860" s="44"/>
      <c r="B860" s="44"/>
      <c r="C860" s="44"/>
      <c r="D860" s="44"/>
      <c r="E860" s="44"/>
      <c r="F860" s="44"/>
      <c r="G860" s="220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  <c r="AI860" s="44"/>
      <c r="AJ860" s="44"/>
    </row>
    <row r="861" spans="1:36" ht="15.75" customHeight="1" x14ac:dyDescent="0.25">
      <c r="A861" s="44"/>
      <c r="B861" s="44"/>
      <c r="C861" s="44"/>
      <c r="D861" s="44"/>
      <c r="E861" s="44"/>
      <c r="F861" s="44"/>
      <c r="G861" s="220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  <c r="AI861" s="44"/>
      <c r="AJ861" s="44"/>
    </row>
    <row r="862" spans="1:36" ht="15.75" customHeight="1" x14ac:dyDescent="0.25">
      <c r="A862" s="44"/>
      <c r="B862" s="44"/>
      <c r="C862" s="44"/>
      <c r="D862" s="44"/>
      <c r="E862" s="44"/>
      <c r="F862" s="44"/>
      <c r="G862" s="220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  <c r="AI862" s="44"/>
      <c r="AJ862" s="44"/>
    </row>
    <row r="863" spans="1:36" ht="15.75" customHeight="1" x14ac:dyDescent="0.25">
      <c r="A863" s="44"/>
      <c r="B863" s="44"/>
      <c r="C863" s="44"/>
      <c r="D863" s="44"/>
      <c r="E863" s="44"/>
      <c r="F863" s="44"/>
      <c r="G863" s="220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</row>
    <row r="864" spans="1:36" ht="15.75" customHeight="1" x14ac:dyDescent="0.25">
      <c r="A864" s="44"/>
      <c r="B864" s="44"/>
      <c r="C864" s="44"/>
      <c r="D864" s="44"/>
      <c r="E864" s="44"/>
      <c r="F864" s="44"/>
      <c r="G864" s="220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  <c r="AI864" s="44"/>
      <c r="AJ864" s="44"/>
    </row>
    <row r="865" spans="1:36" ht="15.75" customHeight="1" x14ac:dyDescent="0.25">
      <c r="A865" s="44"/>
      <c r="B865" s="44"/>
      <c r="C865" s="44"/>
      <c r="D865" s="44"/>
      <c r="E865" s="44"/>
      <c r="F865" s="44"/>
      <c r="G865" s="220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  <c r="AI865" s="44"/>
      <c r="AJ865" s="44"/>
    </row>
    <row r="866" spans="1:36" ht="15.75" customHeight="1" x14ac:dyDescent="0.25">
      <c r="A866" s="44"/>
      <c r="B866" s="44"/>
      <c r="C866" s="44"/>
      <c r="D866" s="44"/>
      <c r="E866" s="44"/>
      <c r="F866" s="44"/>
      <c r="G866" s="220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  <c r="AI866" s="44"/>
      <c r="AJ866" s="44"/>
    </row>
    <row r="867" spans="1:36" ht="15.75" customHeight="1" x14ac:dyDescent="0.25">
      <c r="A867" s="44"/>
      <c r="B867" s="44"/>
      <c r="C867" s="44"/>
      <c r="D867" s="44"/>
      <c r="E867" s="44"/>
      <c r="F867" s="44"/>
      <c r="G867" s="220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  <c r="AI867" s="44"/>
      <c r="AJ867" s="44"/>
    </row>
    <row r="868" spans="1:36" ht="15.75" customHeight="1" x14ac:dyDescent="0.25">
      <c r="A868" s="44"/>
      <c r="B868" s="44"/>
      <c r="C868" s="44"/>
      <c r="D868" s="44"/>
      <c r="E868" s="44"/>
      <c r="F868" s="44"/>
      <c r="G868" s="220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  <c r="AI868" s="44"/>
      <c r="AJ868" s="44"/>
    </row>
    <row r="869" spans="1:36" ht="15.75" customHeight="1" x14ac:dyDescent="0.25">
      <c r="A869" s="44"/>
      <c r="B869" s="44"/>
      <c r="C869" s="44"/>
      <c r="D869" s="44"/>
      <c r="E869" s="44"/>
      <c r="F869" s="44"/>
      <c r="G869" s="220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  <c r="AI869" s="44"/>
      <c r="AJ869" s="44"/>
    </row>
    <row r="870" spans="1:36" ht="15.75" customHeight="1" x14ac:dyDescent="0.25">
      <c r="A870" s="44"/>
      <c r="B870" s="44"/>
      <c r="C870" s="44"/>
      <c r="D870" s="44"/>
      <c r="E870" s="44"/>
      <c r="F870" s="44"/>
      <c r="G870" s="220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  <c r="AI870" s="44"/>
      <c r="AJ870" s="44"/>
    </row>
    <row r="871" spans="1:36" ht="15.75" customHeight="1" x14ac:dyDescent="0.25">
      <c r="A871" s="44"/>
      <c r="B871" s="44"/>
      <c r="C871" s="44"/>
      <c r="D871" s="44"/>
      <c r="E871" s="44"/>
      <c r="F871" s="44"/>
      <c r="G871" s="220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  <c r="AI871" s="44"/>
      <c r="AJ871" s="44"/>
    </row>
    <row r="872" spans="1:36" ht="15.75" customHeight="1" x14ac:dyDescent="0.25">
      <c r="A872" s="44"/>
      <c r="B872" s="44"/>
      <c r="C872" s="44"/>
      <c r="D872" s="44"/>
      <c r="E872" s="44"/>
      <c r="F872" s="44"/>
      <c r="G872" s="220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  <c r="AI872" s="44"/>
      <c r="AJ872" s="44"/>
    </row>
    <row r="873" spans="1:36" ht="15.75" customHeight="1" x14ac:dyDescent="0.25">
      <c r="A873" s="44"/>
      <c r="B873" s="44"/>
      <c r="C873" s="44"/>
      <c r="D873" s="44"/>
      <c r="E873" s="44"/>
      <c r="F873" s="44"/>
      <c r="G873" s="220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  <c r="AI873" s="44"/>
      <c r="AJ873" s="44"/>
    </row>
    <row r="874" spans="1:36" ht="15.75" customHeight="1" x14ac:dyDescent="0.25">
      <c r="A874" s="44"/>
      <c r="B874" s="44"/>
      <c r="C874" s="44"/>
      <c r="D874" s="44"/>
      <c r="E874" s="44"/>
      <c r="F874" s="44"/>
      <c r="G874" s="220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  <c r="AI874" s="44"/>
      <c r="AJ874" s="44"/>
    </row>
    <row r="875" spans="1:36" ht="15.75" customHeight="1" x14ac:dyDescent="0.25">
      <c r="A875" s="44"/>
      <c r="B875" s="44"/>
      <c r="C875" s="44"/>
      <c r="D875" s="44"/>
      <c r="E875" s="44"/>
      <c r="F875" s="44"/>
      <c r="G875" s="220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  <c r="AI875" s="44"/>
      <c r="AJ875" s="44"/>
    </row>
    <row r="876" spans="1:36" ht="15.75" customHeight="1" x14ac:dyDescent="0.25">
      <c r="A876" s="44"/>
      <c r="B876" s="44"/>
      <c r="C876" s="44"/>
      <c r="D876" s="44"/>
      <c r="E876" s="44"/>
      <c r="F876" s="44"/>
      <c r="G876" s="220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  <c r="AI876" s="44"/>
      <c r="AJ876" s="44"/>
    </row>
    <row r="877" spans="1:36" ht="15.75" customHeight="1" x14ac:dyDescent="0.25">
      <c r="A877" s="44"/>
      <c r="B877" s="44"/>
      <c r="C877" s="44"/>
      <c r="D877" s="44"/>
      <c r="E877" s="44"/>
      <c r="F877" s="44"/>
      <c r="G877" s="220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  <c r="AI877" s="44"/>
      <c r="AJ877" s="44"/>
    </row>
    <row r="878" spans="1:36" ht="15.75" customHeight="1" x14ac:dyDescent="0.25">
      <c r="A878" s="44"/>
      <c r="B878" s="44"/>
      <c r="C878" s="44"/>
      <c r="D878" s="44"/>
      <c r="E878" s="44"/>
      <c r="F878" s="44"/>
      <c r="G878" s="220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  <c r="AI878" s="44"/>
      <c r="AJ878" s="44"/>
    </row>
    <row r="879" spans="1:36" ht="15.75" customHeight="1" x14ac:dyDescent="0.25">
      <c r="A879" s="44"/>
      <c r="B879" s="44"/>
      <c r="C879" s="44"/>
      <c r="D879" s="44"/>
      <c r="E879" s="44"/>
      <c r="F879" s="44"/>
      <c r="G879" s="220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  <c r="AI879" s="44"/>
      <c r="AJ879" s="44"/>
    </row>
    <row r="880" spans="1:36" ht="15.75" customHeight="1" x14ac:dyDescent="0.25">
      <c r="A880" s="44"/>
      <c r="B880" s="44"/>
      <c r="C880" s="44"/>
      <c r="D880" s="44"/>
      <c r="E880" s="44"/>
      <c r="F880" s="44"/>
      <c r="G880" s="220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  <c r="AI880" s="44"/>
      <c r="AJ880" s="44"/>
    </row>
    <row r="881" spans="1:36" ht="15.75" customHeight="1" x14ac:dyDescent="0.25">
      <c r="A881" s="44"/>
      <c r="B881" s="44"/>
      <c r="C881" s="44"/>
      <c r="D881" s="44"/>
      <c r="E881" s="44"/>
      <c r="F881" s="44"/>
      <c r="G881" s="220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  <c r="AI881" s="44"/>
      <c r="AJ881" s="44"/>
    </row>
    <row r="882" spans="1:36" ht="15.75" customHeight="1" x14ac:dyDescent="0.25">
      <c r="A882" s="44"/>
      <c r="B882" s="44"/>
      <c r="C882" s="44"/>
      <c r="D882" s="44"/>
      <c r="E882" s="44"/>
      <c r="F882" s="44"/>
      <c r="G882" s="220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  <c r="AI882" s="44"/>
      <c r="AJ882" s="44"/>
    </row>
    <row r="883" spans="1:36" ht="15.75" customHeight="1" x14ac:dyDescent="0.25">
      <c r="A883" s="44"/>
      <c r="B883" s="44"/>
      <c r="C883" s="44"/>
      <c r="D883" s="44"/>
      <c r="E883" s="44"/>
      <c r="F883" s="44"/>
      <c r="G883" s="220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  <c r="AI883" s="44"/>
      <c r="AJ883" s="44"/>
    </row>
    <row r="884" spans="1:36" ht="15.75" customHeight="1" x14ac:dyDescent="0.25">
      <c r="A884" s="44"/>
      <c r="B884" s="44"/>
      <c r="C884" s="44"/>
      <c r="D884" s="44"/>
      <c r="E884" s="44"/>
      <c r="F884" s="44"/>
      <c r="G884" s="220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  <c r="AI884" s="44"/>
      <c r="AJ884" s="44"/>
    </row>
    <row r="885" spans="1:36" ht="15.75" customHeight="1" x14ac:dyDescent="0.25">
      <c r="A885" s="44"/>
      <c r="B885" s="44"/>
      <c r="C885" s="44"/>
      <c r="D885" s="44"/>
      <c r="E885" s="44"/>
      <c r="F885" s="44"/>
      <c r="G885" s="220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  <c r="AI885" s="44"/>
      <c r="AJ885" s="44"/>
    </row>
    <row r="886" spans="1:36" ht="15.75" customHeight="1" x14ac:dyDescent="0.25">
      <c r="A886" s="44"/>
      <c r="B886" s="44"/>
      <c r="C886" s="44"/>
      <c r="D886" s="44"/>
      <c r="E886" s="44"/>
      <c r="F886" s="44"/>
      <c r="G886" s="220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</row>
    <row r="887" spans="1:36" ht="15.75" customHeight="1" x14ac:dyDescent="0.25">
      <c r="A887" s="44"/>
      <c r="B887" s="44"/>
      <c r="C887" s="44"/>
      <c r="D887" s="44"/>
      <c r="E887" s="44"/>
      <c r="F887" s="44"/>
      <c r="G887" s="220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</row>
    <row r="888" spans="1:36" ht="15.75" customHeight="1" x14ac:dyDescent="0.25">
      <c r="A888" s="44"/>
      <c r="B888" s="44"/>
      <c r="C888" s="44"/>
      <c r="D888" s="44"/>
      <c r="E888" s="44"/>
      <c r="F888" s="44"/>
      <c r="G888" s="220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  <c r="AI888" s="44"/>
      <c r="AJ888" s="44"/>
    </row>
    <row r="889" spans="1:36" ht="15.75" customHeight="1" x14ac:dyDescent="0.25">
      <c r="A889" s="44"/>
      <c r="B889" s="44"/>
      <c r="C889" s="44"/>
      <c r="D889" s="44"/>
      <c r="E889" s="44"/>
      <c r="F889" s="44"/>
      <c r="G889" s="220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</row>
    <row r="890" spans="1:36" ht="15.75" customHeight="1" x14ac:dyDescent="0.25">
      <c r="A890" s="44"/>
      <c r="B890" s="44"/>
      <c r="C890" s="44"/>
      <c r="D890" s="44"/>
      <c r="E890" s="44"/>
      <c r="F890" s="44"/>
      <c r="G890" s="220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</row>
    <row r="891" spans="1:36" ht="15.75" customHeight="1" x14ac:dyDescent="0.25">
      <c r="A891" s="44"/>
      <c r="B891" s="44"/>
      <c r="C891" s="44"/>
      <c r="D891" s="44"/>
      <c r="E891" s="44"/>
      <c r="F891" s="44"/>
      <c r="G891" s="220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</row>
    <row r="892" spans="1:36" ht="15.75" customHeight="1" x14ac:dyDescent="0.25">
      <c r="A892" s="44"/>
      <c r="B892" s="44"/>
      <c r="C892" s="44"/>
      <c r="D892" s="44"/>
      <c r="E892" s="44"/>
      <c r="F892" s="44"/>
      <c r="G892" s="220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</row>
    <row r="893" spans="1:36" ht="15.75" customHeight="1" x14ac:dyDescent="0.25">
      <c r="A893" s="44"/>
      <c r="B893" s="44"/>
      <c r="C893" s="44"/>
      <c r="D893" s="44"/>
      <c r="E893" s="44"/>
      <c r="F893" s="44"/>
      <c r="G893" s="220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</row>
    <row r="894" spans="1:36" ht="15.75" customHeight="1" x14ac:dyDescent="0.25">
      <c r="A894" s="44"/>
      <c r="B894" s="44"/>
      <c r="C894" s="44"/>
      <c r="D894" s="44"/>
      <c r="E894" s="44"/>
      <c r="F894" s="44"/>
      <c r="G894" s="220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</row>
    <row r="895" spans="1:36" ht="15.75" customHeight="1" x14ac:dyDescent="0.25">
      <c r="A895" s="44"/>
      <c r="B895" s="44"/>
      <c r="C895" s="44"/>
      <c r="D895" s="44"/>
      <c r="E895" s="44"/>
      <c r="F895" s="44"/>
      <c r="G895" s="220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</row>
    <row r="896" spans="1:36" ht="15.75" customHeight="1" x14ac:dyDescent="0.25">
      <c r="A896" s="44"/>
      <c r="B896" s="44"/>
      <c r="C896" s="44"/>
      <c r="D896" s="44"/>
      <c r="E896" s="44"/>
      <c r="F896" s="44"/>
      <c r="G896" s="220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</row>
    <row r="897" spans="1:36" ht="15.75" customHeight="1" x14ac:dyDescent="0.25">
      <c r="A897" s="44"/>
      <c r="B897" s="44"/>
      <c r="C897" s="44"/>
      <c r="D897" s="44"/>
      <c r="E897" s="44"/>
      <c r="F897" s="44"/>
      <c r="G897" s="220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</row>
    <row r="898" spans="1:36" ht="15.75" customHeight="1" x14ac:dyDescent="0.25">
      <c r="A898" s="44"/>
      <c r="B898" s="44"/>
      <c r="C898" s="44"/>
      <c r="D898" s="44"/>
      <c r="E898" s="44"/>
      <c r="F898" s="44"/>
      <c r="G898" s="220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</row>
    <row r="899" spans="1:36" ht="15.75" customHeight="1" x14ac:dyDescent="0.25">
      <c r="A899" s="44"/>
      <c r="B899" s="44"/>
      <c r="C899" s="44"/>
      <c r="D899" s="44"/>
      <c r="E899" s="44"/>
      <c r="F899" s="44"/>
      <c r="G899" s="220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</row>
    <row r="900" spans="1:36" ht="15.75" customHeight="1" x14ac:dyDescent="0.25">
      <c r="A900" s="44"/>
      <c r="B900" s="44"/>
      <c r="C900" s="44"/>
      <c r="D900" s="44"/>
      <c r="E900" s="44"/>
      <c r="F900" s="44"/>
      <c r="G900" s="220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  <c r="AI900" s="44"/>
      <c r="AJ900" s="44"/>
    </row>
    <row r="901" spans="1:36" ht="15.75" customHeight="1" x14ac:dyDescent="0.25">
      <c r="A901" s="44"/>
      <c r="B901" s="44"/>
      <c r="C901" s="44"/>
      <c r="D901" s="44"/>
      <c r="E901" s="44"/>
      <c r="F901" s="44"/>
      <c r="G901" s="220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</row>
    <row r="902" spans="1:36" ht="15.75" customHeight="1" x14ac:dyDescent="0.25">
      <c r="A902" s="44"/>
      <c r="B902" s="44"/>
      <c r="C902" s="44"/>
      <c r="D902" s="44"/>
      <c r="E902" s="44"/>
      <c r="F902" s="44"/>
      <c r="G902" s="220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  <c r="AI902" s="44"/>
      <c r="AJ902" s="44"/>
    </row>
    <row r="903" spans="1:36" ht="15.75" customHeight="1" x14ac:dyDescent="0.25">
      <c r="A903" s="44"/>
      <c r="B903" s="44"/>
      <c r="C903" s="44"/>
      <c r="D903" s="44"/>
      <c r="E903" s="44"/>
      <c r="F903" s="44"/>
      <c r="G903" s="220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  <c r="AI903" s="44"/>
      <c r="AJ903" s="44"/>
    </row>
    <row r="904" spans="1:36" ht="15.75" customHeight="1" x14ac:dyDescent="0.25">
      <c r="A904" s="44"/>
      <c r="B904" s="44"/>
      <c r="C904" s="44"/>
      <c r="D904" s="44"/>
      <c r="E904" s="44"/>
      <c r="F904" s="44"/>
      <c r="G904" s="220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  <c r="AI904" s="44"/>
      <c r="AJ904" s="44"/>
    </row>
    <row r="905" spans="1:36" ht="15.75" customHeight="1" x14ac:dyDescent="0.25">
      <c r="A905" s="44"/>
      <c r="B905" s="44"/>
      <c r="C905" s="44"/>
      <c r="D905" s="44"/>
      <c r="E905" s="44"/>
      <c r="F905" s="44"/>
      <c r="G905" s="220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  <c r="AI905" s="44"/>
      <c r="AJ905" s="44"/>
    </row>
    <row r="906" spans="1:36" ht="15.75" customHeight="1" x14ac:dyDescent="0.25">
      <c r="A906" s="44"/>
      <c r="B906" s="44"/>
      <c r="C906" s="44"/>
      <c r="D906" s="44"/>
      <c r="E906" s="44"/>
      <c r="F906" s="44"/>
      <c r="G906" s="220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  <c r="AI906" s="44"/>
      <c r="AJ906" s="44"/>
    </row>
    <row r="907" spans="1:36" ht="15.75" customHeight="1" x14ac:dyDescent="0.25">
      <c r="A907" s="44"/>
      <c r="B907" s="44"/>
      <c r="C907" s="44"/>
      <c r="D907" s="44"/>
      <c r="E907" s="44"/>
      <c r="F907" s="44"/>
      <c r="G907" s="220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  <c r="AI907" s="44"/>
      <c r="AJ907" s="44"/>
    </row>
    <row r="908" spans="1:36" ht="15.75" customHeight="1" x14ac:dyDescent="0.25">
      <c r="A908" s="44"/>
      <c r="B908" s="44"/>
      <c r="C908" s="44"/>
      <c r="D908" s="44"/>
      <c r="E908" s="44"/>
      <c r="F908" s="44"/>
      <c r="G908" s="220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  <c r="AI908" s="44"/>
      <c r="AJ908" s="44"/>
    </row>
    <row r="909" spans="1:36" ht="15.75" customHeight="1" x14ac:dyDescent="0.25">
      <c r="A909" s="44"/>
      <c r="B909" s="44"/>
      <c r="C909" s="44"/>
      <c r="D909" s="44"/>
      <c r="E909" s="44"/>
      <c r="F909" s="44"/>
      <c r="G909" s="220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  <c r="AI909" s="44"/>
      <c r="AJ909" s="44"/>
    </row>
    <row r="910" spans="1:36" ht="15.75" customHeight="1" x14ac:dyDescent="0.25">
      <c r="A910" s="44"/>
      <c r="B910" s="44"/>
      <c r="C910" s="44"/>
      <c r="D910" s="44"/>
      <c r="E910" s="44"/>
      <c r="F910" s="44"/>
      <c r="G910" s="220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  <c r="AI910" s="44"/>
      <c r="AJ910" s="44"/>
    </row>
    <row r="911" spans="1:36" ht="15.75" customHeight="1" x14ac:dyDescent="0.25">
      <c r="A911" s="44"/>
      <c r="B911" s="44"/>
      <c r="C911" s="44"/>
      <c r="D911" s="44"/>
      <c r="E911" s="44"/>
      <c r="F911" s="44"/>
      <c r="G911" s="220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  <c r="AI911" s="44"/>
      <c r="AJ911" s="44"/>
    </row>
    <row r="912" spans="1:36" ht="15.75" customHeight="1" x14ac:dyDescent="0.25">
      <c r="A912" s="44"/>
      <c r="B912" s="44"/>
      <c r="C912" s="44"/>
      <c r="D912" s="44"/>
      <c r="E912" s="44"/>
      <c r="F912" s="44"/>
      <c r="G912" s="220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  <c r="AI912" s="44"/>
      <c r="AJ912" s="44"/>
    </row>
    <row r="913" spans="1:36" ht="15.75" customHeight="1" x14ac:dyDescent="0.25">
      <c r="A913" s="44"/>
      <c r="B913" s="44"/>
      <c r="C913" s="44"/>
      <c r="D913" s="44"/>
      <c r="E913" s="44"/>
      <c r="F913" s="44"/>
      <c r="G913" s="220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  <c r="AI913" s="44"/>
      <c r="AJ913" s="44"/>
    </row>
    <row r="914" spans="1:36" ht="15.75" customHeight="1" x14ac:dyDescent="0.25">
      <c r="A914" s="44"/>
      <c r="B914" s="44"/>
      <c r="C914" s="44"/>
      <c r="D914" s="44"/>
      <c r="E914" s="44"/>
      <c r="F914" s="44"/>
      <c r="G914" s="220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  <c r="AI914" s="44"/>
      <c r="AJ914" s="44"/>
    </row>
    <row r="915" spans="1:36" ht="15.75" customHeight="1" x14ac:dyDescent="0.25">
      <c r="A915" s="44"/>
      <c r="B915" s="44"/>
      <c r="C915" s="44"/>
      <c r="D915" s="44"/>
      <c r="E915" s="44"/>
      <c r="F915" s="44"/>
      <c r="G915" s="220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  <c r="AI915" s="44"/>
      <c r="AJ915" s="44"/>
    </row>
    <row r="916" spans="1:36" ht="15.75" customHeight="1" x14ac:dyDescent="0.25">
      <c r="A916" s="44"/>
      <c r="B916" s="44"/>
      <c r="C916" s="44"/>
      <c r="D916" s="44"/>
      <c r="E916" s="44"/>
      <c r="F916" s="44"/>
      <c r="G916" s="220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  <c r="AI916" s="44"/>
      <c r="AJ916" s="44"/>
    </row>
    <row r="917" spans="1:36" ht="15.75" customHeight="1" x14ac:dyDescent="0.25">
      <c r="A917" s="44"/>
      <c r="B917" s="44"/>
      <c r="C917" s="44"/>
      <c r="D917" s="44"/>
      <c r="E917" s="44"/>
      <c r="F917" s="44"/>
      <c r="G917" s="220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  <c r="AI917" s="44"/>
      <c r="AJ917" s="44"/>
    </row>
    <row r="918" spans="1:36" ht="15.75" customHeight="1" x14ac:dyDescent="0.25">
      <c r="A918" s="44"/>
      <c r="B918" s="44"/>
      <c r="C918" s="44"/>
      <c r="D918" s="44"/>
      <c r="E918" s="44"/>
      <c r="F918" s="44"/>
      <c r="G918" s="220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  <c r="AI918" s="44"/>
      <c r="AJ918" s="44"/>
    </row>
    <row r="919" spans="1:36" ht="15.75" customHeight="1" x14ac:dyDescent="0.25">
      <c r="A919" s="44"/>
      <c r="B919" s="44"/>
      <c r="C919" s="44"/>
      <c r="D919" s="44"/>
      <c r="E919" s="44"/>
      <c r="F919" s="44"/>
      <c r="G919" s="220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  <c r="AI919" s="44"/>
      <c r="AJ919" s="44"/>
    </row>
    <row r="920" spans="1:36" ht="15.75" customHeight="1" x14ac:dyDescent="0.25">
      <c r="A920" s="44"/>
      <c r="B920" s="44"/>
      <c r="C920" s="44"/>
      <c r="D920" s="44"/>
      <c r="E920" s="44"/>
      <c r="F920" s="44"/>
      <c r="G920" s="220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  <c r="AI920" s="44"/>
      <c r="AJ920" s="44"/>
    </row>
    <row r="921" spans="1:36" ht="15.75" customHeight="1" x14ac:dyDescent="0.25">
      <c r="A921" s="44"/>
      <c r="B921" s="44"/>
      <c r="C921" s="44"/>
      <c r="D921" s="44"/>
      <c r="E921" s="44"/>
      <c r="F921" s="44"/>
      <c r="G921" s="220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  <c r="AI921" s="44"/>
      <c r="AJ921" s="44"/>
    </row>
    <row r="922" spans="1:36" ht="15.75" customHeight="1" x14ac:dyDescent="0.25">
      <c r="A922" s="44"/>
      <c r="B922" s="44"/>
      <c r="C922" s="44"/>
      <c r="D922" s="44"/>
      <c r="E922" s="44"/>
      <c r="F922" s="44"/>
      <c r="G922" s="220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</row>
    <row r="923" spans="1:36" ht="15.75" customHeight="1" x14ac:dyDescent="0.25">
      <c r="A923" s="44"/>
      <c r="B923" s="44"/>
      <c r="C923" s="44"/>
      <c r="D923" s="44"/>
      <c r="E923" s="44"/>
      <c r="F923" s="44"/>
      <c r="G923" s="220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  <c r="AI923" s="44"/>
      <c r="AJ923" s="44"/>
    </row>
    <row r="924" spans="1:36" ht="15.75" customHeight="1" x14ac:dyDescent="0.25">
      <c r="A924" s="44"/>
      <c r="B924" s="44"/>
      <c r="C924" s="44"/>
      <c r="D924" s="44"/>
      <c r="E924" s="44"/>
      <c r="F924" s="44"/>
      <c r="G924" s="220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  <c r="AI924" s="44"/>
      <c r="AJ924" s="44"/>
    </row>
    <row r="925" spans="1:36" ht="15.75" customHeight="1" x14ac:dyDescent="0.25">
      <c r="A925" s="44"/>
      <c r="B925" s="44"/>
      <c r="C925" s="44"/>
      <c r="D925" s="44"/>
      <c r="E925" s="44"/>
      <c r="F925" s="44"/>
      <c r="G925" s="220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  <c r="AI925" s="44"/>
      <c r="AJ925" s="44"/>
    </row>
    <row r="926" spans="1:36" ht="15.75" customHeight="1" x14ac:dyDescent="0.25">
      <c r="A926" s="44"/>
      <c r="B926" s="44"/>
      <c r="C926" s="44"/>
      <c r="D926" s="44"/>
      <c r="E926" s="44"/>
      <c r="F926" s="44"/>
      <c r="G926" s="220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</row>
    <row r="927" spans="1:36" ht="15.75" customHeight="1" x14ac:dyDescent="0.25">
      <c r="A927" s="44"/>
      <c r="B927" s="44"/>
      <c r="C927" s="44"/>
      <c r="D927" s="44"/>
      <c r="E927" s="44"/>
      <c r="F927" s="44"/>
      <c r="G927" s="220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</row>
    <row r="928" spans="1:36" ht="15.75" customHeight="1" x14ac:dyDescent="0.25">
      <c r="A928" s="44"/>
      <c r="B928" s="44"/>
      <c r="C928" s="44"/>
      <c r="D928" s="44"/>
      <c r="E928" s="44"/>
      <c r="F928" s="44"/>
      <c r="G928" s="220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  <c r="AI928" s="44"/>
      <c r="AJ928" s="44"/>
    </row>
    <row r="929" spans="1:36" ht="15.75" customHeight="1" x14ac:dyDescent="0.25">
      <c r="A929" s="44"/>
      <c r="B929" s="44"/>
      <c r="C929" s="44"/>
      <c r="D929" s="44"/>
      <c r="E929" s="44"/>
      <c r="F929" s="44"/>
      <c r="G929" s="220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</row>
    <row r="930" spans="1:36" ht="15.75" customHeight="1" x14ac:dyDescent="0.25">
      <c r="A930" s="44"/>
      <c r="B930" s="44"/>
      <c r="C930" s="44"/>
      <c r="D930" s="44"/>
      <c r="E930" s="44"/>
      <c r="F930" s="44"/>
      <c r="G930" s="220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</row>
    <row r="931" spans="1:36" ht="15.75" customHeight="1" x14ac:dyDescent="0.25">
      <c r="A931" s="44"/>
      <c r="B931" s="44"/>
      <c r="C931" s="44"/>
      <c r="D931" s="44"/>
      <c r="E931" s="44"/>
      <c r="F931" s="44"/>
      <c r="G931" s="220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</row>
    <row r="932" spans="1:36" ht="15.75" customHeight="1" x14ac:dyDescent="0.25">
      <c r="A932" s="44"/>
      <c r="B932" s="44"/>
      <c r="C932" s="44"/>
      <c r="D932" s="44"/>
      <c r="E932" s="44"/>
      <c r="F932" s="44"/>
      <c r="G932" s="220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</row>
    <row r="933" spans="1:36" ht="15.75" customHeight="1" x14ac:dyDescent="0.25">
      <c r="A933" s="44"/>
      <c r="B933" s="44"/>
      <c r="C933" s="44"/>
      <c r="D933" s="44"/>
      <c r="E933" s="44"/>
      <c r="F933" s="44"/>
      <c r="G933" s="220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</row>
    <row r="934" spans="1:36" ht="15.75" customHeight="1" x14ac:dyDescent="0.25">
      <c r="A934" s="44"/>
      <c r="B934" s="44"/>
      <c r="C934" s="44"/>
      <c r="D934" s="44"/>
      <c r="E934" s="44"/>
      <c r="F934" s="44"/>
      <c r="G934" s="220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</row>
    <row r="935" spans="1:36" ht="15.75" customHeight="1" x14ac:dyDescent="0.25">
      <c r="A935" s="44"/>
      <c r="B935" s="44"/>
      <c r="C935" s="44"/>
      <c r="D935" s="44"/>
      <c r="E935" s="44"/>
      <c r="F935" s="44"/>
      <c r="G935" s="220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</row>
    <row r="936" spans="1:36" ht="15.75" customHeight="1" x14ac:dyDescent="0.25">
      <c r="A936" s="44"/>
      <c r="B936" s="44"/>
      <c r="C936" s="44"/>
      <c r="D936" s="44"/>
      <c r="E936" s="44"/>
      <c r="F936" s="44"/>
      <c r="G936" s="220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</row>
    <row r="937" spans="1:36" ht="15.75" customHeight="1" x14ac:dyDescent="0.25">
      <c r="A937" s="44"/>
      <c r="B937" s="44"/>
      <c r="C937" s="44"/>
      <c r="D937" s="44"/>
      <c r="E937" s="44"/>
      <c r="F937" s="44"/>
      <c r="G937" s="220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</row>
    <row r="938" spans="1:36" ht="15.75" customHeight="1" x14ac:dyDescent="0.25">
      <c r="A938" s="44"/>
      <c r="B938" s="44"/>
      <c r="C938" s="44"/>
      <c r="D938" s="44"/>
      <c r="E938" s="44"/>
      <c r="F938" s="44"/>
      <c r="G938" s="220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</row>
    <row r="939" spans="1:36" ht="15.75" customHeight="1" x14ac:dyDescent="0.25">
      <c r="A939" s="44"/>
      <c r="B939" s="44"/>
      <c r="C939" s="44"/>
      <c r="D939" s="44"/>
      <c r="E939" s="44"/>
      <c r="F939" s="44"/>
      <c r="G939" s="220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</row>
    <row r="940" spans="1:36" ht="15.75" customHeight="1" x14ac:dyDescent="0.25">
      <c r="A940" s="44"/>
      <c r="B940" s="44"/>
      <c r="C940" s="44"/>
      <c r="D940" s="44"/>
      <c r="E940" s="44"/>
      <c r="F940" s="44"/>
      <c r="G940" s="220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</row>
    <row r="941" spans="1:36" ht="15.75" customHeight="1" x14ac:dyDescent="0.25">
      <c r="A941" s="44"/>
      <c r="B941" s="44"/>
      <c r="C941" s="44"/>
      <c r="D941" s="44"/>
      <c r="E941" s="44"/>
      <c r="F941" s="44"/>
      <c r="G941" s="220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  <c r="AI941" s="44"/>
      <c r="AJ941" s="44"/>
    </row>
    <row r="942" spans="1:36" ht="15.75" customHeight="1" x14ac:dyDescent="0.25">
      <c r="A942" s="44"/>
      <c r="B942" s="44"/>
      <c r="C942" s="44"/>
      <c r="D942" s="44"/>
      <c r="E942" s="44"/>
      <c r="F942" s="44"/>
      <c r="G942" s="220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  <c r="AI942" s="44"/>
      <c r="AJ942" s="44"/>
    </row>
    <row r="943" spans="1:36" ht="15.75" customHeight="1" x14ac:dyDescent="0.25">
      <c r="A943" s="44"/>
      <c r="B943" s="44"/>
      <c r="C943" s="44"/>
      <c r="D943" s="44"/>
      <c r="E943" s="44"/>
      <c r="F943" s="44"/>
      <c r="G943" s="220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  <c r="AI943" s="44"/>
      <c r="AJ943" s="44"/>
    </row>
    <row r="944" spans="1:36" ht="15.75" customHeight="1" x14ac:dyDescent="0.25">
      <c r="A944" s="44"/>
      <c r="B944" s="44"/>
      <c r="C944" s="44"/>
      <c r="D944" s="44"/>
      <c r="E944" s="44"/>
      <c r="F944" s="44"/>
      <c r="G944" s="220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  <c r="AI944" s="44"/>
      <c r="AJ944" s="44"/>
    </row>
    <row r="945" spans="1:36" ht="15.75" customHeight="1" x14ac:dyDescent="0.25">
      <c r="A945" s="44"/>
      <c r="B945" s="44"/>
      <c r="C945" s="44"/>
      <c r="D945" s="44"/>
      <c r="E945" s="44"/>
      <c r="F945" s="44"/>
      <c r="G945" s="220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  <c r="AI945" s="44"/>
      <c r="AJ945" s="44"/>
    </row>
    <row r="946" spans="1:36" ht="15.75" customHeight="1" x14ac:dyDescent="0.25">
      <c r="A946" s="44"/>
      <c r="B946" s="44"/>
      <c r="C946" s="44"/>
      <c r="D946" s="44"/>
      <c r="E946" s="44"/>
      <c r="F946" s="44"/>
      <c r="G946" s="220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  <c r="AI946" s="44"/>
      <c r="AJ946" s="44"/>
    </row>
    <row r="947" spans="1:36" ht="15.75" customHeight="1" x14ac:dyDescent="0.25">
      <c r="A947" s="44"/>
      <c r="B947" s="44"/>
      <c r="C947" s="44"/>
      <c r="D947" s="44"/>
      <c r="E947" s="44"/>
      <c r="F947" s="44"/>
      <c r="G947" s="220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  <c r="AI947" s="44"/>
      <c r="AJ947" s="44"/>
    </row>
    <row r="948" spans="1:36" ht="15.75" customHeight="1" x14ac:dyDescent="0.25">
      <c r="A948" s="44"/>
      <c r="B948" s="44"/>
      <c r="C948" s="44"/>
      <c r="D948" s="44"/>
      <c r="E948" s="44"/>
      <c r="F948" s="44"/>
      <c r="G948" s="220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  <c r="AI948" s="44"/>
      <c r="AJ948" s="44"/>
    </row>
    <row r="949" spans="1:36" ht="15.75" customHeight="1" x14ac:dyDescent="0.25">
      <c r="A949" s="44"/>
      <c r="B949" s="44"/>
      <c r="C949" s="44"/>
      <c r="D949" s="44"/>
      <c r="E949" s="44"/>
      <c r="F949" s="44"/>
      <c r="G949" s="220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  <c r="AI949" s="44"/>
      <c r="AJ949" s="44"/>
    </row>
    <row r="950" spans="1:36" ht="15.75" customHeight="1" x14ac:dyDescent="0.25">
      <c r="A950" s="44"/>
      <c r="B950" s="44"/>
      <c r="C950" s="44"/>
      <c r="D950" s="44"/>
      <c r="E950" s="44"/>
      <c r="F950" s="44"/>
      <c r="G950" s="220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  <c r="AI950" s="44"/>
      <c r="AJ950" s="44"/>
    </row>
    <row r="951" spans="1:36" ht="15.75" customHeight="1" x14ac:dyDescent="0.25">
      <c r="A951" s="44"/>
      <c r="B951" s="44"/>
      <c r="C951" s="44"/>
      <c r="D951" s="44"/>
      <c r="E951" s="44"/>
      <c r="F951" s="44"/>
      <c r="G951" s="220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  <c r="AI951" s="44"/>
      <c r="AJ951" s="44"/>
    </row>
    <row r="952" spans="1:36" ht="15.75" customHeight="1" x14ac:dyDescent="0.25">
      <c r="A952" s="44"/>
      <c r="B952" s="44"/>
      <c r="C952" s="44"/>
      <c r="D952" s="44"/>
      <c r="E952" s="44"/>
      <c r="F952" s="44"/>
      <c r="G952" s="220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  <c r="AI952" s="44"/>
      <c r="AJ952" s="44"/>
    </row>
    <row r="953" spans="1:36" ht="15.75" customHeight="1" x14ac:dyDescent="0.25">
      <c r="A953" s="44"/>
      <c r="B953" s="44"/>
      <c r="C953" s="44"/>
      <c r="D953" s="44"/>
      <c r="E953" s="44"/>
      <c r="F953" s="44"/>
      <c r="G953" s="220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  <c r="AI953" s="44"/>
      <c r="AJ953" s="44"/>
    </row>
    <row r="954" spans="1:36" ht="15.75" customHeight="1" x14ac:dyDescent="0.25">
      <c r="A954" s="44"/>
      <c r="B954" s="44"/>
      <c r="C954" s="44"/>
      <c r="D954" s="44"/>
      <c r="E954" s="44"/>
      <c r="F954" s="44"/>
      <c r="G954" s="220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  <c r="AI954" s="44"/>
      <c r="AJ954" s="44"/>
    </row>
    <row r="955" spans="1:36" ht="15.75" customHeight="1" x14ac:dyDescent="0.25">
      <c r="A955" s="44"/>
      <c r="B955" s="44"/>
      <c r="C955" s="44"/>
      <c r="D955" s="44"/>
      <c r="E955" s="44"/>
      <c r="F955" s="44"/>
      <c r="G955" s="220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  <c r="AI955" s="44"/>
      <c r="AJ955" s="44"/>
    </row>
    <row r="956" spans="1:36" ht="15.75" customHeight="1" x14ac:dyDescent="0.25">
      <c r="A956" s="44"/>
      <c r="B956" s="44"/>
      <c r="C956" s="44"/>
      <c r="D956" s="44"/>
      <c r="E956" s="44"/>
      <c r="F956" s="44"/>
      <c r="G956" s="220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  <c r="AI956" s="44"/>
      <c r="AJ956" s="44"/>
    </row>
    <row r="957" spans="1:36" ht="15.75" customHeight="1" x14ac:dyDescent="0.25">
      <c r="A957" s="44"/>
      <c r="B957" s="44"/>
      <c r="C957" s="44"/>
      <c r="D957" s="44"/>
      <c r="E957" s="44"/>
      <c r="F957" s="44"/>
      <c r="G957" s="220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  <c r="AI957" s="44"/>
      <c r="AJ957" s="44"/>
    </row>
    <row r="958" spans="1:36" ht="15.75" customHeight="1" x14ac:dyDescent="0.25">
      <c r="A958" s="44"/>
      <c r="B958" s="44"/>
      <c r="C958" s="44"/>
      <c r="D958" s="44"/>
      <c r="E958" s="44"/>
      <c r="F958" s="44"/>
      <c r="G958" s="220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  <c r="AI958" s="44"/>
      <c r="AJ958" s="44"/>
    </row>
    <row r="959" spans="1:36" ht="15.75" customHeight="1" x14ac:dyDescent="0.25">
      <c r="A959" s="44"/>
      <c r="B959" s="44"/>
      <c r="C959" s="44"/>
      <c r="D959" s="44"/>
      <c r="E959" s="44"/>
      <c r="F959" s="44"/>
      <c r="G959" s="220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  <c r="AI959" s="44"/>
      <c r="AJ959" s="44"/>
    </row>
    <row r="960" spans="1:36" ht="15.75" customHeight="1" x14ac:dyDescent="0.25">
      <c r="A960" s="44"/>
      <c r="B960" s="44"/>
      <c r="C960" s="44"/>
      <c r="D960" s="44"/>
      <c r="E960" s="44"/>
      <c r="F960" s="44"/>
      <c r="G960" s="220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  <c r="AI960" s="44"/>
      <c r="AJ960" s="44"/>
    </row>
    <row r="961" spans="1:36" ht="15.75" customHeight="1" x14ac:dyDescent="0.25">
      <c r="A961" s="44"/>
      <c r="B961" s="44"/>
      <c r="C961" s="44"/>
      <c r="D961" s="44"/>
      <c r="E961" s="44"/>
      <c r="F961" s="44"/>
      <c r="G961" s="220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  <c r="AI961" s="44"/>
      <c r="AJ961" s="44"/>
    </row>
    <row r="962" spans="1:36" ht="15.75" customHeight="1" x14ac:dyDescent="0.25">
      <c r="A962" s="44"/>
      <c r="B962" s="44"/>
      <c r="C962" s="44"/>
      <c r="D962" s="44"/>
      <c r="E962" s="44"/>
      <c r="F962" s="44"/>
      <c r="G962" s="220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  <c r="AI962" s="44"/>
      <c r="AJ962" s="44"/>
    </row>
    <row r="963" spans="1:36" ht="15.75" customHeight="1" x14ac:dyDescent="0.25">
      <c r="A963" s="44"/>
      <c r="B963" s="44"/>
      <c r="C963" s="44"/>
      <c r="D963" s="44"/>
      <c r="E963" s="44"/>
      <c r="F963" s="44"/>
      <c r="G963" s="220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  <c r="AI963" s="44"/>
      <c r="AJ963" s="44"/>
    </row>
    <row r="964" spans="1:36" ht="15.75" customHeight="1" x14ac:dyDescent="0.25">
      <c r="A964" s="44"/>
      <c r="B964" s="44"/>
      <c r="C964" s="44"/>
      <c r="D964" s="44"/>
      <c r="E964" s="44"/>
      <c r="F964" s="44"/>
      <c r="G964" s="220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  <c r="AI964" s="44"/>
      <c r="AJ964" s="44"/>
    </row>
    <row r="965" spans="1:36" ht="15.75" customHeight="1" x14ac:dyDescent="0.25">
      <c r="A965" s="44"/>
      <c r="B965" s="44"/>
      <c r="C965" s="44"/>
      <c r="D965" s="44"/>
      <c r="E965" s="44"/>
      <c r="F965" s="44"/>
      <c r="G965" s="220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  <c r="AI965" s="44"/>
      <c r="AJ965" s="44"/>
    </row>
    <row r="966" spans="1:36" ht="15.75" customHeight="1" x14ac:dyDescent="0.25">
      <c r="A966" s="44"/>
      <c r="B966" s="44"/>
      <c r="C966" s="44"/>
      <c r="D966" s="44"/>
      <c r="E966" s="44"/>
      <c r="F966" s="44"/>
      <c r="G966" s="220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</row>
    <row r="967" spans="1:36" ht="15.75" customHeight="1" x14ac:dyDescent="0.25">
      <c r="A967" s="44"/>
      <c r="B967" s="44"/>
      <c r="C967" s="44"/>
      <c r="D967" s="44"/>
      <c r="E967" s="44"/>
      <c r="F967" s="44"/>
      <c r="G967" s="220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</row>
    <row r="968" spans="1:36" ht="15.75" customHeight="1" x14ac:dyDescent="0.25">
      <c r="A968" s="44"/>
      <c r="B968" s="44"/>
      <c r="C968" s="44"/>
      <c r="D968" s="44"/>
      <c r="E968" s="44"/>
      <c r="F968" s="44"/>
      <c r="G968" s="220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  <c r="AI968" s="44"/>
      <c r="AJ968" s="44"/>
    </row>
    <row r="969" spans="1:36" ht="15.75" customHeight="1" x14ac:dyDescent="0.25">
      <c r="A969" s="44"/>
      <c r="B969" s="44"/>
      <c r="C969" s="44"/>
      <c r="D969" s="44"/>
      <c r="E969" s="44"/>
      <c r="F969" s="44"/>
      <c r="G969" s="220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</row>
    <row r="970" spans="1:36" ht="15.75" customHeight="1" x14ac:dyDescent="0.25">
      <c r="A970" s="44"/>
      <c r="B970" s="44"/>
      <c r="C970" s="44"/>
      <c r="D970" s="44"/>
      <c r="E970" s="44"/>
      <c r="F970" s="44"/>
      <c r="G970" s="220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</row>
    <row r="971" spans="1:36" ht="15.75" customHeight="1" x14ac:dyDescent="0.25">
      <c r="A971" s="44"/>
      <c r="B971" s="44"/>
      <c r="C971" s="44"/>
      <c r="D971" s="44"/>
      <c r="E971" s="44"/>
      <c r="F971" s="44"/>
      <c r="G971" s="220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</row>
    <row r="972" spans="1:36" ht="15.75" customHeight="1" x14ac:dyDescent="0.25">
      <c r="A972" s="44"/>
      <c r="B972" s="44"/>
      <c r="C972" s="44"/>
      <c r="D972" s="44"/>
      <c r="E972" s="44"/>
      <c r="F972" s="44"/>
      <c r="G972" s="220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</row>
    <row r="973" spans="1:36" ht="15.75" customHeight="1" x14ac:dyDescent="0.25">
      <c r="A973" s="44"/>
      <c r="B973" s="44"/>
      <c r="C973" s="44"/>
      <c r="D973" s="44"/>
      <c r="E973" s="44"/>
      <c r="F973" s="44"/>
      <c r="G973" s="220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</row>
    <row r="974" spans="1:36" ht="15.75" customHeight="1" x14ac:dyDescent="0.25">
      <c r="A974" s="44"/>
      <c r="B974" s="44"/>
      <c r="C974" s="44"/>
      <c r="D974" s="44"/>
      <c r="E974" s="44"/>
      <c r="F974" s="44"/>
      <c r="G974" s="220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</row>
    <row r="975" spans="1:36" ht="15.75" customHeight="1" x14ac:dyDescent="0.25">
      <c r="A975" s="44"/>
      <c r="B975" s="44"/>
      <c r="C975" s="44"/>
      <c r="D975" s="44"/>
      <c r="E975" s="44"/>
      <c r="F975" s="44"/>
      <c r="G975" s="220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</row>
    <row r="976" spans="1:36" ht="15.75" customHeight="1" x14ac:dyDescent="0.25">
      <c r="A976" s="44"/>
      <c r="B976" s="44"/>
      <c r="C976" s="44"/>
      <c r="D976" s="44"/>
      <c r="E976" s="44"/>
      <c r="F976" s="44"/>
      <c r="G976" s="220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</row>
    <row r="977" spans="1:36" ht="15.75" customHeight="1" x14ac:dyDescent="0.25">
      <c r="A977" s="44"/>
      <c r="B977" s="44"/>
      <c r="C977" s="44"/>
      <c r="D977" s="44"/>
      <c r="E977" s="44"/>
      <c r="F977" s="44"/>
      <c r="G977" s="220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</row>
    <row r="978" spans="1:36" ht="15.75" customHeight="1" x14ac:dyDescent="0.25">
      <c r="A978" s="44"/>
      <c r="B978" s="44"/>
      <c r="C978" s="44"/>
      <c r="D978" s="44"/>
      <c r="E978" s="44"/>
      <c r="F978" s="44"/>
      <c r="G978" s="220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</row>
    <row r="979" spans="1:36" ht="15.75" customHeight="1" x14ac:dyDescent="0.25">
      <c r="A979" s="44"/>
      <c r="B979" s="44"/>
      <c r="C979" s="44"/>
      <c r="D979" s="44"/>
      <c r="E979" s="44"/>
      <c r="F979" s="44"/>
      <c r="G979" s="220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</row>
    <row r="980" spans="1:36" ht="15.75" customHeight="1" x14ac:dyDescent="0.25">
      <c r="A980" s="44"/>
      <c r="B980" s="44"/>
      <c r="C980" s="44"/>
      <c r="D980" s="44"/>
      <c r="E980" s="44"/>
      <c r="F980" s="44"/>
      <c r="G980" s="220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  <c r="AI980" s="44"/>
      <c r="AJ980" s="44"/>
    </row>
    <row r="981" spans="1:36" ht="15.75" customHeight="1" x14ac:dyDescent="0.25">
      <c r="A981" s="44"/>
      <c r="B981" s="44"/>
      <c r="C981" s="44"/>
      <c r="D981" s="44"/>
      <c r="E981" s="44"/>
      <c r="F981" s="44"/>
      <c r="G981" s="220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  <c r="AI981" s="44"/>
      <c r="AJ981" s="44"/>
    </row>
    <row r="982" spans="1:36" ht="15.75" customHeight="1" x14ac:dyDescent="0.25">
      <c r="A982" s="44"/>
      <c r="B982" s="44"/>
      <c r="C982" s="44"/>
      <c r="D982" s="44"/>
      <c r="E982" s="44"/>
      <c r="F982" s="44"/>
      <c r="G982" s="220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  <c r="AI982" s="44"/>
      <c r="AJ982" s="44"/>
    </row>
    <row r="983" spans="1:36" ht="15.75" customHeight="1" x14ac:dyDescent="0.25">
      <c r="A983" s="44"/>
      <c r="B983" s="44"/>
      <c r="C983" s="44"/>
      <c r="D983" s="44"/>
      <c r="E983" s="44"/>
      <c r="F983" s="44"/>
      <c r="G983" s="220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  <c r="AI983" s="44"/>
      <c r="AJ983" s="44"/>
    </row>
    <row r="984" spans="1:36" ht="15.75" customHeight="1" x14ac:dyDescent="0.25">
      <c r="A984" s="44"/>
      <c r="B984" s="44"/>
      <c r="C984" s="44"/>
      <c r="D984" s="44"/>
      <c r="E984" s="44"/>
      <c r="F984" s="44"/>
      <c r="G984" s="220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  <c r="AI984" s="44"/>
      <c r="AJ984" s="44"/>
    </row>
    <row r="985" spans="1:36" ht="15.75" customHeight="1" x14ac:dyDescent="0.25">
      <c r="A985" s="44"/>
      <c r="B985" s="44"/>
      <c r="C985" s="44"/>
      <c r="D985" s="44"/>
      <c r="E985" s="44"/>
      <c r="F985" s="44"/>
      <c r="G985" s="220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  <c r="AI985" s="44"/>
      <c r="AJ985" s="44"/>
    </row>
    <row r="986" spans="1:36" ht="15.75" customHeight="1" x14ac:dyDescent="0.25">
      <c r="A986" s="44"/>
      <c r="B986" s="44"/>
      <c r="C986" s="44"/>
      <c r="D986" s="44"/>
      <c r="E986" s="44"/>
      <c r="F986" s="44"/>
      <c r="G986" s="220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  <c r="AI986" s="44"/>
      <c r="AJ986" s="44"/>
    </row>
    <row r="987" spans="1:36" ht="15.75" customHeight="1" x14ac:dyDescent="0.25">
      <c r="A987" s="44"/>
      <c r="B987" s="44"/>
      <c r="C987" s="44"/>
      <c r="D987" s="44"/>
      <c r="E987" s="44"/>
      <c r="F987" s="44"/>
      <c r="G987" s="220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  <c r="AI987" s="44"/>
      <c r="AJ987" s="44"/>
    </row>
    <row r="988" spans="1:36" ht="15.75" customHeight="1" x14ac:dyDescent="0.25">
      <c r="A988" s="44"/>
      <c r="B988" s="44"/>
      <c r="C988" s="44"/>
      <c r="D988" s="44"/>
      <c r="E988" s="44"/>
      <c r="F988" s="44"/>
      <c r="G988" s="220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  <c r="AI988" s="44"/>
      <c r="AJ988" s="44"/>
    </row>
    <row r="989" spans="1:36" ht="15.75" customHeight="1" x14ac:dyDescent="0.25">
      <c r="A989" s="44"/>
      <c r="B989" s="44"/>
      <c r="C989" s="44"/>
      <c r="D989" s="44"/>
      <c r="E989" s="44"/>
      <c r="F989" s="44"/>
      <c r="G989" s="220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  <c r="AI989" s="44"/>
      <c r="AJ989" s="44"/>
    </row>
    <row r="990" spans="1:36" ht="15.75" customHeight="1" x14ac:dyDescent="0.25">
      <c r="A990" s="44"/>
      <c r="B990" s="44"/>
      <c r="C990" s="44"/>
      <c r="D990" s="44"/>
      <c r="E990" s="44"/>
      <c r="F990" s="44"/>
      <c r="G990" s="220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  <c r="AI990" s="44"/>
      <c r="AJ990" s="44"/>
    </row>
    <row r="991" spans="1:36" ht="15.75" customHeight="1" x14ac:dyDescent="0.25">
      <c r="A991" s="44"/>
      <c r="B991" s="44"/>
      <c r="C991" s="44"/>
      <c r="D991" s="44"/>
      <c r="E991" s="44"/>
      <c r="F991" s="44"/>
      <c r="G991" s="220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  <c r="AI991" s="44"/>
      <c r="AJ991" s="44"/>
    </row>
  </sheetData>
  <autoFilter ref="A17:AG694" xr:uid="{00000000-0009-0000-0000-000002000000}"/>
  <mergeCells count="20">
    <mergeCell ref="H15:H16"/>
    <mergeCell ref="I15:K15"/>
    <mergeCell ref="L15:N15"/>
    <mergeCell ref="O15:O16"/>
    <mergeCell ref="B2:O6"/>
    <mergeCell ref="B15:B16"/>
    <mergeCell ref="C15:C16"/>
    <mergeCell ref="D15:D16"/>
    <mergeCell ref="E15:E16"/>
    <mergeCell ref="F15:F16"/>
    <mergeCell ref="G15:G16"/>
    <mergeCell ref="B698:D698"/>
    <mergeCell ref="K698:L698"/>
    <mergeCell ref="M698:O698"/>
    <mergeCell ref="B696:D696"/>
    <mergeCell ref="K696:L696"/>
    <mergeCell ref="M696:O696"/>
    <mergeCell ref="B697:D697"/>
    <mergeCell ref="K697:L697"/>
    <mergeCell ref="M697:O697"/>
  </mergeCells>
  <printOptions horizontalCentered="1"/>
  <pageMargins left="0.7" right="0.7" top="0.75" bottom="0.75" header="0.3" footer="0.3"/>
  <pageSetup paperSize="9" scale="28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FBFBF"/>
    <outlinePr summaryBelow="0"/>
    <pageSetUpPr fitToPage="1"/>
  </sheetPr>
  <dimension ref="A1:AB611"/>
  <sheetViews>
    <sheetView showGridLines="0" zoomScale="55" zoomScaleNormal="55" workbookViewId="0">
      <pane ySplit="16" topLeftCell="A458" activePane="bottomLeft" state="frozen"/>
      <selection activeCell="C22" sqref="C22"/>
      <selection pane="bottomLeft" activeCell="G22" sqref="G22"/>
    </sheetView>
  </sheetViews>
  <sheetFormatPr defaultColWidth="12.59765625" defaultRowHeight="15" customHeight="1" x14ac:dyDescent="0.25"/>
  <cols>
    <col min="1" max="1" width="2.8984375" customWidth="1"/>
    <col min="2" max="2" width="10.59765625" customWidth="1"/>
    <col min="3" max="3" width="15.09765625" bestFit="1" customWidth="1"/>
    <col min="4" max="4" width="11" customWidth="1"/>
    <col min="5" max="5" width="104.09765625" customWidth="1"/>
    <col min="6" max="6" width="8.5" customWidth="1"/>
    <col min="7" max="7" width="11.3984375" customWidth="1"/>
    <col min="8" max="8" width="17.3984375" customWidth="1"/>
    <col min="9" max="11" width="14.69921875" customWidth="1"/>
    <col min="12" max="13" width="15.09765625" customWidth="1"/>
    <col min="14" max="14" width="7.59765625" customWidth="1"/>
    <col min="15" max="15" width="17.8984375" customWidth="1"/>
    <col min="16" max="28" width="7.59765625" customWidth="1"/>
  </cols>
  <sheetData>
    <row r="1" spans="1:28" ht="18.75" customHeight="1" x14ac:dyDescent="0.25">
      <c r="A1" s="96"/>
      <c r="B1" s="97"/>
      <c r="C1" s="98"/>
      <c r="D1" s="99"/>
      <c r="E1" s="99"/>
      <c r="F1" s="100"/>
      <c r="G1" s="101"/>
      <c r="H1" s="100"/>
      <c r="I1" s="102"/>
      <c r="J1" s="102"/>
      <c r="K1" s="102"/>
      <c r="L1" s="103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</row>
    <row r="2" spans="1:28" ht="18.75" customHeight="1" x14ac:dyDescent="0.25">
      <c r="A2" s="96"/>
      <c r="B2" s="293" t="s">
        <v>580</v>
      </c>
      <c r="C2" s="263"/>
      <c r="D2" s="263"/>
      <c r="E2" s="311"/>
      <c r="F2" s="263"/>
      <c r="G2" s="263"/>
      <c r="H2" s="263"/>
      <c r="I2" s="263"/>
      <c r="J2" s="263"/>
      <c r="K2" s="264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4"/>
    </row>
    <row r="3" spans="1:28" ht="18.75" customHeight="1" x14ac:dyDescent="0.25">
      <c r="A3" s="96"/>
      <c r="B3" s="265"/>
      <c r="C3" s="266"/>
      <c r="D3" s="266"/>
      <c r="E3" s="266"/>
      <c r="F3" s="266"/>
      <c r="G3" s="266"/>
      <c r="H3" s="266"/>
      <c r="I3" s="266"/>
      <c r="J3" s="266"/>
      <c r="K3" s="267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4"/>
    </row>
    <row r="4" spans="1:28" ht="18.75" customHeight="1" x14ac:dyDescent="0.25">
      <c r="A4" s="96"/>
      <c r="B4" s="265"/>
      <c r="C4" s="266"/>
      <c r="D4" s="266"/>
      <c r="E4" s="266"/>
      <c r="F4" s="266"/>
      <c r="G4" s="266"/>
      <c r="H4" s="266"/>
      <c r="I4" s="266"/>
      <c r="J4" s="266"/>
      <c r="K4" s="267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4"/>
    </row>
    <row r="5" spans="1:28" ht="18.75" customHeight="1" x14ac:dyDescent="0.25">
      <c r="A5" s="96"/>
      <c r="B5" s="265"/>
      <c r="C5" s="266"/>
      <c r="D5" s="266"/>
      <c r="E5" s="266"/>
      <c r="F5" s="266"/>
      <c r="G5" s="266"/>
      <c r="H5" s="266"/>
      <c r="I5" s="266"/>
      <c r="J5" s="266"/>
      <c r="K5" s="267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4"/>
    </row>
    <row r="6" spans="1:28" ht="18.75" customHeight="1" x14ac:dyDescent="0.25">
      <c r="A6" s="96"/>
      <c r="B6" s="268"/>
      <c r="C6" s="269"/>
      <c r="D6" s="269"/>
      <c r="E6" s="312"/>
      <c r="F6" s="269"/>
      <c r="G6" s="269"/>
      <c r="H6" s="269"/>
      <c r="I6" s="269"/>
      <c r="J6" s="269"/>
      <c r="K6" s="270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4"/>
    </row>
    <row r="7" spans="1:28" ht="15" customHeight="1" x14ac:dyDescent="0.25">
      <c r="A7" s="96"/>
      <c r="B7" s="97"/>
      <c r="C7" s="98"/>
      <c r="D7" s="4"/>
      <c r="E7" s="4"/>
      <c r="F7" s="101"/>
      <c r="G7" s="100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4"/>
    </row>
    <row r="8" spans="1:28" ht="15" customHeight="1" x14ac:dyDescent="0.25">
      <c r="A8" s="96"/>
      <c r="B8" s="104" t="str">
        <f>'DADOS GERAIS'!$B$8</f>
        <v>Secretaria de Atenção Especializada à Saúde</v>
      </c>
      <c r="C8" s="105"/>
      <c r="D8" s="6"/>
      <c r="E8" s="216"/>
      <c r="F8" s="107"/>
      <c r="G8" s="6" t="str">
        <f>RESUMO!D8</f>
        <v>BDI Geral:</v>
      </c>
      <c r="H8" s="108"/>
      <c r="I8" s="6" t="str">
        <f>RESUMO!E8</f>
        <v>Encargo Social Mensalista:</v>
      </c>
      <c r="J8" s="108"/>
      <c r="K8" s="53" t="str">
        <f>'DADOS GERAIS'!$B$22</f>
        <v>Data:</v>
      </c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4"/>
    </row>
    <row r="9" spans="1:28" ht="15" customHeight="1" x14ac:dyDescent="0.25">
      <c r="A9" s="96"/>
      <c r="B9" s="54" t="str">
        <f>'DADOS GERAIS'!$B$9</f>
        <v>Policlínica - Área Construída: 3.213,00 m²</v>
      </c>
      <c r="C9" s="109"/>
      <c r="D9" s="9"/>
      <c r="E9" s="9"/>
      <c r="F9" s="45"/>
      <c r="G9" s="111">
        <f>RESUMO!D9</f>
        <v>0.24875249461101823</v>
      </c>
      <c r="H9" s="110"/>
      <c r="I9" s="111">
        <f>RESUMO!E9</f>
        <v>0.47570000000000001</v>
      </c>
      <c r="J9" s="110"/>
      <c r="K9" s="57" t="str">
        <f>'DADOS GERAIS'!$C$22</f>
        <v>09/05/2024</v>
      </c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4"/>
    </row>
    <row r="10" spans="1:28" ht="15" customHeight="1" x14ac:dyDescent="0.25">
      <c r="A10" s="96"/>
      <c r="B10" s="54"/>
      <c r="C10" s="109"/>
      <c r="D10" s="9"/>
      <c r="E10" s="9"/>
      <c r="F10" s="112"/>
      <c r="G10" s="9"/>
      <c r="H10" s="44"/>
      <c r="I10" s="44"/>
      <c r="J10" s="44"/>
      <c r="K10" s="113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4"/>
    </row>
    <row r="11" spans="1:28" ht="15" customHeight="1" x14ac:dyDescent="0.25">
      <c r="A11" s="96"/>
      <c r="B11" s="60" t="str">
        <f>RESUMO!B11</f>
        <v>Bancos:</v>
      </c>
      <c r="C11" s="109"/>
      <c r="D11" s="9"/>
      <c r="E11" s="9"/>
      <c r="F11" s="112"/>
      <c r="G11" s="9" t="str">
        <f>RESUMO!D11</f>
        <v>BDI Equipamentos:</v>
      </c>
      <c r="H11" s="44"/>
      <c r="I11" s="114" t="str">
        <f>RESUMO!E11</f>
        <v>Encargo Social Horista:</v>
      </c>
      <c r="J11" s="44"/>
      <c r="K11" s="59" t="str">
        <f>'DADOS GERAIS'!$B$23</f>
        <v>Revisão:</v>
      </c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4"/>
    </row>
    <row r="12" spans="1:28" ht="15" customHeight="1" x14ac:dyDescent="0.25">
      <c r="A12" s="96"/>
      <c r="B12" s="115" t="str">
        <f>'DADOS GERAIS'!$B$12</f>
        <v>SINAPI (11/2023) - CPOS/CDHU (11/2023) - SBC (11/2023) - ORSE (11/2023) - SEINFRA (028) - IOPES (11/2023) - CAERN (11/2023) - EMOP (11/2023)</v>
      </c>
      <c r="C12" s="109"/>
      <c r="D12" s="9"/>
      <c r="E12" s="9"/>
      <c r="F12" s="112"/>
      <c r="G12" s="111">
        <f>RESUMO!D12</f>
        <v>0.16857590555253088</v>
      </c>
      <c r="H12" s="116"/>
      <c r="I12" s="111">
        <f>RESUMO!E12</f>
        <v>0.85555179999999986</v>
      </c>
      <c r="J12" s="116"/>
      <c r="K12" s="117" t="str">
        <f>'DADOS GERAIS'!$C$23</f>
        <v>03</v>
      </c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4"/>
    </row>
    <row r="13" spans="1:28" ht="15" customHeight="1" x14ac:dyDescent="0.25">
      <c r="A13" s="96"/>
      <c r="B13" s="118"/>
      <c r="C13" s="119"/>
      <c r="D13" s="14"/>
      <c r="E13" s="217"/>
      <c r="F13" s="121"/>
      <c r="G13" s="14"/>
      <c r="H13" s="122"/>
      <c r="I13" s="122"/>
      <c r="J13" s="122"/>
      <c r="K13" s="123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4"/>
    </row>
    <row r="14" spans="1:28" ht="15" customHeight="1" x14ac:dyDescent="0.25">
      <c r="A14" s="96"/>
      <c r="B14" s="97"/>
      <c r="C14" s="127"/>
      <c r="D14" s="48"/>
      <c r="E14" s="48"/>
      <c r="F14" s="49"/>
      <c r="G14" s="4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4"/>
    </row>
    <row r="15" spans="1:28" ht="15" customHeight="1" x14ac:dyDescent="0.25">
      <c r="A15" s="129"/>
      <c r="B15" s="147" t="s">
        <v>31</v>
      </c>
      <c r="C15" s="130" t="s">
        <v>32</v>
      </c>
      <c r="D15" s="147" t="s">
        <v>33</v>
      </c>
      <c r="E15" s="147" t="s">
        <v>34</v>
      </c>
      <c r="F15" s="194"/>
      <c r="G15" s="148" t="s">
        <v>35</v>
      </c>
      <c r="H15" s="148" t="s">
        <v>36</v>
      </c>
      <c r="I15" s="148" t="s">
        <v>1798</v>
      </c>
      <c r="J15" s="148" t="s">
        <v>37</v>
      </c>
      <c r="K15" s="148" t="s">
        <v>39</v>
      </c>
      <c r="L15" s="126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</row>
    <row r="16" spans="1:28" ht="15.6" x14ac:dyDescent="0.25">
      <c r="A16" s="96"/>
      <c r="B16" s="131"/>
      <c r="C16" s="132"/>
      <c r="D16" s="132"/>
      <c r="E16" s="225"/>
      <c r="F16" s="134"/>
      <c r="G16" s="135"/>
      <c r="H16" s="132"/>
      <c r="I16" s="136"/>
      <c r="J16" s="136"/>
      <c r="K16" s="136"/>
      <c r="L16" s="103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</row>
    <row r="17" spans="1:28" x14ac:dyDescent="0.25">
      <c r="A17" s="96"/>
      <c r="B17" s="313" t="s">
        <v>581</v>
      </c>
      <c r="C17" s="314"/>
      <c r="D17" s="314"/>
      <c r="E17" s="315"/>
      <c r="F17" s="314"/>
      <c r="G17" s="314"/>
      <c r="H17" s="314"/>
      <c r="I17" s="314"/>
      <c r="J17" s="314"/>
      <c r="K17" s="314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</row>
    <row r="18" spans="1:28" x14ac:dyDescent="0.25">
      <c r="A18" s="96"/>
      <c r="B18" s="199" t="s">
        <v>713</v>
      </c>
      <c r="C18" s="200" t="s">
        <v>32</v>
      </c>
      <c r="D18" s="199" t="s">
        <v>33</v>
      </c>
      <c r="E18" s="199" t="s">
        <v>34</v>
      </c>
      <c r="F18" s="309" t="s">
        <v>453</v>
      </c>
      <c r="G18" s="309"/>
      <c r="H18" s="201" t="s">
        <v>35</v>
      </c>
      <c r="I18" s="200" t="s">
        <v>36</v>
      </c>
      <c r="J18" s="200" t="s">
        <v>37</v>
      </c>
      <c r="K18" s="200" t="s">
        <v>39</v>
      </c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</row>
    <row r="19" spans="1:28" ht="26.25" customHeight="1" x14ac:dyDescent="0.25">
      <c r="A19" s="96"/>
      <c r="B19" s="195" t="s">
        <v>454</v>
      </c>
      <c r="C19" s="196" t="s">
        <v>446</v>
      </c>
      <c r="D19" s="195" t="s">
        <v>121</v>
      </c>
      <c r="E19" s="195" t="s">
        <v>447</v>
      </c>
      <c r="F19" s="310" t="s">
        <v>575</v>
      </c>
      <c r="G19" s="310"/>
      <c r="H19" s="197" t="s">
        <v>448</v>
      </c>
      <c r="I19" s="202">
        <v>1</v>
      </c>
      <c r="J19" s="198"/>
      <c r="K19" s="19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</row>
    <row r="20" spans="1:28" ht="26.25" customHeight="1" x14ac:dyDescent="0.25">
      <c r="A20" s="96"/>
      <c r="B20" s="203" t="s">
        <v>455</v>
      </c>
      <c r="C20" s="204" t="s">
        <v>576</v>
      </c>
      <c r="D20" s="203" t="s">
        <v>44</v>
      </c>
      <c r="E20" s="203" t="s">
        <v>577</v>
      </c>
      <c r="F20" s="308" t="s">
        <v>458</v>
      </c>
      <c r="G20" s="308"/>
      <c r="H20" s="205" t="s">
        <v>45</v>
      </c>
      <c r="I20" s="206">
        <v>0.41599999999999998</v>
      </c>
      <c r="J20" s="207"/>
      <c r="K20" s="207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</row>
    <row r="21" spans="1:28" ht="26.25" customHeight="1" x14ac:dyDescent="0.25">
      <c r="A21" s="96"/>
      <c r="B21" s="211" t="s">
        <v>472</v>
      </c>
      <c r="C21" s="212" t="s">
        <v>578</v>
      </c>
      <c r="D21" s="211" t="s">
        <v>44</v>
      </c>
      <c r="E21" s="211" t="s">
        <v>579</v>
      </c>
      <c r="F21" s="306" t="s">
        <v>480</v>
      </c>
      <c r="G21" s="306"/>
      <c r="H21" s="213" t="s">
        <v>2113</v>
      </c>
      <c r="I21" s="214">
        <v>1</v>
      </c>
      <c r="J21" s="215"/>
      <c r="K21" s="215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</row>
    <row r="22" spans="1:28" ht="26.25" customHeight="1" x14ac:dyDescent="0.25">
      <c r="A22" s="96"/>
      <c r="B22" s="208"/>
      <c r="C22" s="208"/>
      <c r="D22" s="208"/>
      <c r="E22" s="208"/>
      <c r="F22" s="208" t="s">
        <v>463</v>
      </c>
      <c r="G22" s="209"/>
      <c r="H22" s="208" t="s">
        <v>464</v>
      </c>
      <c r="I22" s="209">
        <v>0</v>
      </c>
      <c r="J22" s="208" t="s">
        <v>465</v>
      </c>
      <c r="K22" s="209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</row>
    <row r="23" spans="1:28" ht="26.25" customHeight="1" thickBot="1" x14ac:dyDescent="0.3">
      <c r="A23" s="96"/>
      <c r="B23" s="208"/>
      <c r="C23" s="208"/>
      <c r="D23" s="208"/>
      <c r="E23" s="208"/>
      <c r="F23" s="208" t="s">
        <v>466</v>
      </c>
      <c r="G23" s="209"/>
      <c r="H23" s="208"/>
      <c r="I23" s="307" t="s">
        <v>467</v>
      </c>
      <c r="J23" s="307"/>
      <c r="K23" s="209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</row>
    <row r="24" spans="1:28" ht="15.75" customHeight="1" thickTop="1" x14ac:dyDescent="0.25">
      <c r="A24" s="96"/>
      <c r="B24" s="210"/>
      <c r="C24" s="210"/>
      <c r="D24" s="210"/>
      <c r="E24" s="210"/>
      <c r="F24" s="210"/>
      <c r="G24" s="210"/>
      <c r="H24" s="210"/>
      <c r="I24" s="210"/>
      <c r="J24" s="210"/>
      <c r="K24" s="210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</row>
    <row r="25" spans="1:28" ht="15.75" customHeight="1" x14ac:dyDescent="0.25">
      <c r="A25" s="96"/>
      <c r="B25" s="199" t="s">
        <v>91</v>
      </c>
      <c r="C25" s="200" t="s">
        <v>32</v>
      </c>
      <c r="D25" s="199" t="s">
        <v>33</v>
      </c>
      <c r="E25" s="199" t="s">
        <v>34</v>
      </c>
      <c r="F25" s="309" t="s">
        <v>453</v>
      </c>
      <c r="G25" s="309"/>
      <c r="H25" s="201" t="s">
        <v>35</v>
      </c>
      <c r="I25" s="200" t="s">
        <v>36</v>
      </c>
      <c r="J25" s="200" t="s">
        <v>37</v>
      </c>
      <c r="K25" s="200" t="s">
        <v>39</v>
      </c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</row>
    <row r="26" spans="1:28" ht="15.75" customHeight="1" x14ac:dyDescent="0.25">
      <c r="A26" s="96"/>
      <c r="B26" s="195" t="s">
        <v>454</v>
      </c>
      <c r="C26" s="196" t="s">
        <v>718</v>
      </c>
      <c r="D26" s="195" t="s">
        <v>121</v>
      </c>
      <c r="E26" s="195" t="s">
        <v>719</v>
      </c>
      <c r="F26" s="310" t="s">
        <v>468</v>
      </c>
      <c r="G26" s="310"/>
      <c r="H26" s="197" t="s">
        <v>75</v>
      </c>
      <c r="I26" s="202">
        <v>1</v>
      </c>
      <c r="J26" s="198"/>
      <c r="K26" s="19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</row>
    <row r="27" spans="1:28" ht="15.75" customHeight="1" x14ac:dyDescent="0.25">
      <c r="A27" s="96"/>
      <c r="B27" s="203" t="s">
        <v>455</v>
      </c>
      <c r="C27" s="204" t="s">
        <v>502</v>
      </c>
      <c r="D27" s="203" t="s">
        <v>44</v>
      </c>
      <c r="E27" s="203" t="s">
        <v>503</v>
      </c>
      <c r="F27" s="308" t="s">
        <v>460</v>
      </c>
      <c r="G27" s="308"/>
      <c r="H27" s="205" t="s">
        <v>461</v>
      </c>
      <c r="I27" s="206">
        <v>9.2999999999999999E-2</v>
      </c>
      <c r="J27" s="207"/>
      <c r="K27" s="207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</row>
    <row r="28" spans="1:28" ht="15.75" customHeight="1" x14ac:dyDescent="0.25">
      <c r="A28" s="96"/>
      <c r="B28" s="203" t="s">
        <v>455</v>
      </c>
      <c r="C28" s="204" t="s">
        <v>456</v>
      </c>
      <c r="D28" s="203" t="s">
        <v>44</v>
      </c>
      <c r="E28" s="203" t="s">
        <v>457</v>
      </c>
      <c r="F28" s="308" t="s">
        <v>458</v>
      </c>
      <c r="G28" s="308"/>
      <c r="H28" s="205" t="s">
        <v>459</v>
      </c>
      <c r="I28" s="206">
        <v>0.54400000000000004</v>
      </c>
      <c r="J28" s="207"/>
      <c r="K28" s="207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</row>
    <row r="29" spans="1:28" ht="26.25" customHeight="1" x14ac:dyDescent="0.25">
      <c r="A29" s="96"/>
      <c r="B29" s="203" t="s">
        <v>455</v>
      </c>
      <c r="C29" s="204" t="s">
        <v>498</v>
      </c>
      <c r="D29" s="203" t="s">
        <v>44</v>
      </c>
      <c r="E29" s="203" t="s">
        <v>499</v>
      </c>
      <c r="F29" s="308" t="s">
        <v>458</v>
      </c>
      <c r="G29" s="308"/>
      <c r="H29" s="205" t="s">
        <v>459</v>
      </c>
      <c r="I29" s="206">
        <v>0.36299999999999999</v>
      </c>
      <c r="J29" s="207"/>
      <c r="K29" s="207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</row>
    <row r="30" spans="1:28" ht="26.25" customHeight="1" x14ac:dyDescent="0.25">
      <c r="A30" s="96"/>
      <c r="B30" s="203" t="s">
        <v>455</v>
      </c>
      <c r="C30" s="204" t="s">
        <v>500</v>
      </c>
      <c r="D30" s="203" t="s">
        <v>44</v>
      </c>
      <c r="E30" s="203" t="s">
        <v>501</v>
      </c>
      <c r="F30" s="308" t="s">
        <v>460</v>
      </c>
      <c r="G30" s="308"/>
      <c r="H30" s="205" t="s">
        <v>462</v>
      </c>
      <c r="I30" s="206">
        <v>8.7999999999999995E-2</v>
      </c>
      <c r="J30" s="207"/>
      <c r="K30" s="207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</row>
    <row r="31" spans="1:28" ht="26.25" customHeight="1" x14ac:dyDescent="0.25">
      <c r="A31" s="96"/>
      <c r="B31" s="211" t="s">
        <v>472</v>
      </c>
      <c r="C31" s="212" t="s">
        <v>1799</v>
      </c>
      <c r="D31" s="211" t="s">
        <v>44</v>
      </c>
      <c r="E31" s="211" t="s">
        <v>1800</v>
      </c>
      <c r="F31" s="306" t="s">
        <v>473</v>
      </c>
      <c r="G31" s="306"/>
      <c r="H31" s="213" t="s">
        <v>2114</v>
      </c>
      <c r="I31" s="214">
        <v>1.1499999999999999</v>
      </c>
      <c r="J31" s="215"/>
      <c r="K31" s="215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</row>
    <row r="32" spans="1:28" ht="26.25" customHeight="1" x14ac:dyDescent="0.25">
      <c r="A32" s="96"/>
      <c r="B32" s="208"/>
      <c r="C32" s="208"/>
      <c r="D32" s="208"/>
      <c r="E32" s="208"/>
      <c r="F32" s="208" t="s">
        <v>463</v>
      </c>
      <c r="G32" s="209"/>
      <c r="H32" s="208" t="s">
        <v>464</v>
      </c>
      <c r="I32" s="209">
        <v>0</v>
      </c>
      <c r="J32" s="208" t="s">
        <v>465</v>
      </c>
      <c r="K32" s="209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</row>
    <row r="33" spans="1:28" ht="26.25" customHeight="1" thickBot="1" x14ac:dyDescent="0.3">
      <c r="A33" s="96"/>
      <c r="B33" s="208"/>
      <c r="C33" s="208"/>
      <c r="D33" s="208"/>
      <c r="E33" s="208"/>
      <c r="F33" s="208" t="s">
        <v>466</v>
      </c>
      <c r="G33" s="209"/>
      <c r="H33" s="208"/>
      <c r="I33" s="307" t="s">
        <v>467</v>
      </c>
      <c r="J33" s="307"/>
      <c r="K33" s="209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</row>
    <row r="34" spans="1:28" ht="26.25" customHeight="1" thickTop="1" x14ac:dyDescent="0.25">
      <c r="A34" s="96"/>
      <c r="B34" s="210"/>
      <c r="C34" s="210"/>
      <c r="D34" s="210"/>
      <c r="E34" s="210"/>
      <c r="F34" s="210"/>
      <c r="G34" s="210"/>
      <c r="H34" s="210"/>
      <c r="I34" s="210"/>
      <c r="J34" s="210"/>
      <c r="K34" s="210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</row>
    <row r="35" spans="1:28" ht="26.25" customHeight="1" x14ac:dyDescent="0.25">
      <c r="A35" s="96"/>
      <c r="B35" s="199" t="s">
        <v>724</v>
      </c>
      <c r="C35" s="200" t="s">
        <v>32</v>
      </c>
      <c r="D35" s="199" t="s">
        <v>33</v>
      </c>
      <c r="E35" s="199" t="s">
        <v>34</v>
      </c>
      <c r="F35" s="309" t="s">
        <v>453</v>
      </c>
      <c r="G35" s="309"/>
      <c r="H35" s="201" t="s">
        <v>35</v>
      </c>
      <c r="I35" s="200" t="s">
        <v>36</v>
      </c>
      <c r="J35" s="200" t="s">
        <v>37</v>
      </c>
      <c r="K35" s="200" t="s">
        <v>39</v>
      </c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</row>
    <row r="36" spans="1:28" ht="26.25" customHeight="1" x14ac:dyDescent="0.25">
      <c r="A36" s="96"/>
      <c r="B36" s="195" t="s">
        <v>454</v>
      </c>
      <c r="C36" s="196" t="s">
        <v>725</v>
      </c>
      <c r="D36" s="195" t="s">
        <v>121</v>
      </c>
      <c r="E36" s="195" t="s">
        <v>726</v>
      </c>
      <c r="F36" s="310" t="s">
        <v>468</v>
      </c>
      <c r="G36" s="310"/>
      <c r="H36" s="197" t="s">
        <v>75</v>
      </c>
      <c r="I36" s="202">
        <v>1</v>
      </c>
      <c r="J36" s="198"/>
      <c r="K36" s="19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</row>
    <row r="37" spans="1:28" ht="26.25" customHeight="1" x14ac:dyDescent="0.25">
      <c r="A37" s="96"/>
      <c r="B37" s="203" t="s">
        <v>455</v>
      </c>
      <c r="C37" s="204" t="s">
        <v>498</v>
      </c>
      <c r="D37" s="203" t="s">
        <v>44</v>
      </c>
      <c r="E37" s="203" t="s">
        <v>499</v>
      </c>
      <c r="F37" s="308" t="s">
        <v>458</v>
      </c>
      <c r="G37" s="308"/>
      <c r="H37" s="205" t="s">
        <v>459</v>
      </c>
      <c r="I37" s="206">
        <v>0.224</v>
      </c>
      <c r="J37" s="207"/>
      <c r="K37" s="207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</row>
    <row r="38" spans="1:28" ht="26.25" customHeight="1" x14ac:dyDescent="0.25">
      <c r="A38" s="96"/>
      <c r="B38" s="203" t="s">
        <v>455</v>
      </c>
      <c r="C38" s="204" t="s">
        <v>500</v>
      </c>
      <c r="D38" s="203" t="s">
        <v>44</v>
      </c>
      <c r="E38" s="203" t="s">
        <v>501</v>
      </c>
      <c r="F38" s="308" t="s">
        <v>460</v>
      </c>
      <c r="G38" s="308"/>
      <c r="H38" s="205" t="s">
        <v>462</v>
      </c>
      <c r="I38" s="206">
        <v>9.4E-2</v>
      </c>
      <c r="J38" s="207"/>
      <c r="K38" s="207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</row>
    <row r="39" spans="1:28" ht="26.25" customHeight="1" x14ac:dyDescent="0.25">
      <c r="A39" s="96"/>
      <c r="B39" s="203" t="s">
        <v>455</v>
      </c>
      <c r="C39" s="204" t="s">
        <v>502</v>
      </c>
      <c r="D39" s="203" t="s">
        <v>44</v>
      </c>
      <c r="E39" s="203" t="s">
        <v>503</v>
      </c>
      <c r="F39" s="308" t="s">
        <v>460</v>
      </c>
      <c r="G39" s="308"/>
      <c r="H39" s="205" t="s">
        <v>461</v>
      </c>
      <c r="I39" s="206">
        <v>0.13</v>
      </c>
      <c r="J39" s="207"/>
      <c r="K39" s="207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</row>
    <row r="40" spans="1:28" ht="26.25" customHeight="1" x14ac:dyDescent="0.25">
      <c r="A40" s="96"/>
      <c r="B40" s="203" t="s">
        <v>455</v>
      </c>
      <c r="C40" s="204" t="s">
        <v>469</v>
      </c>
      <c r="D40" s="203" t="s">
        <v>44</v>
      </c>
      <c r="E40" s="203" t="s">
        <v>470</v>
      </c>
      <c r="F40" s="308" t="s">
        <v>458</v>
      </c>
      <c r="G40" s="308"/>
      <c r="H40" s="205" t="s">
        <v>459</v>
      </c>
      <c r="I40" s="206">
        <v>0.224</v>
      </c>
      <c r="J40" s="207"/>
      <c r="K40" s="207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</row>
    <row r="41" spans="1:28" ht="26.25" customHeight="1" x14ac:dyDescent="0.25">
      <c r="A41" s="96"/>
      <c r="B41" s="203" t="s">
        <v>455</v>
      </c>
      <c r="C41" s="204" t="s">
        <v>456</v>
      </c>
      <c r="D41" s="203" t="s">
        <v>44</v>
      </c>
      <c r="E41" s="203" t="s">
        <v>457</v>
      </c>
      <c r="F41" s="308" t="s">
        <v>458</v>
      </c>
      <c r="G41" s="308"/>
      <c r="H41" s="205" t="s">
        <v>459</v>
      </c>
      <c r="I41" s="206">
        <v>1.345</v>
      </c>
      <c r="J41" s="207"/>
      <c r="K41" s="207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</row>
    <row r="42" spans="1:28" ht="26.25" customHeight="1" x14ac:dyDescent="0.25">
      <c r="A42" s="96"/>
      <c r="B42" s="211" t="s">
        <v>472</v>
      </c>
      <c r="C42" s="212" t="s">
        <v>1799</v>
      </c>
      <c r="D42" s="211" t="s">
        <v>44</v>
      </c>
      <c r="E42" s="211" t="s">
        <v>1800</v>
      </c>
      <c r="F42" s="306" t="s">
        <v>473</v>
      </c>
      <c r="G42" s="306"/>
      <c r="H42" s="213" t="s">
        <v>2114</v>
      </c>
      <c r="I42" s="214">
        <v>1.103</v>
      </c>
      <c r="J42" s="215"/>
      <c r="K42" s="215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</row>
    <row r="43" spans="1:28" ht="26.25" customHeight="1" x14ac:dyDescent="0.25">
      <c r="A43" s="96"/>
      <c r="B43" s="208"/>
      <c r="C43" s="208"/>
      <c r="D43" s="208"/>
      <c r="E43" s="208"/>
      <c r="F43" s="208" t="s">
        <v>463</v>
      </c>
      <c r="G43" s="209"/>
      <c r="H43" s="208" t="s">
        <v>464</v>
      </c>
      <c r="I43" s="209">
        <v>0</v>
      </c>
      <c r="J43" s="208" t="s">
        <v>465</v>
      </c>
      <c r="K43" s="209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</row>
    <row r="44" spans="1:28" ht="26.25" customHeight="1" thickBot="1" x14ac:dyDescent="0.3">
      <c r="A44" s="96"/>
      <c r="B44" s="208"/>
      <c r="C44" s="208"/>
      <c r="D44" s="208"/>
      <c r="E44" s="208"/>
      <c r="F44" s="208" t="s">
        <v>466</v>
      </c>
      <c r="G44" s="209"/>
      <c r="H44" s="208"/>
      <c r="I44" s="307" t="s">
        <v>467</v>
      </c>
      <c r="J44" s="307"/>
      <c r="K44" s="209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</row>
    <row r="45" spans="1:28" ht="26.25" customHeight="1" thickTop="1" x14ac:dyDescent="0.25">
      <c r="A45" s="96"/>
      <c r="B45" s="210"/>
      <c r="C45" s="210"/>
      <c r="D45" s="210"/>
      <c r="E45" s="210"/>
      <c r="F45" s="210"/>
      <c r="G45" s="210"/>
      <c r="H45" s="210"/>
      <c r="I45" s="210"/>
      <c r="J45" s="210"/>
      <c r="K45" s="210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</row>
    <row r="46" spans="1:28" ht="26.25" customHeight="1" x14ac:dyDescent="0.25">
      <c r="A46" s="96"/>
      <c r="B46" s="199" t="s">
        <v>137</v>
      </c>
      <c r="C46" s="200" t="s">
        <v>32</v>
      </c>
      <c r="D46" s="199" t="s">
        <v>33</v>
      </c>
      <c r="E46" s="199" t="s">
        <v>34</v>
      </c>
      <c r="F46" s="309" t="s">
        <v>453</v>
      </c>
      <c r="G46" s="309"/>
      <c r="H46" s="201" t="s">
        <v>35</v>
      </c>
      <c r="I46" s="200" t="s">
        <v>36</v>
      </c>
      <c r="J46" s="200" t="s">
        <v>37</v>
      </c>
      <c r="K46" s="200" t="s">
        <v>39</v>
      </c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4"/>
    </row>
    <row r="47" spans="1:28" ht="26.25" customHeight="1" x14ac:dyDescent="0.25">
      <c r="A47" s="96"/>
      <c r="B47" s="195" t="s">
        <v>454</v>
      </c>
      <c r="C47" s="196" t="s">
        <v>731</v>
      </c>
      <c r="D47" s="195" t="s">
        <v>121</v>
      </c>
      <c r="E47" s="195" t="s">
        <v>732</v>
      </c>
      <c r="F47" s="310" t="s">
        <v>468</v>
      </c>
      <c r="G47" s="310"/>
      <c r="H47" s="197" t="s">
        <v>75</v>
      </c>
      <c r="I47" s="202">
        <v>1</v>
      </c>
      <c r="J47" s="198"/>
      <c r="K47" s="19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4"/>
    </row>
    <row r="48" spans="1:28" ht="26.25" customHeight="1" x14ac:dyDescent="0.25">
      <c r="A48" s="96"/>
      <c r="B48" s="203" t="s">
        <v>455</v>
      </c>
      <c r="C48" s="204" t="s">
        <v>498</v>
      </c>
      <c r="D48" s="203" t="s">
        <v>44</v>
      </c>
      <c r="E48" s="203" t="s">
        <v>499</v>
      </c>
      <c r="F48" s="308" t="s">
        <v>458</v>
      </c>
      <c r="G48" s="308"/>
      <c r="H48" s="205" t="s">
        <v>459</v>
      </c>
      <c r="I48" s="206">
        <v>0.55600000000000005</v>
      </c>
      <c r="J48" s="207"/>
      <c r="K48" s="207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4"/>
    </row>
    <row r="49" spans="1:28" ht="39" customHeight="1" x14ac:dyDescent="0.25">
      <c r="A49" s="96"/>
      <c r="B49" s="203" t="s">
        <v>455</v>
      </c>
      <c r="C49" s="204" t="s">
        <v>469</v>
      </c>
      <c r="D49" s="203" t="s">
        <v>44</v>
      </c>
      <c r="E49" s="203" t="s">
        <v>470</v>
      </c>
      <c r="F49" s="308" t="s">
        <v>458</v>
      </c>
      <c r="G49" s="308"/>
      <c r="H49" s="205" t="s">
        <v>459</v>
      </c>
      <c r="I49" s="206">
        <v>0.13900000000000001</v>
      </c>
      <c r="J49" s="207"/>
      <c r="K49" s="207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4"/>
    </row>
    <row r="50" spans="1:28" ht="26.25" customHeight="1" x14ac:dyDescent="0.25">
      <c r="A50" s="96"/>
      <c r="B50" s="203" t="s">
        <v>455</v>
      </c>
      <c r="C50" s="204" t="s">
        <v>456</v>
      </c>
      <c r="D50" s="203" t="s">
        <v>44</v>
      </c>
      <c r="E50" s="203" t="s">
        <v>457</v>
      </c>
      <c r="F50" s="308" t="s">
        <v>458</v>
      </c>
      <c r="G50" s="308"/>
      <c r="H50" s="205" t="s">
        <v>459</v>
      </c>
      <c r="I50" s="206">
        <v>0.626</v>
      </c>
      <c r="J50" s="207"/>
      <c r="K50" s="207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4"/>
    </row>
    <row r="51" spans="1:28" ht="26.25" customHeight="1" x14ac:dyDescent="0.25">
      <c r="A51" s="96"/>
      <c r="B51" s="203" t="s">
        <v>455</v>
      </c>
      <c r="C51" s="204" t="s">
        <v>502</v>
      </c>
      <c r="D51" s="203" t="s">
        <v>44</v>
      </c>
      <c r="E51" s="203" t="s">
        <v>503</v>
      </c>
      <c r="F51" s="308" t="s">
        <v>460</v>
      </c>
      <c r="G51" s="308"/>
      <c r="H51" s="205" t="s">
        <v>461</v>
      </c>
      <c r="I51" s="206">
        <v>7.0999999999999994E-2</v>
      </c>
      <c r="J51" s="207"/>
      <c r="K51" s="207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4"/>
    </row>
    <row r="52" spans="1:28" ht="26.25" customHeight="1" x14ac:dyDescent="0.25">
      <c r="A52" s="96"/>
      <c r="B52" s="203" t="s">
        <v>455</v>
      </c>
      <c r="C52" s="204" t="s">
        <v>500</v>
      </c>
      <c r="D52" s="203" t="s">
        <v>44</v>
      </c>
      <c r="E52" s="203" t="s">
        <v>501</v>
      </c>
      <c r="F52" s="308" t="s">
        <v>460</v>
      </c>
      <c r="G52" s="308"/>
      <c r="H52" s="205" t="s">
        <v>462</v>
      </c>
      <c r="I52" s="206">
        <v>6.8000000000000005E-2</v>
      </c>
      <c r="J52" s="207"/>
      <c r="K52" s="207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4"/>
    </row>
    <row r="53" spans="1:28" ht="26.25" customHeight="1" x14ac:dyDescent="0.25">
      <c r="A53" s="139"/>
      <c r="B53" s="211" t="s">
        <v>472</v>
      </c>
      <c r="C53" s="212" t="s">
        <v>1799</v>
      </c>
      <c r="D53" s="211" t="s">
        <v>44</v>
      </c>
      <c r="E53" s="211" t="s">
        <v>1800</v>
      </c>
      <c r="F53" s="306" t="s">
        <v>473</v>
      </c>
      <c r="G53" s="306"/>
      <c r="H53" s="213" t="s">
        <v>2114</v>
      </c>
      <c r="I53" s="214">
        <v>1.1100000000000001</v>
      </c>
      <c r="J53" s="215"/>
      <c r="K53" s="215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9"/>
    </row>
    <row r="54" spans="1:28" ht="26.25" customHeight="1" x14ac:dyDescent="0.25">
      <c r="A54" s="96"/>
      <c r="B54" s="208"/>
      <c r="C54" s="208"/>
      <c r="D54" s="208"/>
      <c r="E54" s="208"/>
      <c r="F54" s="208" t="s">
        <v>463</v>
      </c>
      <c r="G54" s="209"/>
      <c r="H54" s="208" t="s">
        <v>464</v>
      </c>
      <c r="I54" s="209">
        <v>0</v>
      </c>
      <c r="J54" s="208" t="s">
        <v>465</v>
      </c>
      <c r="K54" s="209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4"/>
    </row>
    <row r="55" spans="1:28" ht="26.25" customHeight="1" thickBot="1" x14ac:dyDescent="0.3">
      <c r="A55" s="96"/>
      <c r="B55" s="208"/>
      <c r="C55" s="208"/>
      <c r="D55" s="208"/>
      <c r="E55" s="208"/>
      <c r="F55" s="208" t="s">
        <v>466</v>
      </c>
      <c r="G55" s="209"/>
      <c r="H55" s="208"/>
      <c r="I55" s="307" t="s">
        <v>467</v>
      </c>
      <c r="J55" s="307"/>
      <c r="K55" s="209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4"/>
    </row>
    <row r="56" spans="1:28" ht="26.25" customHeight="1" thickTop="1" x14ac:dyDescent="0.25">
      <c r="A56" s="96"/>
      <c r="B56" s="210"/>
      <c r="C56" s="210"/>
      <c r="D56" s="210"/>
      <c r="E56" s="210"/>
      <c r="F56" s="210"/>
      <c r="G56" s="210"/>
      <c r="H56" s="210"/>
      <c r="I56" s="210"/>
      <c r="J56" s="210"/>
      <c r="K56" s="210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4"/>
    </row>
    <row r="57" spans="1:28" ht="26.25" customHeight="1" x14ac:dyDescent="0.25">
      <c r="A57" s="96"/>
      <c r="B57" s="199" t="s">
        <v>738</v>
      </c>
      <c r="C57" s="200" t="s">
        <v>32</v>
      </c>
      <c r="D57" s="199" t="s">
        <v>33</v>
      </c>
      <c r="E57" s="199" t="s">
        <v>34</v>
      </c>
      <c r="F57" s="309" t="s">
        <v>453</v>
      </c>
      <c r="G57" s="309"/>
      <c r="H57" s="201" t="s">
        <v>35</v>
      </c>
      <c r="I57" s="200" t="s">
        <v>36</v>
      </c>
      <c r="J57" s="200" t="s">
        <v>37</v>
      </c>
      <c r="K57" s="200" t="s">
        <v>39</v>
      </c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4"/>
    </row>
    <row r="58" spans="1:28" ht="26.25" customHeight="1" x14ac:dyDescent="0.25">
      <c r="A58" s="96"/>
      <c r="B58" s="195" t="s">
        <v>454</v>
      </c>
      <c r="C58" s="196" t="s">
        <v>739</v>
      </c>
      <c r="D58" s="195" t="s">
        <v>121</v>
      </c>
      <c r="E58" s="195" t="s">
        <v>2162</v>
      </c>
      <c r="F58" s="310">
        <v>13.01</v>
      </c>
      <c r="G58" s="310"/>
      <c r="H58" s="197" t="s">
        <v>45</v>
      </c>
      <c r="I58" s="202">
        <v>1</v>
      </c>
      <c r="J58" s="198"/>
      <c r="K58" s="19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4"/>
    </row>
    <row r="59" spans="1:28" ht="26.25" customHeight="1" x14ac:dyDescent="0.25">
      <c r="A59" s="96"/>
      <c r="B59" s="211" t="s">
        <v>472</v>
      </c>
      <c r="C59" s="212" t="s">
        <v>1801</v>
      </c>
      <c r="D59" s="211" t="s">
        <v>263</v>
      </c>
      <c r="E59" s="211" t="s">
        <v>2116</v>
      </c>
      <c r="F59" s="306" t="s">
        <v>473</v>
      </c>
      <c r="G59" s="306"/>
      <c r="H59" s="213" t="s">
        <v>45</v>
      </c>
      <c r="I59" s="214">
        <v>1</v>
      </c>
      <c r="J59" s="215"/>
      <c r="K59" s="215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4"/>
    </row>
    <row r="60" spans="1:28" ht="26.25" customHeight="1" x14ac:dyDescent="0.25">
      <c r="A60" s="96"/>
      <c r="B60" s="211" t="s">
        <v>472</v>
      </c>
      <c r="C60" s="212" t="s">
        <v>551</v>
      </c>
      <c r="D60" s="211" t="s">
        <v>263</v>
      </c>
      <c r="E60" s="211" t="s">
        <v>2115</v>
      </c>
      <c r="F60" s="306" t="s">
        <v>540</v>
      </c>
      <c r="G60" s="306"/>
      <c r="H60" s="213" t="s">
        <v>535</v>
      </c>
      <c r="I60" s="214">
        <v>0.4</v>
      </c>
      <c r="J60" s="215"/>
      <c r="K60" s="215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4"/>
    </row>
    <row r="61" spans="1:28" ht="26.25" customHeight="1" x14ac:dyDescent="0.25">
      <c r="A61" s="139"/>
      <c r="B61" s="211" t="s">
        <v>472</v>
      </c>
      <c r="C61" s="212" t="s">
        <v>574</v>
      </c>
      <c r="D61" s="211" t="s">
        <v>263</v>
      </c>
      <c r="E61" s="211" t="s">
        <v>2112</v>
      </c>
      <c r="F61" s="306" t="s">
        <v>540</v>
      </c>
      <c r="G61" s="306"/>
      <c r="H61" s="213" t="s">
        <v>535</v>
      </c>
      <c r="I61" s="214">
        <v>0.8</v>
      </c>
      <c r="J61" s="215"/>
      <c r="K61" s="215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9"/>
    </row>
    <row r="62" spans="1:28" ht="26.25" customHeight="1" x14ac:dyDescent="0.25">
      <c r="A62" s="96"/>
      <c r="B62" s="208"/>
      <c r="C62" s="208"/>
      <c r="D62" s="208"/>
      <c r="E62" s="208"/>
      <c r="F62" s="208" t="s">
        <v>463</v>
      </c>
      <c r="G62" s="209"/>
      <c r="H62" s="208" t="s">
        <v>464</v>
      </c>
      <c r="I62" s="209">
        <v>0</v>
      </c>
      <c r="J62" s="208" t="s">
        <v>465</v>
      </c>
      <c r="K62" s="209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4"/>
    </row>
    <row r="63" spans="1:28" ht="26.25" customHeight="1" thickBot="1" x14ac:dyDescent="0.3">
      <c r="A63" s="96"/>
      <c r="B63" s="208"/>
      <c r="C63" s="208"/>
      <c r="D63" s="208"/>
      <c r="E63" s="208"/>
      <c r="F63" s="208" t="s">
        <v>466</v>
      </c>
      <c r="G63" s="209"/>
      <c r="H63" s="208"/>
      <c r="I63" s="307" t="s">
        <v>467</v>
      </c>
      <c r="J63" s="307"/>
      <c r="K63" s="209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4"/>
    </row>
    <row r="64" spans="1:28" ht="26.25" customHeight="1" thickTop="1" x14ac:dyDescent="0.25">
      <c r="A64" s="96"/>
      <c r="B64" s="210"/>
      <c r="C64" s="210"/>
      <c r="D64" s="210"/>
      <c r="E64" s="210"/>
      <c r="F64" s="210"/>
      <c r="G64" s="210"/>
      <c r="H64" s="210"/>
      <c r="I64" s="210"/>
      <c r="J64" s="210"/>
      <c r="K64" s="210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4"/>
    </row>
    <row r="65" spans="1:28" ht="26.25" customHeight="1" x14ac:dyDescent="0.25">
      <c r="A65" s="96"/>
      <c r="B65" s="199" t="s">
        <v>740</v>
      </c>
      <c r="C65" s="200" t="s">
        <v>32</v>
      </c>
      <c r="D65" s="199" t="s">
        <v>33</v>
      </c>
      <c r="E65" s="199" t="s">
        <v>34</v>
      </c>
      <c r="F65" s="309" t="s">
        <v>453</v>
      </c>
      <c r="G65" s="309"/>
      <c r="H65" s="201" t="s">
        <v>35</v>
      </c>
      <c r="I65" s="200" t="s">
        <v>36</v>
      </c>
      <c r="J65" s="200" t="s">
        <v>37</v>
      </c>
      <c r="K65" s="200" t="s">
        <v>39</v>
      </c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4"/>
    </row>
    <row r="66" spans="1:28" ht="26.25" customHeight="1" x14ac:dyDescent="0.25">
      <c r="A66" s="96"/>
      <c r="B66" s="195" t="s">
        <v>454</v>
      </c>
      <c r="C66" s="196" t="s">
        <v>741</v>
      </c>
      <c r="D66" s="195" t="s">
        <v>121</v>
      </c>
      <c r="E66" s="195" t="s">
        <v>2163</v>
      </c>
      <c r="F66" s="310">
        <v>13.01</v>
      </c>
      <c r="G66" s="310"/>
      <c r="H66" s="197" t="s">
        <v>45</v>
      </c>
      <c r="I66" s="202">
        <v>1</v>
      </c>
      <c r="J66" s="198"/>
      <c r="K66" s="19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4"/>
    </row>
    <row r="67" spans="1:28" ht="26.25" customHeight="1" x14ac:dyDescent="0.25">
      <c r="A67" s="96"/>
      <c r="B67" s="211" t="s">
        <v>472</v>
      </c>
      <c r="C67" s="212" t="s">
        <v>1802</v>
      </c>
      <c r="D67" s="211" t="s">
        <v>263</v>
      </c>
      <c r="E67" s="211" t="s">
        <v>2117</v>
      </c>
      <c r="F67" s="306" t="s">
        <v>473</v>
      </c>
      <c r="G67" s="306"/>
      <c r="H67" s="213" t="s">
        <v>45</v>
      </c>
      <c r="I67" s="214">
        <v>1</v>
      </c>
      <c r="J67" s="215"/>
      <c r="K67" s="215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4"/>
    </row>
    <row r="68" spans="1:28" ht="26.25" customHeight="1" x14ac:dyDescent="0.25">
      <c r="A68" s="96"/>
      <c r="B68" s="211" t="s">
        <v>472</v>
      </c>
      <c r="C68" s="212" t="s">
        <v>574</v>
      </c>
      <c r="D68" s="211" t="s">
        <v>263</v>
      </c>
      <c r="E68" s="211" t="s">
        <v>2112</v>
      </c>
      <c r="F68" s="306" t="s">
        <v>540</v>
      </c>
      <c r="G68" s="306"/>
      <c r="H68" s="213" t="s">
        <v>535</v>
      </c>
      <c r="I68" s="214">
        <v>0.8</v>
      </c>
      <c r="J68" s="215"/>
      <c r="K68" s="215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4"/>
    </row>
    <row r="69" spans="1:28" ht="26.25" customHeight="1" x14ac:dyDescent="0.25">
      <c r="A69" s="96"/>
      <c r="B69" s="211" t="s">
        <v>472</v>
      </c>
      <c r="C69" s="212" t="s">
        <v>551</v>
      </c>
      <c r="D69" s="211" t="s">
        <v>263</v>
      </c>
      <c r="E69" s="211" t="s">
        <v>2115</v>
      </c>
      <c r="F69" s="306" t="s">
        <v>540</v>
      </c>
      <c r="G69" s="306"/>
      <c r="H69" s="213" t="s">
        <v>535</v>
      </c>
      <c r="I69" s="214">
        <v>0.4</v>
      </c>
      <c r="J69" s="215"/>
      <c r="K69" s="215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4"/>
    </row>
    <row r="70" spans="1:28" ht="26.25" customHeight="1" x14ac:dyDescent="0.25">
      <c r="A70" s="96"/>
      <c r="B70" s="208"/>
      <c r="C70" s="208"/>
      <c r="D70" s="208"/>
      <c r="E70" s="208"/>
      <c r="F70" s="208" t="s">
        <v>463</v>
      </c>
      <c r="G70" s="209"/>
      <c r="H70" s="208" t="s">
        <v>464</v>
      </c>
      <c r="I70" s="209">
        <v>0</v>
      </c>
      <c r="J70" s="208" t="s">
        <v>465</v>
      </c>
      <c r="K70" s="209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4"/>
    </row>
    <row r="71" spans="1:28" ht="26.25" customHeight="1" thickBot="1" x14ac:dyDescent="0.3">
      <c r="A71" s="96"/>
      <c r="B71" s="208"/>
      <c r="C71" s="208"/>
      <c r="D71" s="208"/>
      <c r="E71" s="208"/>
      <c r="F71" s="208" t="s">
        <v>466</v>
      </c>
      <c r="G71" s="209"/>
      <c r="H71" s="208"/>
      <c r="I71" s="307" t="s">
        <v>467</v>
      </c>
      <c r="J71" s="307"/>
      <c r="K71" s="209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4"/>
    </row>
    <row r="72" spans="1:28" ht="26.25" customHeight="1" thickTop="1" x14ac:dyDescent="0.25">
      <c r="A72" s="96"/>
      <c r="B72" s="210"/>
      <c r="C72" s="210"/>
      <c r="D72" s="210"/>
      <c r="E72" s="210"/>
      <c r="F72" s="210"/>
      <c r="G72" s="210"/>
      <c r="H72" s="210"/>
      <c r="I72" s="210"/>
      <c r="J72" s="210"/>
      <c r="K72" s="210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4"/>
    </row>
    <row r="73" spans="1:28" ht="26.25" customHeight="1" x14ac:dyDescent="0.25">
      <c r="A73" s="96"/>
      <c r="B73" s="199" t="s">
        <v>742</v>
      </c>
      <c r="C73" s="200" t="s">
        <v>32</v>
      </c>
      <c r="D73" s="199" t="s">
        <v>33</v>
      </c>
      <c r="E73" s="199" t="s">
        <v>34</v>
      </c>
      <c r="F73" s="309" t="s">
        <v>453</v>
      </c>
      <c r="G73" s="309"/>
      <c r="H73" s="201" t="s">
        <v>35</v>
      </c>
      <c r="I73" s="200" t="s">
        <v>36</v>
      </c>
      <c r="J73" s="200" t="s">
        <v>37</v>
      </c>
      <c r="K73" s="200" t="s">
        <v>39</v>
      </c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4"/>
    </row>
    <row r="74" spans="1:28" ht="26.25" customHeight="1" x14ac:dyDescent="0.25">
      <c r="A74" s="96"/>
      <c r="B74" s="195" t="s">
        <v>454</v>
      </c>
      <c r="C74" s="196" t="s">
        <v>743</v>
      </c>
      <c r="D74" s="195" t="s">
        <v>121</v>
      </c>
      <c r="E74" s="195" t="s">
        <v>2164</v>
      </c>
      <c r="F74" s="310">
        <v>13.01</v>
      </c>
      <c r="G74" s="310"/>
      <c r="H74" s="197" t="s">
        <v>45</v>
      </c>
      <c r="I74" s="202">
        <v>1</v>
      </c>
      <c r="J74" s="198"/>
      <c r="K74" s="19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4"/>
    </row>
    <row r="75" spans="1:28" ht="26.25" customHeight="1" x14ac:dyDescent="0.25">
      <c r="A75" s="96"/>
      <c r="B75" s="211" t="s">
        <v>472</v>
      </c>
      <c r="C75" s="212" t="s">
        <v>574</v>
      </c>
      <c r="D75" s="211" t="s">
        <v>263</v>
      </c>
      <c r="E75" s="211" t="s">
        <v>2112</v>
      </c>
      <c r="F75" s="306" t="s">
        <v>540</v>
      </c>
      <c r="G75" s="306"/>
      <c r="H75" s="213" t="s">
        <v>535</v>
      </c>
      <c r="I75" s="214">
        <v>0.9</v>
      </c>
      <c r="J75" s="215"/>
      <c r="K75" s="215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4"/>
    </row>
    <row r="76" spans="1:28" ht="26.25" customHeight="1" x14ac:dyDescent="0.25">
      <c r="A76" s="96"/>
      <c r="B76" s="211" t="s">
        <v>472</v>
      </c>
      <c r="C76" s="212" t="s">
        <v>551</v>
      </c>
      <c r="D76" s="211" t="s">
        <v>263</v>
      </c>
      <c r="E76" s="211" t="s">
        <v>2115</v>
      </c>
      <c r="F76" s="306" t="s">
        <v>540</v>
      </c>
      <c r="G76" s="306"/>
      <c r="H76" s="213" t="s">
        <v>535</v>
      </c>
      <c r="I76" s="214">
        <v>0.45</v>
      </c>
      <c r="J76" s="215"/>
      <c r="K76" s="215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4"/>
    </row>
    <row r="77" spans="1:28" ht="26.25" customHeight="1" x14ac:dyDescent="0.25">
      <c r="A77" s="96"/>
      <c r="B77" s="211" t="s">
        <v>472</v>
      </c>
      <c r="C77" s="212" t="s">
        <v>1803</v>
      </c>
      <c r="D77" s="211" t="s">
        <v>263</v>
      </c>
      <c r="E77" s="211" t="s">
        <v>2118</v>
      </c>
      <c r="F77" s="306" t="s">
        <v>473</v>
      </c>
      <c r="G77" s="306"/>
      <c r="H77" s="213" t="s">
        <v>45</v>
      </c>
      <c r="I77" s="214">
        <v>1</v>
      </c>
      <c r="J77" s="215"/>
      <c r="K77" s="215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4"/>
    </row>
    <row r="78" spans="1:28" ht="26.25" customHeight="1" x14ac:dyDescent="0.25">
      <c r="A78" s="96"/>
      <c r="B78" s="208"/>
      <c r="C78" s="208"/>
      <c r="D78" s="208"/>
      <c r="E78" s="208"/>
      <c r="F78" s="208" t="s">
        <v>463</v>
      </c>
      <c r="G78" s="209"/>
      <c r="H78" s="208" t="s">
        <v>464</v>
      </c>
      <c r="I78" s="209">
        <v>0</v>
      </c>
      <c r="J78" s="208" t="s">
        <v>465</v>
      </c>
      <c r="K78" s="209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4"/>
    </row>
    <row r="79" spans="1:28" ht="26.25" customHeight="1" thickBot="1" x14ac:dyDescent="0.3">
      <c r="A79" s="96"/>
      <c r="B79" s="208"/>
      <c r="C79" s="208"/>
      <c r="D79" s="208"/>
      <c r="E79" s="208"/>
      <c r="F79" s="208" t="s">
        <v>466</v>
      </c>
      <c r="G79" s="209"/>
      <c r="H79" s="208"/>
      <c r="I79" s="307" t="s">
        <v>467</v>
      </c>
      <c r="J79" s="307"/>
      <c r="K79" s="209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4"/>
    </row>
    <row r="80" spans="1:28" ht="26.25" customHeight="1" thickTop="1" x14ac:dyDescent="0.25">
      <c r="A80" s="96"/>
      <c r="B80" s="210"/>
      <c r="C80" s="210"/>
      <c r="D80" s="210"/>
      <c r="E80" s="210"/>
      <c r="F80" s="210"/>
      <c r="G80" s="210"/>
      <c r="H80" s="210"/>
      <c r="I80" s="210"/>
      <c r="J80" s="210"/>
      <c r="K80" s="210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4"/>
    </row>
    <row r="81" spans="1:28" ht="26.25" customHeight="1" x14ac:dyDescent="0.25">
      <c r="A81" s="96"/>
      <c r="B81" s="199" t="s">
        <v>744</v>
      </c>
      <c r="C81" s="200" t="s">
        <v>32</v>
      </c>
      <c r="D81" s="199" t="s">
        <v>33</v>
      </c>
      <c r="E81" s="199" t="s">
        <v>34</v>
      </c>
      <c r="F81" s="309" t="s">
        <v>453</v>
      </c>
      <c r="G81" s="309"/>
      <c r="H81" s="201" t="s">
        <v>35</v>
      </c>
      <c r="I81" s="200" t="s">
        <v>36</v>
      </c>
      <c r="J81" s="200" t="s">
        <v>37</v>
      </c>
      <c r="K81" s="200" t="s">
        <v>39</v>
      </c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4"/>
    </row>
    <row r="82" spans="1:28" ht="26.25" customHeight="1" x14ac:dyDescent="0.25">
      <c r="A82" s="96"/>
      <c r="B82" s="195" t="s">
        <v>454</v>
      </c>
      <c r="C82" s="196" t="s">
        <v>745</v>
      </c>
      <c r="D82" s="195" t="s">
        <v>121</v>
      </c>
      <c r="E82" s="195" t="s">
        <v>2165</v>
      </c>
      <c r="F82" s="310">
        <v>13.01</v>
      </c>
      <c r="G82" s="310"/>
      <c r="H82" s="197" t="s">
        <v>45</v>
      </c>
      <c r="I82" s="202">
        <v>1</v>
      </c>
      <c r="J82" s="198"/>
      <c r="K82" s="19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4"/>
    </row>
    <row r="83" spans="1:28" ht="26.25" customHeight="1" x14ac:dyDescent="0.25">
      <c r="A83" s="96"/>
      <c r="B83" s="211" t="s">
        <v>472</v>
      </c>
      <c r="C83" s="212" t="s">
        <v>551</v>
      </c>
      <c r="D83" s="211" t="s">
        <v>263</v>
      </c>
      <c r="E83" s="211" t="s">
        <v>2115</v>
      </c>
      <c r="F83" s="306" t="s">
        <v>540</v>
      </c>
      <c r="G83" s="306"/>
      <c r="H83" s="213" t="s">
        <v>535</v>
      </c>
      <c r="I83" s="214">
        <v>0.5</v>
      </c>
      <c r="J83" s="215"/>
      <c r="K83" s="215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4"/>
    </row>
    <row r="84" spans="1:28" ht="26.25" customHeight="1" x14ac:dyDescent="0.25">
      <c r="A84" s="96"/>
      <c r="B84" s="211" t="s">
        <v>472</v>
      </c>
      <c r="C84" s="212" t="s">
        <v>574</v>
      </c>
      <c r="D84" s="211" t="s">
        <v>263</v>
      </c>
      <c r="E84" s="211" t="s">
        <v>2112</v>
      </c>
      <c r="F84" s="306" t="s">
        <v>540</v>
      </c>
      <c r="G84" s="306"/>
      <c r="H84" s="213" t="s">
        <v>535</v>
      </c>
      <c r="I84" s="214">
        <v>1</v>
      </c>
      <c r="J84" s="215"/>
      <c r="K84" s="215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4"/>
    </row>
    <row r="85" spans="1:28" ht="26.25" customHeight="1" x14ac:dyDescent="0.25">
      <c r="A85" s="96"/>
      <c r="B85" s="211" t="s">
        <v>472</v>
      </c>
      <c r="C85" s="212" t="s">
        <v>1804</v>
      </c>
      <c r="D85" s="211" t="s">
        <v>263</v>
      </c>
      <c r="E85" s="211" t="s">
        <v>2119</v>
      </c>
      <c r="F85" s="306" t="s">
        <v>473</v>
      </c>
      <c r="G85" s="306"/>
      <c r="H85" s="213" t="s">
        <v>45</v>
      </c>
      <c r="I85" s="214">
        <v>1</v>
      </c>
      <c r="J85" s="215"/>
      <c r="K85" s="215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4"/>
    </row>
    <row r="86" spans="1:28" ht="26.25" customHeight="1" x14ac:dyDescent="0.25">
      <c r="A86" s="96"/>
      <c r="B86" s="208"/>
      <c r="C86" s="208"/>
      <c r="D86" s="208"/>
      <c r="E86" s="208"/>
      <c r="F86" s="208" t="s">
        <v>463</v>
      </c>
      <c r="G86" s="209"/>
      <c r="H86" s="208" t="s">
        <v>464</v>
      </c>
      <c r="I86" s="209">
        <v>0</v>
      </c>
      <c r="J86" s="208" t="s">
        <v>465</v>
      </c>
      <c r="K86" s="209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4"/>
    </row>
    <row r="87" spans="1:28" ht="26.25" customHeight="1" thickBot="1" x14ac:dyDescent="0.3">
      <c r="A87" s="96"/>
      <c r="B87" s="208"/>
      <c r="C87" s="208"/>
      <c r="D87" s="208"/>
      <c r="E87" s="208"/>
      <c r="F87" s="208" t="s">
        <v>466</v>
      </c>
      <c r="G87" s="209"/>
      <c r="H87" s="208"/>
      <c r="I87" s="307" t="s">
        <v>467</v>
      </c>
      <c r="J87" s="307"/>
      <c r="K87" s="209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4"/>
    </row>
    <row r="88" spans="1:28" ht="26.25" customHeight="1" thickTop="1" x14ac:dyDescent="0.25">
      <c r="A88" s="96"/>
      <c r="B88" s="210"/>
      <c r="C88" s="210"/>
      <c r="D88" s="210"/>
      <c r="E88" s="210"/>
      <c r="F88" s="210"/>
      <c r="G88" s="210"/>
      <c r="H88" s="210"/>
      <c r="I88" s="210"/>
      <c r="J88" s="210"/>
      <c r="K88" s="210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4"/>
    </row>
    <row r="89" spans="1:28" ht="26.25" customHeight="1" x14ac:dyDescent="0.25">
      <c r="A89" s="96"/>
      <c r="B89" s="199" t="s">
        <v>746</v>
      </c>
      <c r="C89" s="200" t="s">
        <v>32</v>
      </c>
      <c r="D89" s="199" t="s">
        <v>33</v>
      </c>
      <c r="E89" s="199" t="s">
        <v>34</v>
      </c>
      <c r="F89" s="309" t="s">
        <v>453</v>
      </c>
      <c r="G89" s="309"/>
      <c r="H89" s="201" t="s">
        <v>35</v>
      </c>
      <c r="I89" s="200" t="s">
        <v>36</v>
      </c>
      <c r="J89" s="200" t="s">
        <v>37</v>
      </c>
      <c r="K89" s="200" t="s">
        <v>39</v>
      </c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4"/>
    </row>
    <row r="90" spans="1:28" ht="26.25" customHeight="1" x14ac:dyDescent="0.25">
      <c r="A90" s="96"/>
      <c r="B90" s="195" t="s">
        <v>454</v>
      </c>
      <c r="C90" s="196" t="s">
        <v>747</v>
      </c>
      <c r="D90" s="195" t="s">
        <v>121</v>
      </c>
      <c r="E90" s="195" t="s">
        <v>748</v>
      </c>
      <c r="F90" s="310">
        <v>3.03</v>
      </c>
      <c r="G90" s="310"/>
      <c r="H90" s="197" t="s">
        <v>45</v>
      </c>
      <c r="I90" s="202">
        <v>1</v>
      </c>
      <c r="J90" s="198"/>
      <c r="K90" s="19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4"/>
    </row>
    <row r="91" spans="1:28" ht="26.25" customHeight="1" x14ac:dyDescent="0.25">
      <c r="A91" s="96"/>
      <c r="B91" s="203" t="s">
        <v>455</v>
      </c>
      <c r="C91" s="204" t="s">
        <v>456</v>
      </c>
      <c r="D91" s="203" t="s">
        <v>44</v>
      </c>
      <c r="E91" s="203" t="s">
        <v>457</v>
      </c>
      <c r="F91" s="308" t="s">
        <v>458</v>
      </c>
      <c r="G91" s="308"/>
      <c r="H91" s="205" t="s">
        <v>459</v>
      </c>
      <c r="I91" s="206">
        <v>1.1200000000000001</v>
      </c>
      <c r="J91" s="207"/>
      <c r="K91" s="207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4"/>
    </row>
    <row r="92" spans="1:28" ht="26.25" customHeight="1" x14ac:dyDescent="0.25">
      <c r="A92" s="96"/>
      <c r="B92" s="203" t="s">
        <v>455</v>
      </c>
      <c r="C92" s="204" t="s">
        <v>498</v>
      </c>
      <c r="D92" s="203" t="s">
        <v>44</v>
      </c>
      <c r="E92" s="203" t="s">
        <v>499</v>
      </c>
      <c r="F92" s="308" t="s">
        <v>458</v>
      </c>
      <c r="G92" s="308"/>
      <c r="H92" s="205" t="s">
        <v>459</v>
      </c>
      <c r="I92" s="206">
        <v>0.52</v>
      </c>
      <c r="J92" s="207"/>
      <c r="K92" s="207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4"/>
    </row>
    <row r="93" spans="1:28" ht="26.25" customHeight="1" x14ac:dyDescent="0.25">
      <c r="A93" s="96"/>
      <c r="B93" s="211" t="s">
        <v>472</v>
      </c>
      <c r="C93" s="212" t="s">
        <v>1805</v>
      </c>
      <c r="D93" s="211" t="s">
        <v>182</v>
      </c>
      <c r="E93" s="211" t="s">
        <v>1806</v>
      </c>
      <c r="F93" s="306" t="s">
        <v>473</v>
      </c>
      <c r="G93" s="306"/>
      <c r="H93" s="213" t="s">
        <v>45</v>
      </c>
      <c r="I93" s="214">
        <v>0.64</v>
      </c>
      <c r="J93" s="215"/>
      <c r="K93" s="215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4"/>
    </row>
    <row r="94" spans="1:28" ht="26.25" customHeight="1" x14ac:dyDescent="0.25">
      <c r="A94" s="96"/>
      <c r="B94" s="208"/>
      <c r="C94" s="208"/>
      <c r="D94" s="208"/>
      <c r="E94" s="208"/>
      <c r="F94" s="208" t="s">
        <v>463</v>
      </c>
      <c r="G94" s="209"/>
      <c r="H94" s="208" t="s">
        <v>464</v>
      </c>
      <c r="I94" s="209">
        <v>0</v>
      </c>
      <c r="J94" s="208" t="s">
        <v>465</v>
      </c>
      <c r="K94" s="209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4"/>
    </row>
    <row r="95" spans="1:28" ht="26.25" customHeight="1" thickBot="1" x14ac:dyDescent="0.3">
      <c r="A95" s="96"/>
      <c r="B95" s="208"/>
      <c r="C95" s="208"/>
      <c r="D95" s="208"/>
      <c r="E95" s="208"/>
      <c r="F95" s="208" t="s">
        <v>466</v>
      </c>
      <c r="G95" s="209"/>
      <c r="H95" s="208"/>
      <c r="I95" s="307" t="s">
        <v>467</v>
      </c>
      <c r="J95" s="307"/>
      <c r="K95" s="209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4"/>
    </row>
    <row r="96" spans="1:28" ht="26.25" customHeight="1" thickTop="1" x14ac:dyDescent="0.25">
      <c r="A96" s="96"/>
      <c r="B96" s="210"/>
      <c r="C96" s="210"/>
      <c r="D96" s="210"/>
      <c r="E96" s="210"/>
      <c r="F96" s="210"/>
      <c r="G96" s="210"/>
      <c r="H96" s="210"/>
      <c r="I96" s="210"/>
      <c r="J96" s="210"/>
      <c r="K96" s="210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4"/>
    </row>
    <row r="97" spans="1:28" ht="26.25" customHeight="1" x14ac:dyDescent="0.25">
      <c r="A97" s="96"/>
      <c r="B97" s="199" t="s">
        <v>768</v>
      </c>
      <c r="C97" s="200" t="s">
        <v>32</v>
      </c>
      <c r="D97" s="199" t="s">
        <v>33</v>
      </c>
      <c r="E97" s="199" t="s">
        <v>34</v>
      </c>
      <c r="F97" s="309" t="s">
        <v>453</v>
      </c>
      <c r="G97" s="309"/>
      <c r="H97" s="201" t="s">
        <v>35</v>
      </c>
      <c r="I97" s="200" t="s">
        <v>36</v>
      </c>
      <c r="J97" s="200" t="s">
        <v>37</v>
      </c>
      <c r="K97" s="200" t="s">
        <v>39</v>
      </c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4"/>
    </row>
    <row r="98" spans="1:28" ht="26.25" customHeight="1" x14ac:dyDescent="0.25">
      <c r="A98" s="96"/>
      <c r="B98" s="195" t="s">
        <v>454</v>
      </c>
      <c r="C98" s="196" t="s">
        <v>770</v>
      </c>
      <c r="D98" s="195" t="s">
        <v>121</v>
      </c>
      <c r="E98" s="195" t="s">
        <v>771</v>
      </c>
      <c r="F98" s="310" t="s">
        <v>476</v>
      </c>
      <c r="G98" s="310"/>
      <c r="H98" s="197" t="s">
        <v>45</v>
      </c>
      <c r="I98" s="202">
        <v>1</v>
      </c>
      <c r="J98" s="198"/>
      <c r="K98" s="19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4"/>
    </row>
    <row r="99" spans="1:28" ht="26.25" customHeight="1" x14ac:dyDescent="0.25">
      <c r="A99" s="96"/>
      <c r="B99" s="203" t="s">
        <v>455</v>
      </c>
      <c r="C99" s="204" t="s">
        <v>508</v>
      </c>
      <c r="D99" s="203" t="s">
        <v>44</v>
      </c>
      <c r="E99" s="203" t="s">
        <v>509</v>
      </c>
      <c r="F99" s="308" t="s">
        <v>458</v>
      </c>
      <c r="G99" s="308"/>
      <c r="H99" s="205" t="s">
        <v>459</v>
      </c>
      <c r="I99" s="206">
        <v>0.59499999999999997</v>
      </c>
      <c r="J99" s="207"/>
      <c r="K99" s="207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4"/>
    </row>
    <row r="100" spans="1:28" ht="26.25" customHeight="1" x14ac:dyDescent="0.25">
      <c r="A100" s="96"/>
      <c r="B100" s="203" t="s">
        <v>455</v>
      </c>
      <c r="C100" s="204" t="s">
        <v>456</v>
      </c>
      <c r="D100" s="203" t="s">
        <v>44</v>
      </c>
      <c r="E100" s="203" t="s">
        <v>457</v>
      </c>
      <c r="F100" s="308" t="s">
        <v>458</v>
      </c>
      <c r="G100" s="308"/>
      <c r="H100" s="205" t="s">
        <v>459</v>
      </c>
      <c r="I100" s="206">
        <v>0.19500000000000001</v>
      </c>
      <c r="J100" s="207"/>
      <c r="K100" s="207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4"/>
    </row>
    <row r="101" spans="1:28" ht="26.25" customHeight="1" x14ac:dyDescent="0.25">
      <c r="A101" s="96"/>
      <c r="B101" s="211" t="s">
        <v>472</v>
      </c>
      <c r="C101" s="212" t="s">
        <v>520</v>
      </c>
      <c r="D101" s="211" t="s">
        <v>44</v>
      </c>
      <c r="E101" s="211" t="s">
        <v>521</v>
      </c>
      <c r="F101" s="306" t="s">
        <v>473</v>
      </c>
      <c r="G101" s="306"/>
      <c r="H101" s="213" t="s">
        <v>71</v>
      </c>
      <c r="I101" s="214">
        <v>0.79249999999999998</v>
      </c>
      <c r="J101" s="215"/>
      <c r="K101" s="215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4"/>
    </row>
    <row r="102" spans="1:28" ht="26.25" customHeight="1" x14ac:dyDescent="0.25">
      <c r="A102" s="96"/>
      <c r="B102" s="211" t="s">
        <v>472</v>
      </c>
      <c r="C102" s="212" t="s">
        <v>510</v>
      </c>
      <c r="D102" s="211" t="s">
        <v>44</v>
      </c>
      <c r="E102" s="211" t="s">
        <v>511</v>
      </c>
      <c r="F102" s="306" t="s">
        <v>473</v>
      </c>
      <c r="G102" s="306"/>
      <c r="H102" s="213" t="s">
        <v>507</v>
      </c>
      <c r="I102" s="214">
        <v>2.9600000000000001E-2</v>
      </c>
      <c r="J102" s="215"/>
      <c r="K102" s="215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4"/>
    </row>
    <row r="103" spans="1:28" ht="26.25" customHeight="1" x14ac:dyDescent="0.25">
      <c r="A103" s="96"/>
      <c r="B103" s="211" t="s">
        <v>472</v>
      </c>
      <c r="C103" s="212" t="s">
        <v>1807</v>
      </c>
      <c r="D103" s="211" t="s">
        <v>44</v>
      </c>
      <c r="E103" s="211" t="s">
        <v>1808</v>
      </c>
      <c r="F103" s="306" t="s">
        <v>473</v>
      </c>
      <c r="G103" s="306"/>
      <c r="H103" s="213" t="s">
        <v>45</v>
      </c>
      <c r="I103" s="214">
        <v>2.1059999999999999</v>
      </c>
      <c r="J103" s="215"/>
      <c r="K103" s="215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4"/>
    </row>
    <row r="104" spans="1:28" ht="26.25" customHeight="1" x14ac:dyDescent="0.25">
      <c r="A104" s="96"/>
      <c r="B104" s="211" t="s">
        <v>472</v>
      </c>
      <c r="C104" s="212" t="s">
        <v>528</v>
      </c>
      <c r="D104" s="211" t="s">
        <v>44</v>
      </c>
      <c r="E104" s="211" t="s">
        <v>529</v>
      </c>
      <c r="F104" s="306" t="s">
        <v>473</v>
      </c>
      <c r="G104" s="306"/>
      <c r="H104" s="213" t="s">
        <v>55</v>
      </c>
      <c r="I104" s="214">
        <v>0.54410000000000003</v>
      </c>
      <c r="J104" s="215"/>
      <c r="K104" s="215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4"/>
    </row>
    <row r="105" spans="1:28" ht="26.25" customHeight="1" x14ac:dyDescent="0.25">
      <c r="A105" s="96"/>
      <c r="B105" s="211" t="s">
        <v>472</v>
      </c>
      <c r="C105" s="212" t="s">
        <v>514</v>
      </c>
      <c r="D105" s="211" t="s">
        <v>44</v>
      </c>
      <c r="E105" s="211" t="s">
        <v>515</v>
      </c>
      <c r="F105" s="306" t="s">
        <v>473</v>
      </c>
      <c r="G105" s="306"/>
      <c r="H105" s="213" t="s">
        <v>71</v>
      </c>
      <c r="I105" s="214">
        <v>0.91169999999999995</v>
      </c>
      <c r="J105" s="215"/>
      <c r="K105" s="215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4"/>
    </row>
    <row r="106" spans="1:28" ht="26.25" customHeight="1" x14ac:dyDescent="0.25">
      <c r="A106" s="96"/>
      <c r="B106" s="211" t="s">
        <v>472</v>
      </c>
      <c r="C106" s="212" t="s">
        <v>524</v>
      </c>
      <c r="D106" s="211" t="s">
        <v>44</v>
      </c>
      <c r="E106" s="211" t="s">
        <v>525</v>
      </c>
      <c r="F106" s="306" t="s">
        <v>473</v>
      </c>
      <c r="G106" s="306"/>
      <c r="H106" s="213" t="s">
        <v>55</v>
      </c>
      <c r="I106" s="214">
        <v>20.186800000000002</v>
      </c>
      <c r="J106" s="215"/>
      <c r="K106" s="215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4"/>
    </row>
    <row r="107" spans="1:28" ht="26.25" customHeight="1" x14ac:dyDescent="0.25">
      <c r="A107" s="96"/>
      <c r="B107" s="211" t="s">
        <v>472</v>
      </c>
      <c r="C107" s="212" t="s">
        <v>516</v>
      </c>
      <c r="D107" s="211" t="s">
        <v>44</v>
      </c>
      <c r="E107" s="211" t="s">
        <v>517</v>
      </c>
      <c r="F107" s="306" t="s">
        <v>473</v>
      </c>
      <c r="G107" s="306"/>
      <c r="H107" s="213" t="s">
        <v>71</v>
      </c>
      <c r="I107" s="214">
        <v>2.9138999999999999</v>
      </c>
      <c r="J107" s="215"/>
      <c r="K107" s="215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4"/>
    </row>
    <row r="108" spans="1:28" ht="26.25" customHeight="1" x14ac:dyDescent="0.25">
      <c r="A108" s="96"/>
      <c r="B108" s="211" t="s">
        <v>472</v>
      </c>
      <c r="C108" s="212" t="s">
        <v>518</v>
      </c>
      <c r="D108" s="211" t="s">
        <v>44</v>
      </c>
      <c r="E108" s="211" t="s">
        <v>519</v>
      </c>
      <c r="F108" s="306" t="s">
        <v>473</v>
      </c>
      <c r="G108" s="306"/>
      <c r="H108" s="213" t="s">
        <v>71</v>
      </c>
      <c r="I108" s="214">
        <v>2.5026999999999999</v>
      </c>
      <c r="J108" s="215"/>
      <c r="K108" s="215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4"/>
    </row>
    <row r="109" spans="1:28" ht="26.25" customHeight="1" x14ac:dyDescent="0.25">
      <c r="A109" s="96"/>
      <c r="B109" s="211" t="s">
        <v>472</v>
      </c>
      <c r="C109" s="212" t="s">
        <v>522</v>
      </c>
      <c r="D109" s="211" t="s">
        <v>44</v>
      </c>
      <c r="E109" s="211" t="s">
        <v>523</v>
      </c>
      <c r="F109" s="306" t="s">
        <v>480</v>
      </c>
      <c r="G109" s="306"/>
      <c r="H109" s="213" t="s">
        <v>82</v>
      </c>
      <c r="I109" s="214">
        <v>1.0978000000000001</v>
      </c>
      <c r="J109" s="215"/>
      <c r="K109" s="215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4"/>
    </row>
    <row r="110" spans="1:28" ht="26.25" customHeight="1" x14ac:dyDescent="0.25">
      <c r="A110" s="96"/>
      <c r="B110" s="208"/>
      <c r="C110" s="208"/>
      <c r="D110" s="208"/>
      <c r="E110" s="208"/>
      <c r="F110" s="208" t="s">
        <v>463</v>
      </c>
      <c r="G110" s="209"/>
      <c r="H110" s="208" t="s">
        <v>464</v>
      </c>
      <c r="I110" s="209">
        <v>0</v>
      </c>
      <c r="J110" s="208" t="s">
        <v>465</v>
      </c>
      <c r="K110" s="209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4"/>
    </row>
    <row r="111" spans="1:28" ht="26.25" customHeight="1" thickBot="1" x14ac:dyDescent="0.3">
      <c r="A111" s="96"/>
      <c r="B111" s="208"/>
      <c r="C111" s="208"/>
      <c r="D111" s="208"/>
      <c r="E111" s="208"/>
      <c r="F111" s="208" t="s">
        <v>466</v>
      </c>
      <c r="G111" s="209"/>
      <c r="H111" s="208"/>
      <c r="I111" s="307" t="s">
        <v>467</v>
      </c>
      <c r="J111" s="307"/>
      <c r="K111" s="209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4"/>
    </row>
    <row r="112" spans="1:28" ht="26.25" customHeight="1" thickTop="1" x14ac:dyDescent="0.25">
      <c r="A112" s="96"/>
      <c r="B112" s="210"/>
      <c r="C112" s="210"/>
      <c r="D112" s="210"/>
      <c r="E112" s="210"/>
      <c r="F112" s="210"/>
      <c r="G112" s="210"/>
      <c r="H112" s="210"/>
      <c r="I112" s="210"/>
      <c r="J112" s="210"/>
      <c r="K112" s="210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4"/>
    </row>
    <row r="113" spans="1:28" ht="26.25" customHeight="1" x14ac:dyDescent="0.25">
      <c r="A113" s="96"/>
      <c r="B113" s="199" t="s">
        <v>769</v>
      </c>
      <c r="C113" s="200" t="s">
        <v>32</v>
      </c>
      <c r="D113" s="199" t="s">
        <v>33</v>
      </c>
      <c r="E113" s="199" t="s">
        <v>34</v>
      </c>
      <c r="F113" s="309" t="s">
        <v>453</v>
      </c>
      <c r="G113" s="309"/>
      <c r="H113" s="201" t="s">
        <v>35</v>
      </c>
      <c r="I113" s="200" t="s">
        <v>36</v>
      </c>
      <c r="J113" s="200" t="s">
        <v>37</v>
      </c>
      <c r="K113" s="200" t="s">
        <v>39</v>
      </c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4"/>
    </row>
    <row r="114" spans="1:28" ht="26.25" customHeight="1" x14ac:dyDescent="0.25">
      <c r="A114" s="96"/>
      <c r="B114" s="195" t="s">
        <v>454</v>
      </c>
      <c r="C114" s="196" t="s">
        <v>772</v>
      </c>
      <c r="D114" s="195" t="s">
        <v>121</v>
      </c>
      <c r="E114" s="195" t="s">
        <v>773</v>
      </c>
      <c r="F114" s="310" t="s">
        <v>476</v>
      </c>
      <c r="G114" s="310"/>
      <c r="H114" s="197" t="s">
        <v>45</v>
      </c>
      <c r="I114" s="202">
        <v>1</v>
      </c>
      <c r="J114" s="198"/>
      <c r="K114" s="19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4"/>
    </row>
    <row r="115" spans="1:28" ht="26.25" customHeight="1" x14ac:dyDescent="0.25">
      <c r="A115" s="96"/>
      <c r="B115" s="203" t="s">
        <v>455</v>
      </c>
      <c r="C115" s="204" t="s">
        <v>508</v>
      </c>
      <c r="D115" s="203" t="s">
        <v>44</v>
      </c>
      <c r="E115" s="203" t="s">
        <v>509</v>
      </c>
      <c r="F115" s="308" t="s">
        <v>458</v>
      </c>
      <c r="G115" s="308"/>
      <c r="H115" s="205" t="s">
        <v>459</v>
      </c>
      <c r="I115" s="206">
        <v>0.84730000000000005</v>
      </c>
      <c r="J115" s="207"/>
      <c r="K115" s="207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4"/>
    </row>
    <row r="116" spans="1:28" ht="26.25" customHeight="1" x14ac:dyDescent="0.25">
      <c r="A116" s="96"/>
      <c r="B116" s="203" t="s">
        <v>455</v>
      </c>
      <c r="C116" s="204" t="s">
        <v>456</v>
      </c>
      <c r="D116" s="203" t="s">
        <v>44</v>
      </c>
      <c r="E116" s="203" t="s">
        <v>457</v>
      </c>
      <c r="F116" s="308" t="s">
        <v>458</v>
      </c>
      <c r="G116" s="308"/>
      <c r="H116" s="205" t="s">
        <v>459</v>
      </c>
      <c r="I116" s="206">
        <v>0.21179999999999999</v>
      </c>
      <c r="J116" s="207"/>
      <c r="K116" s="207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4"/>
    </row>
    <row r="117" spans="1:28" ht="26.25" customHeight="1" x14ac:dyDescent="0.25">
      <c r="A117" s="96"/>
      <c r="B117" s="203" t="s">
        <v>455</v>
      </c>
      <c r="C117" s="204" t="s">
        <v>1809</v>
      </c>
      <c r="D117" s="203" t="s">
        <v>44</v>
      </c>
      <c r="E117" s="203" t="s">
        <v>1810</v>
      </c>
      <c r="F117" s="308" t="s">
        <v>476</v>
      </c>
      <c r="G117" s="308"/>
      <c r="H117" s="205" t="s">
        <v>71</v>
      </c>
      <c r="I117" s="206">
        <v>1.05</v>
      </c>
      <c r="J117" s="207"/>
      <c r="K117" s="207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4"/>
    </row>
    <row r="118" spans="1:28" ht="26.25" customHeight="1" x14ac:dyDescent="0.25">
      <c r="A118" s="96"/>
      <c r="B118" s="211" t="s">
        <v>472</v>
      </c>
      <c r="C118" s="212" t="s">
        <v>518</v>
      </c>
      <c r="D118" s="211" t="s">
        <v>44</v>
      </c>
      <c r="E118" s="211" t="s">
        <v>519</v>
      </c>
      <c r="F118" s="306" t="s">
        <v>473</v>
      </c>
      <c r="G118" s="306"/>
      <c r="H118" s="213" t="s">
        <v>71</v>
      </c>
      <c r="I118" s="214">
        <v>2.5026999999999999</v>
      </c>
      <c r="J118" s="215"/>
      <c r="K118" s="215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4"/>
    </row>
    <row r="119" spans="1:28" ht="26.25" customHeight="1" x14ac:dyDescent="0.25">
      <c r="A119" s="96"/>
      <c r="B119" s="211" t="s">
        <v>472</v>
      </c>
      <c r="C119" s="212" t="s">
        <v>1813</v>
      </c>
      <c r="D119" s="211" t="s">
        <v>44</v>
      </c>
      <c r="E119" s="211" t="s">
        <v>1814</v>
      </c>
      <c r="F119" s="306" t="s">
        <v>473</v>
      </c>
      <c r="G119" s="306"/>
      <c r="H119" s="213" t="s">
        <v>71</v>
      </c>
      <c r="I119" s="214">
        <v>2.8999000000000001</v>
      </c>
      <c r="J119" s="215"/>
      <c r="K119" s="215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4"/>
    </row>
    <row r="120" spans="1:28" ht="26.25" customHeight="1" x14ac:dyDescent="0.25">
      <c r="A120" s="96"/>
      <c r="B120" s="211" t="s">
        <v>472</v>
      </c>
      <c r="C120" s="212" t="s">
        <v>510</v>
      </c>
      <c r="D120" s="211" t="s">
        <v>44</v>
      </c>
      <c r="E120" s="211" t="s">
        <v>511</v>
      </c>
      <c r="F120" s="306" t="s">
        <v>473</v>
      </c>
      <c r="G120" s="306"/>
      <c r="H120" s="213" t="s">
        <v>507</v>
      </c>
      <c r="I120" s="214">
        <v>2.9000000000000001E-2</v>
      </c>
      <c r="J120" s="215"/>
      <c r="K120" s="215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4"/>
    </row>
    <row r="121" spans="1:28" ht="26.25" customHeight="1" x14ac:dyDescent="0.25">
      <c r="A121" s="96"/>
      <c r="B121" s="211" t="s">
        <v>472</v>
      </c>
      <c r="C121" s="212" t="s">
        <v>526</v>
      </c>
      <c r="D121" s="211" t="s">
        <v>44</v>
      </c>
      <c r="E121" s="211" t="s">
        <v>527</v>
      </c>
      <c r="F121" s="306" t="s">
        <v>473</v>
      </c>
      <c r="G121" s="306"/>
      <c r="H121" s="213" t="s">
        <v>55</v>
      </c>
      <c r="I121" s="214">
        <v>20.0077</v>
      </c>
      <c r="J121" s="215"/>
      <c r="K121" s="215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4"/>
    </row>
    <row r="122" spans="1:28" ht="26.25" customHeight="1" x14ac:dyDescent="0.25">
      <c r="A122" s="96"/>
      <c r="B122" s="211" t="s">
        <v>472</v>
      </c>
      <c r="C122" s="212" t="s">
        <v>1811</v>
      </c>
      <c r="D122" s="211" t="s">
        <v>44</v>
      </c>
      <c r="E122" s="211" t="s">
        <v>1812</v>
      </c>
      <c r="F122" s="306" t="s">
        <v>473</v>
      </c>
      <c r="G122" s="306"/>
      <c r="H122" s="213" t="s">
        <v>71</v>
      </c>
      <c r="I122" s="214">
        <v>0.9093</v>
      </c>
      <c r="J122" s="215"/>
      <c r="K122" s="215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4"/>
    </row>
    <row r="123" spans="1:28" ht="26.25" customHeight="1" x14ac:dyDescent="0.25">
      <c r="A123" s="96"/>
      <c r="B123" s="211" t="s">
        <v>472</v>
      </c>
      <c r="C123" s="212" t="s">
        <v>522</v>
      </c>
      <c r="D123" s="211" t="s">
        <v>44</v>
      </c>
      <c r="E123" s="211" t="s">
        <v>523</v>
      </c>
      <c r="F123" s="306" t="s">
        <v>480</v>
      </c>
      <c r="G123" s="306"/>
      <c r="H123" s="213" t="s">
        <v>82</v>
      </c>
      <c r="I123" s="214">
        <v>1.0327</v>
      </c>
      <c r="J123" s="215"/>
      <c r="K123" s="215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4"/>
    </row>
    <row r="124" spans="1:28" ht="26.25" customHeight="1" x14ac:dyDescent="0.25">
      <c r="A124" s="96"/>
      <c r="B124" s="211" t="s">
        <v>472</v>
      </c>
      <c r="C124" s="212" t="s">
        <v>524</v>
      </c>
      <c r="D124" s="211" t="s">
        <v>44</v>
      </c>
      <c r="E124" s="211" t="s">
        <v>525</v>
      </c>
      <c r="F124" s="306" t="s">
        <v>473</v>
      </c>
      <c r="G124" s="306"/>
      <c r="H124" s="213" t="s">
        <v>55</v>
      </c>
      <c r="I124" s="214">
        <v>20.0077</v>
      </c>
      <c r="J124" s="215"/>
      <c r="K124" s="215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4"/>
    </row>
    <row r="125" spans="1:28" ht="26.25" customHeight="1" x14ac:dyDescent="0.25">
      <c r="A125" s="96"/>
      <c r="B125" s="211" t="s">
        <v>472</v>
      </c>
      <c r="C125" s="212" t="s">
        <v>520</v>
      </c>
      <c r="D125" s="211" t="s">
        <v>44</v>
      </c>
      <c r="E125" s="211" t="s">
        <v>521</v>
      </c>
      <c r="F125" s="306" t="s">
        <v>473</v>
      </c>
      <c r="G125" s="306"/>
      <c r="H125" s="213" t="s">
        <v>71</v>
      </c>
      <c r="I125" s="214">
        <v>0.79249999999999998</v>
      </c>
      <c r="J125" s="215"/>
      <c r="K125" s="215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4"/>
    </row>
    <row r="126" spans="1:28" ht="26.25" customHeight="1" x14ac:dyDescent="0.25">
      <c r="A126" s="96"/>
      <c r="B126" s="211" t="s">
        <v>472</v>
      </c>
      <c r="C126" s="212" t="s">
        <v>528</v>
      </c>
      <c r="D126" s="211" t="s">
        <v>44</v>
      </c>
      <c r="E126" s="211" t="s">
        <v>529</v>
      </c>
      <c r="F126" s="306" t="s">
        <v>473</v>
      </c>
      <c r="G126" s="306"/>
      <c r="H126" s="213" t="s">
        <v>55</v>
      </c>
      <c r="I126" s="214">
        <v>0.91490000000000005</v>
      </c>
      <c r="J126" s="215"/>
      <c r="K126" s="215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4"/>
    </row>
    <row r="127" spans="1:28" ht="26.25" customHeight="1" x14ac:dyDescent="0.25">
      <c r="A127" s="96"/>
      <c r="B127" s="211" t="s">
        <v>472</v>
      </c>
      <c r="C127" s="212" t="s">
        <v>512</v>
      </c>
      <c r="D127" s="211" t="s">
        <v>44</v>
      </c>
      <c r="E127" s="211" t="s">
        <v>513</v>
      </c>
      <c r="F127" s="306" t="s">
        <v>473</v>
      </c>
      <c r="G127" s="306"/>
      <c r="H127" s="213" t="s">
        <v>45</v>
      </c>
      <c r="I127" s="214">
        <v>4.2119999999999997</v>
      </c>
      <c r="J127" s="215"/>
      <c r="K127" s="215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4"/>
    </row>
    <row r="128" spans="1:28" ht="26.25" customHeight="1" x14ac:dyDescent="0.25">
      <c r="A128" s="96"/>
      <c r="B128" s="208"/>
      <c r="C128" s="208"/>
      <c r="D128" s="208"/>
      <c r="E128" s="208"/>
      <c r="F128" s="208" t="s">
        <v>463</v>
      </c>
      <c r="G128" s="209"/>
      <c r="H128" s="208" t="s">
        <v>464</v>
      </c>
      <c r="I128" s="209">
        <v>0</v>
      </c>
      <c r="J128" s="208" t="s">
        <v>465</v>
      </c>
      <c r="K128" s="209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4"/>
    </row>
    <row r="129" spans="1:28" ht="26.25" customHeight="1" thickBot="1" x14ac:dyDescent="0.3">
      <c r="A129" s="96"/>
      <c r="B129" s="208"/>
      <c r="C129" s="208"/>
      <c r="D129" s="208"/>
      <c r="E129" s="208"/>
      <c r="F129" s="208" t="s">
        <v>466</v>
      </c>
      <c r="G129" s="209"/>
      <c r="H129" s="208"/>
      <c r="I129" s="307" t="s">
        <v>467</v>
      </c>
      <c r="J129" s="307"/>
      <c r="K129" s="209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4"/>
    </row>
    <row r="130" spans="1:28" ht="26.25" customHeight="1" thickTop="1" x14ac:dyDescent="0.25">
      <c r="A130" s="96"/>
      <c r="B130" s="210"/>
      <c r="C130" s="210"/>
      <c r="D130" s="210"/>
      <c r="E130" s="210"/>
      <c r="F130" s="210"/>
      <c r="G130" s="210"/>
      <c r="H130" s="210"/>
      <c r="I130" s="210"/>
      <c r="J130" s="210"/>
      <c r="K130" s="210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4"/>
    </row>
    <row r="131" spans="1:28" ht="39" customHeight="1" x14ac:dyDescent="0.25">
      <c r="A131" s="96"/>
      <c r="B131" s="199" t="s">
        <v>797</v>
      </c>
      <c r="C131" s="200" t="s">
        <v>32</v>
      </c>
      <c r="D131" s="199" t="s">
        <v>33</v>
      </c>
      <c r="E131" s="199" t="s">
        <v>34</v>
      </c>
      <c r="F131" s="309" t="s">
        <v>453</v>
      </c>
      <c r="G131" s="309"/>
      <c r="H131" s="201" t="s">
        <v>35</v>
      </c>
      <c r="I131" s="200" t="s">
        <v>36</v>
      </c>
      <c r="J131" s="200" t="s">
        <v>37</v>
      </c>
      <c r="K131" s="200" t="s">
        <v>39</v>
      </c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4"/>
    </row>
    <row r="132" spans="1:28" ht="39" customHeight="1" x14ac:dyDescent="0.25">
      <c r="A132" s="96"/>
      <c r="B132" s="195" t="s">
        <v>454</v>
      </c>
      <c r="C132" s="196" t="s">
        <v>798</v>
      </c>
      <c r="D132" s="195" t="s">
        <v>121</v>
      </c>
      <c r="E132" s="195" t="s">
        <v>799</v>
      </c>
      <c r="F132" s="310">
        <v>113</v>
      </c>
      <c r="G132" s="310"/>
      <c r="H132" s="197" t="s">
        <v>213</v>
      </c>
      <c r="I132" s="202">
        <v>1</v>
      </c>
      <c r="J132" s="198"/>
      <c r="K132" s="19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4"/>
    </row>
    <row r="133" spans="1:28" ht="26.25" customHeight="1" x14ac:dyDescent="0.25">
      <c r="A133" s="96"/>
      <c r="B133" s="203" t="s">
        <v>455</v>
      </c>
      <c r="C133" s="204" t="s">
        <v>836</v>
      </c>
      <c r="D133" s="203" t="s">
        <v>263</v>
      </c>
      <c r="E133" s="203" t="s">
        <v>1885</v>
      </c>
      <c r="F133" s="308">
        <v>28.2</v>
      </c>
      <c r="G133" s="308"/>
      <c r="H133" s="205" t="s">
        <v>213</v>
      </c>
      <c r="I133" s="206">
        <v>1</v>
      </c>
      <c r="J133" s="207"/>
      <c r="K133" s="207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4"/>
    </row>
    <row r="134" spans="1:28" ht="39" customHeight="1" x14ac:dyDescent="0.25">
      <c r="A134" s="96"/>
      <c r="B134" s="203" t="s">
        <v>455</v>
      </c>
      <c r="C134" s="204" t="s">
        <v>559</v>
      </c>
      <c r="D134" s="203" t="s">
        <v>182</v>
      </c>
      <c r="E134" s="203" t="s">
        <v>560</v>
      </c>
      <c r="F134" s="308" t="s">
        <v>534</v>
      </c>
      <c r="G134" s="308"/>
      <c r="H134" s="205" t="s">
        <v>535</v>
      </c>
      <c r="I134" s="206">
        <v>5</v>
      </c>
      <c r="J134" s="207"/>
      <c r="K134" s="207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4"/>
    </row>
    <row r="135" spans="1:28" ht="26.25" customHeight="1" x14ac:dyDescent="0.25">
      <c r="A135" s="96"/>
      <c r="B135" s="203" t="s">
        <v>455</v>
      </c>
      <c r="C135" s="204" t="s">
        <v>532</v>
      </c>
      <c r="D135" s="203" t="s">
        <v>182</v>
      </c>
      <c r="E135" s="203" t="s">
        <v>533</v>
      </c>
      <c r="F135" s="308" t="s">
        <v>534</v>
      </c>
      <c r="G135" s="308"/>
      <c r="H135" s="205" t="s">
        <v>535</v>
      </c>
      <c r="I135" s="206">
        <v>7</v>
      </c>
      <c r="J135" s="207"/>
      <c r="K135" s="207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4"/>
    </row>
    <row r="136" spans="1:28" ht="26.25" customHeight="1" x14ac:dyDescent="0.25">
      <c r="A136" s="96"/>
      <c r="B136" s="203" t="s">
        <v>455</v>
      </c>
      <c r="C136" s="204" t="s">
        <v>536</v>
      </c>
      <c r="D136" s="203" t="s">
        <v>182</v>
      </c>
      <c r="E136" s="203" t="s">
        <v>537</v>
      </c>
      <c r="F136" s="308" t="s">
        <v>534</v>
      </c>
      <c r="G136" s="308"/>
      <c r="H136" s="205" t="s">
        <v>535</v>
      </c>
      <c r="I136" s="206">
        <v>2</v>
      </c>
      <c r="J136" s="207"/>
      <c r="K136" s="207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4"/>
    </row>
    <row r="137" spans="1:28" ht="26.25" customHeight="1" x14ac:dyDescent="0.25">
      <c r="A137" s="96"/>
      <c r="B137" s="203" t="s">
        <v>455</v>
      </c>
      <c r="C137" s="204" t="s">
        <v>557</v>
      </c>
      <c r="D137" s="203" t="s">
        <v>182</v>
      </c>
      <c r="E137" s="203" t="s">
        <v>558</v>
      </c>
      <c r="F137" s="308" t="s">
        <v>556</v>
      </c>
      <c r="G137" s="308"/>
      <c r="H137" s="205" t="s">
        <v>324</v>
      </c>
      <c r="I137" s="206">
        <v>5.0999999999999996</v>
      </c>
      <c r="J137" s="207"/>
      <c r="K137" s="207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4"/>
    </row>
    <row r="138" spans="1:28" ht="26.25" customHeight="1" x14ac:dyDescent="0.25">
      <c r="A138" s="96"/>
      <c r="B138" s="211" t="s">
        <v>472</v>
      </c>
      <c r="C138" s="212" t="s">
        <v>1819</v>
      </c>
      <c r="D138" s="211" t="s">
        <v>182</v>
      </c>
      <c r="E138" s="211" t="s">
        <v>1820</v>
      </c>
      <c r="F138" s="306" t="s">
        <v>473</v>
      </c>
      <c r="G138" s="306"/>
      <c r="H138" s="213" t="s">
        <v>324</v>
      </c>
      <c r="I138" s="214">
        <v>1.8</v>
      </c>
      <c r="J138" s="215"/>
      <c r="K138" s="215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4"/>
    </row>
    <row r="139" spans="1:28" ht="26.25" customHeight="1" x14ac:dyDescent="0.25">
      <c r="A139" s="96"/>
      <c r="B139" s="211" t="s">
        <v>472</v>
      </c>
      <c r="C139" s="212" t="s">
        <v>554</v>
      </c>
      <c r="D139" s="211" t="s">
        <v>44</v>
      </c>
      <c r="E139" s="211" t="s">
        <v>555</v>
      </c>
      <c r="F139" s="306" t="s">
        <v>473</v>
      </c>
      <c r="G139" s="306"/>
      <c r="H139" s="213" t="s">
        <v>2114</v>
      </c>
      <c r="I139" s="214">
        <v>2.1000000000000001E-2</v>
      </c>
      <c r="J139" s="215"/>
      <c r="K139" s="215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4"/>
    </row>
    <row r="140" spans="1:28" ht="26.25" customHeight="1" x14ac:dyDescent="0.25">
      <c r="A140" s="96"/>
      <c r="B140" s="211" t="s">
        <v>472</v>
      </c>
      <c r="C140" s="212" t="s">
        <v>1817</v>
      </c>
      <c r="D140" s="211" t="s">
        <v>182</v>
      </c>
      <c r="E140" s="211" t="s">
        <v>1818</v>
      </c>
      <c r="F140" s="306" t="s">
        <v>473</v>
      </c>
      <c r="G140" s="306"/>
      <c r="H140" s="213" t="s">
        <v>213</v>
      </c>
      <c r="I140" s="214">
        <v>2</v>
      </c>
      <c r="J140" s="215"/>
      <c r="K140" s="215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4"/>
    </row>
    <row r="141" spans="1:28" ht="26.25" customHeight="1" x14ac:dyDescent="0.25">
      <c r="A141" s="96"/>
      <c r="B141" s="211" t="s">
        <v>472</v>
      </c>
      <c r="C141" s="212" t="s">
        <v>538</v>
      </c>
      <c r="D141" s="211" t="s">
        <v>44</v>
      </c>
      <c r="E141" s="211" t="s">
        <v>539</v>
      </c>
      <c r="F141" s="306" t="s">
        <v>540</v>
      </c>
      <c r="G141" s="306"/>
      <c r="H141" s="213" t="s">
        <v>459</v>
      </c>
      <c r="I141" s="214">
        <v>2</v>
      </c>
      <c r="J141" s="215"/>
      <c r="K141" s="215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4"/>
    </row>
    <row r="142" spans="1:28" ht="26.25" customHeight="1" x14ac:dyDescent="0.25">
      <c r="A142" s="96"/>
      <c r="B142" s="211" t="s">
        <v>472</v>
      </c>
      <c r="C142" s="212" t="s">
        <v>1824</v>
      </c>
      <c r="D142" s="211" t="s">
        <v>182</v>
      </c>
      <c r="E142" s="211" t="s">
        <v>1825</v>
      </c>
      <c r="F142" s="306" t="s">
        <v>473</v>
      </c>
      <c r="G142" s="306"/>
      <c r="H142" s="213" t="s">
        <v>213</v>
      </c>
      <c r="I142" s="214">
        <v>1</v>
      </c>
      <c r="J142" s="215"/>
      <c r="K142" s="215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4"/>
    </row>
    <row r="143" spans="1:28" ht="26.25" customHeight="1" x14ac:dyDescent="0.25">
      <c r="A143" s="96"/>
      <c r="B143" s="211" t="s">
        <v>472</v>
      </c>
      <c r="C143" s="212" t="s">
        <v>541</v>
      </c>
      <c r="D143" s="211" t="s">
        <v>44</v>
      </c>
      <c r="E143" s="211" t="s">
        <v>542</v>
      </c>
      <c r="F143" s="306" t="s">
        <v>540</v>
      </c>
      <c r="G143" s="306"/>
      <c r="H143" s="213" t="s">
        <v>459</v>
      </c>
      <c r="I143" s="214">
        <v>7</v>
      </c>
      <c r="J143" s="215"/>
      <c r="K143" s="215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4"/>
    </row>
    <row r="144" spans="1:28" ht="26.25" customHeight="1" x14ac:dyDescent="0.25">
      <c r="A144" s="96"/>
      <c r="B144" s="211" t="s">
        <v>472</v>
      </c>
      <c r="C144" s="212" t="s">
        <v>1815</v>
      </c>
      <c r="D144" s="211" t="s">
        <v>182</v>
      </c>
      <c r="E144" s="211" t="s">
        <v>1816</v>
      </c>
      <c r="F144" s="306" t="s">
        <v>473</v>
      </c>
      <c r="G144" s="306"/>
      <c r="H144" s="213" t="s">
        <v>213</v>
      </c>
      <c r="I144" s="214">
        <v>1</v>
      </c>
      <c r="J144" s="215"/>
      <c r="K144" s="215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4"/>
    </row>
    <row r="145" spans="1:28" ht="26.25" customHeight="1" x14ac:dyDescent="0.25">
      <c r="A145" s="96"/>
      <c r="B145" s="211" t="s">
        <v>472</v>
      </c>
      <c r="C145" s="212" t="s">
        <v>582</v>
      </c>
      <c r="D145" s="211" t="s">
        <v>44</v>
      </c>
      <c r="E145" s="211" t="s">
        <v>583</v>
      </c>
      <c r="F145" s="306" t="s">
        <v>540</v>
      </c>
      <c r="G145" s="306"/>
      <c r="H145" s="213" t="s">
        <v>459</v>
      </c>
      <c r="I145" s="214">
        <v>5</v>
      </c>
      <c r="J145" s="215"/>
      <c r="K145" s="215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4"/>
    </row>
    <row r="146" spans="1:28" ht="26.25" customHeight="1" x14ac:dyDescent="0.25">
      <c r="A146" s="96"/>
      <c r="B146" s="211" t="s">
        <v>472</v>
      </c>
      <c r="C146" s="212" t="s">
        <v>543</v>
      </c>
      <c r="D146" s="211" t="s">
        <v>44</v>
      </c>
      <c r="E146" s="211" t="s">
        <v>544</v>
      </c>
      <c r="F146" s="306" t="s">
        <v>473</v>
      </c>
      <c r="G146" s="306"/>
      <c r="H146" s="213" t="s">
        <v>82</v>
      </c>
      <c r="I146" s="214">
        <v>0.05</v>
      </c>
      <c r="J146" s="215"/>
      <c r="K146" s="215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4"/>
    </row>
    <row r="147" spans="1:28" ht="26.25" customHeight="1" x14ac:dyDescent="0.25">
      <c r="A147" s="96"/>
      <c r="B147" s="211" t="s">
        <v>472</v>
      </c>
      <c r="C147" s="212" t="s">
        <v>1826</v>
      </c>
      <c r="D147" s="211" t="s">
        <v>44</v>
      </c>
      <c r="E147" s="211" t="s">
        <v>1827</v>
      </c>
      <c r="F147" s="306" t="s">
        <v>473</v>
      </c>
      <c r="G147" s="306"/>
      <c r="H147" s="213" t="s">
        <v>71</v>
      </c>
      <c r="I147" s="214">
        <v>1.8</v>
      </c>
      <c r="J147" s="215"/>
      <c r="K147" s="215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4"/>
    </row>
    <row r="148" spans="1:28" ht="26.25" customHeight="1" x14ac:dyDescent="0.25">
      <c r="A148" s="96"/>
      <c r="B148" s="211" t="s">
        <v>472</v>
      </c>
      <c r="C148" s="212" t="s">
        <v>530</v>
      </c>
      <c r="D148" s="211" t="s">
        <v>44</v>
      </c>
      <c r="E148" s="211" t="s">
        <v>531</v>
      </c>
      <c r="F148" s="306" t="s">
        <v>473</v>
      </c>
      <c r="G148" s="306"/>
      <c r="H148" s="213" t="s">
        <v>82</v>
      </c>
      <c r="I148" s="214">
        <v>3.3</v>
      </c>
      <c r="J148" s="215"/>
      <c r="K148" s="215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4"/>
    </row>
    <row r="149" spans="1:28" ht="26.25" customHeight="1" x14ac:dyDescent="0.25">
      <c r="A149" s="96"/>
      <c r="B149" s="211" t="s">
        <v>472</v>
      </c>
      <c r="C149" s="212" t="s">
        <v>1821</v>
      </c>
      <c r="D149" s="211" t="s">
        <v>182</v>
      </c>
      <c r="E149" s="211" t="s">
        <v>1822</v>
      </c>
      <c r="F149" s="306" t="s">
        <v>473</v>
      </c>
      <c r="G149" s="306"/>
      <c r="H149" s="213" t="s">
        <v>1823</v>
      </c>
      <c r="I149" s="214">
        <v>0.05</v>
      </c>
      <c r="J149" s="215"/>
      <c r="K149" s="215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4"/>
    </row>
    <row r="150" spans="1:28" ht="26.25" customHeight="1" x14ac:dyDescent="0.25">
      <c r="A150" s="96"/>
      <c r="B150" s="208"/>
      <c r="C150" s="208"/>
      <c r="D150" s="208"/>
      <c r="E150" s="208"/>
      <c r="F150" s="208" t="s">
        <v>463</v>
      </c>
      <c r="G150" s="209"/>
      <c r="H150" s="208" t="s">
        <v>464</v>
      </c>
      <c r="I150" s="209">
        <v>0</v>
      </c>
      <c r="J150" s="208" t="s">
        <v>465</v>
      </c>
      <c r="K150" s="209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4"/>
    </row>
    <row r="151" spans="1:28" ht="26.25" customHeight="1" thickBot="1" x14ac:dyDescent="0.3">
      <c r="A151" s="96"/>
      <c r="B151" s="208"/>
      <c r="C151" s="208"/>
      <c r="D151" s="208"/>
      <c r="E151" s="208"/>
      <c r="F151" s="208" t="s">
        <v>466</v>
      </c>
      <c r="G151" s="209"/>
      <c r="H151" s="208"/>
      <c r="I151" s="307" t="s">
        <v>467</v>
      </c>
      <c r="J151" s="307"/>
      <c r="K151" s="209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4"/>
    </row>
    <row r="152" spans="1:28" ht="26.25" customHeight="1" thickTop="1" x14ac:dyDescent="0.25">
      <c r="A152" s="96"/>
      <c r="B152" s="210"/>
      <c r="C152" s="210"/>
      <c r="D152" s="210"/>
      <c r="E152" s="210"/>
      <c r="F152" s="210"/>
      <c r="G152" s="210"/>
      <c r="H152" s="210"/>
      <c r="I152" s="210"/>
      <c r="J152" s="210"/>
      <c r="K152" s="210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4"/>
    </row>
    <row r="153" spans="1:28" ht="26.25" customHeight="1" x14ac:dyDescent="0.25">
      <c r="A153" s="96"/>
      <c r="B153" s="199" t="s">
        <v>800</v>
      </c>
      <c r="C153" s="200" t="s">
        <v>32</v>
      </c>
      <c r="D153" s="199" t="s">
        <v>33</v>
      </c>
      <c r="E153" s="199" t="s">
        <v>34</v>
      </c>
      <c r="F153" s="309" t="s">
        <v>453</v>
      </c>
      <c r="G153" s="309"/>
      <c r="H153" s="201" t="s">
        <v>35</v>
      </c>
      <c r="I153" s="200" t="s">
        <v>36</v>
      </c>
      <c r="J153" s="200" t="s">
        <v>37</v>
      </c>
      <c r="K153" s="200" t="s">
        <v>39</v>
      </c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4"/>
    </row>
    <row r="154" spans="1:28" ht="26.25" customHeight="1" x14ac:dyDescent="0.25">
      <c r="A154" s="96"/>
      <c r="B154" s="195" t="s">
        <v>454</v>
      </c>
      <c r="C154" s="196" t="s">
        <v>801</v>
      </c>
      <c r="D154" s="195" t="s">
        <v>121</v>
      </c>
      <c r="E154" s="195" t="s">
        <v>802</v>
      </c>
      <c r="F154" s="310">
        <v>113</v>
      </c>
      <c r="G154" s="310"/>
      <c r="H154" s="197" t="s">
        <v>213</v>
      </c>
      <c r="I154" s="202">
        <v>1</v>
      </c>
      <c r="J154" s="198"/>
      <c r="K154" s="19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4"/>
    </row>
    <row r="155" spans="1:28" ht="26.25" customHeight="1" x14ac:dyDescent="0.25">
      <c r="A155" s="96"/>
      <c r="B155" s="203" t="s">
        <v>455</v>
      </c>
      <c r="C155" s="204" t="s">
        <v>559</v>
      </c>
      <c r="D155" s="203" t="s">
        <v>182</v>
      </c>
      <c r="E155" s="203" t="s">
        <v>560</v>
      </c>
      <c r="F155" s="308" t="s">
        <v>534</v>
      </c>
      <c r="G155" s="308"/>
      <c r="H155" s="205" t="s">
        <v>535</v>
      </c>
      <c r="I155" s="206">
        <v>6.67</v>
      </c>
      <c r="J155" s="207"/>
      <c r="K155" s="207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4"/>
    </row>
    <row r="156" spans="1:28" ht="26.25" customHeight="1" x14ac:dyDescent="0.25">
      <c r="A156" s="96"/>
      <c r="B156" s="203" t="s">
        <v>455</v>
      </c>
      <c r="C156" s="204" t="s">
        <v>532</v>
      </c>
      <c r="D156" s="203" t="s">
        <v>182</v>
      </c>
      <c r="E156" s="203" t="s">
        <v>533</v>
      </c>
      <c r="F156" s="308" t="s">
        <v>534</v>
      </c>
      <c r="G156" s="308"/>
      <c r="H156" s="205" t="s">
        <v>535</v>
      </c>
      <c r="I156" s="206">
        <v>9.33</v>
      </c>
      <c r="J156" s="207"/>
      <c r="K156" s="207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4"/>
    </row>
    <row r="157" spans="1:28" ht="26.25" customHeight="1" x14ac:dyDescent="0.25">
      <c r="A157" s="96"/>
      <c r="B157" s="203" t="s">
        <v>455</v>
      </c>
      <c r="C157" s="204" t="s">
        <v>536</v>
      </c>
      <c r="D157" s="203" t="s">
        <v>182</v>
      </c>
      <c r="E157" s="203" t="s">
        <v>537</v>
      </c>
      <c r="F157" s="308" t="s">
        <v>534</v>
      </c>
      <c r="G157" s="308"/>
      <c r="H157" s="205" t="s">
        <v>535</v>
      </c>
      <c r="I157" s="206">
        <v>2.67</v>
      </c>
      <c r="J157" s="207"/>
      <c r="K157" s="207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4"/>
    </row>
    <row r="158" spans="1:28" ht="26.25" customHeight="1" x14ac:dyDescent="0.25">
      <c r="A158" s="96"/>
      <c r="B158" s="203" t="s">
        <v>455</v>
      </c>
      <c r="C158" s="204" t="s">
        <v>557</v>
      </c>
      <c r="D158" s="203" t="s">
        <v>182</v>
      </c>
      <c r="E158" s="203" t="s">
        <v>558</v>
      </c>
      <c r="F158" s="308" t="s">
        <v>556</v>
      </c>
      <c r="G158" s="308"/>
      <c r="H158" s="205" t="s">
        <v>324</v>
      </c>
      <c r="I158" s="206">
        <v>6.8</v>
      </c>
      <c r="J158" s="207"/>
      <c r="K158" s="207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4"/>
    </row>
    <row r="159" spans="1:28" ht="26.25" customHeight="1" x14ac:dyDescent="0.25">
      <c r="A159" s="96"/>
      <c r="B159" s="203" t="s">
        <v>455</v>
      </c>
      <c r="C159" s="204" t="s">
        <v>836</v>
      </c>
      <c r="D159" s="203" t="s">
        <v>263</v>
      </c>
      <c r="E159" s="203" t="s">
        <v>1885</v>
      </c>
      <c r="F159" s="308">
        <v>28.2</v>
      </c>
      <c r="G159" s="308"/>
      <c r="H159" s="205" t="s">
        <v>213</v>
      </c>
      <c r="I159" s="206">
        <v>1</v>
      </c>
      <c r="J159" s="207"/>
      <c r="K159" s="207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4"/>
    </row>
    <row r="160" spans="1:28" ht="26.25" customHeight="1" x14ac:dyDescent="0.25">
      <c r="A160" s="96"/>
      <c r="B160" s="211" t="s">
        <v>472</v>
      </c>
      <c r="C160" s="212" t="s">
        <v>1828</v>
      </c>
      <c r="D160" s="211" t="s">
        <v>182</v>
      </c>
      <c r="E160" s="211" t="s">
        <v>1829</v>
      </c>
      <c r="F160" s="306" t="s">
        <v>473</v>
      </c>
      <c r="G160" s="306"/>
      <c r="H160" s="213" t="s">
        <v>213</v>
      </c>
      <c r="I160" s="214">
        <v>2</v>
      </c>
      <c r="J160" s="215"/>
      <c r="K160" s="215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4"/>
    </row>
    <row r="161" spans="1:28" ht="26.25" customHeight="1" x14ac:dyDescent="0.25">
      <c r="A161" s="96"/>
      <c r="B161" s="211" t="s">
        <v>472</v>
      </c>
      <c r="C161" s="212" t="s">
        <v>1819</v>
      </c>
      <c r="D161" s="211" t="s">
        <v>182</v>
      </c>
      <c r="E161" s="211" t="s">
        <v>1820</v>
      </c>
      <c r="F161" s="306" t="s">
        <v>473</v>
      </c>
      <c r="G161" s="306"/>
      <c r="H161" s="213" t="s">
        <v>324</v>
      </c>
      <c r="I161" s="214">
        <v>2.4</v>
      </c>
      <c r="J161" s="215"/>
      <c r="K161" s="215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4"/>
    </row>
    <row r="162" spans="1:28" ht="26.25" customHeight="1" x14ac:dyDescent="0.25">
      <c r="A162" s="96"/>
      <c r="B162" s="211" t="s">
        <v>472</v>
      </c>
      <c r="C162" s="212" t="s">
        <v>543</v>
      </c>
      <c r="D162" s="211" t="s">
        <v>44</v>
      </c>
      <c r="E162" s="211" t="s">
        <v>544</v>
      </c>
      <c r="F162" s="306" t="s">
        <v>473</v>
      </c>
      <c r="G162" s="306"/>
      <c r="H162" s="213" t="s">
        <v>82</v>
      </c>
      <c r="I162" s="214">
        <v>6.7000000000000004E-2</v>
      </c>
      <c r="J162" s="215"/>
      <c r="K162" s="215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4"/>
    </row>
    <row r="163" spans="1:28" ht="26.25" customHeight="1" x14ac:dyDescent="0.25">
      <c r="A163" s="96"/>
      <c r="B163" s="211" t="s">
        <v>472</v>
      </c>
      <c r="C163" s="212" t="s">
        <v>1826</v>
      </c>
      <c r="D163" s="211" t="s">
        <v>44</v>
      </c>
      <c r="E163" s="211" t="s">
        <v>1827</v>
      </c>
      <c r="F163" s="306" t="s">
        <v>473</v>
      </c>
      <c r="G163" s="306"/>
      <c r="H163" s="213" t="s">
        <v>71</v>
      </c>
      <c r="I163" s="214">
        <v>2.4</v>
      </c>
      <c r="J163" s="215"/>
      <c r="K163" s="215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4"/>
    </row>
    <row r="164" spans="1:28" ht="26.25" customHeight="1" x14ac:dyDescent="0.25">
      <c r="A164" s="96"/>
      <c r="B164" s="211" t="s">
        <v>472</v>
      </c>
      <c r="C164" s="212" t="s">
        <v>541</v>
      </c>
      <c r="D164" s="211" t="s">
        <v>44</v>
      </c>
      <c r="E164" s="211" t="s">
        <v>542</v>
      </c>
      <c r="F164" s="306" t="s">
        <v>540</v>
      </c>
      <c r="G164" s="306"/>
      <c r="H164" s="213" t="s">
        <v>459</v>
      </c>
      <c r="I164" s="214">
        <v>9.33</v>
      </c>
      <c r="J164" s="215"/>
      <c r="K164" s="215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4"/>
    </row>
    <row r="165" spans="1:28" ht="26.25" customHeight="1" x14ac:dyDescent="0.25">
      <c r="A165" s="96"/>
      <c r="B165" s="211" t="s">
        <v>472</v>
      </c>
      <c r="C165" s="212" t="s">
        <v>1821</v>
      </c>
      <c r="D165" s="211" t="s">
        <v>182</v>
      </c>
      <c r="E165" s="211" t="s">
        <v>1822</v>
      </c>
      <c r="F165" s="306" t="s">
        <v>473</v>
      </c>
      <c r="G165" s="306"/>
      <c r="H165" s="213" t="s">
        <v>1823</v>
      </c>
      <c r="I165" s="214">
        <v>6.7000000000000004E-2</v>
      </c>
      <c r="J165" s="215"/>
      <c r="K165" s="215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4"/>
    </row>
    <row r="166" spans="1:28" ht="26.25" customHeight="1" x14ac:dyDescent="0.25">
      <c r="A166" s="96"/>
      <c r="B166" s="211" t="s">
        <v>472</v>
      </c>
      <c r="C166" s="212" t="s">
        <v>530</v>
      </c>
      <c r="D166" s="211" t="s">
        <v>44</v>
      </c>
      <c r="E166" s="211" t="s">
        <v>531</v>
      </c>
      <c r="F166" s="306" t="s">
        <v>473</v>
      </c>
      <c r="G166" s="306"/>
      <c r="H166" s="213" t="s">
        <v>82</v>
      </c>
      <c r="I166" s="214">
        <v>4.4000000000000004</v>
      </c>
      <c r="J166" s="215"/>
      <c r="K166" s="215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4"/>
    </row>
    <row r="167" spans="1:28" ht="26.25" customHeight="1" x14ac:dyDescent="0.25">
      <c r="A167" s="96"/>
      <c r="B167" s="211" t="s">
        <v>472</v>
      </c>
      <c r="C167" s="212" t="s">
        <v>1824</v>
      </c>
      <c r="D167" s="211" t="s">
        <v>182</v>
      </c>
      <c r="E167" s="211" t="s">
        <v>1825</v>
      </c>
      <c r="F167" s="306" t="s">
        <v>473</v>
      </c>
      <c r="G167" s="306"/>
      <c r="H167" s="213" t="s">
        <v>213</v>
      </c>
      <c r="I167" s="214">
        <v>1</v>
      </c>
      <c r="J167" s="215"/>
      <c r="K167" s="215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4"/>
    </row>
    <row r="168" spans="1:28" ht="26.25" customHeight="1" x14ac:dyDescent="0.25">
      <c r="A168" s="96"/>
      <c r="B168" s="211" t="s">
        <v>472</v>
      </c>
      <c r="C168" s="212" t="s">
        <v>538</v>
      </c>
      <c r="D168" s="211" t="s">
        <v>44</v>
      </c>
      <c r="E168" s="211" t="s">
        <v>539</v>
      </c>
      <c r="F168" s="306" t="s">
        <v>540</v>
      </c>
      <c r="G168" s="306"/>
      <c r="H168" s="213" t="s">
        <v>459</v>
      </c>
      <c r="I168" s="214">
        <v>2.67</v>
      </c>
      <c r="J168" s="215"/>
      <c r="K168" s="215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4"/>
    </row>
    <row r="169" spans="1:28" ht="26.25" customHeight="1" x14ac:dyDescent="0.25">
      <c r="A169" s="96"/>
      <c r="B169" s="211" t="s">
        <v>472</v>
      </c>
      <c r="C169" s="212" t="s">
        <v>554</v>
      </c>
      <c r="D169" s="211" t="s">
        <v>44</v>
      </c>
      <c r="E169" s="211" t="s">
        <v>555</v>
      </c>
      <c r="F169" s="306" t="s">
        <v>473</v>
      </c>
      <c r="G169" s="306"/>
      <c r="H169" s="213" t="s">
        <v>2114</v>
      </c>
      <c r="I169" s="214">
        <v>2.8000000000000001E-2</v>
      </c>
      <c r="J169" s="215"/>
      <c r="K169" s="215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4"/>
    </row>
    <row r="170" spans="1:28" ht="26.25" customHeight="1" x14ac:dyDescent="0.25">
      <c r="A170" s="96"/>
      <c r="B170" s="211" t="s">
        <v>472</v>
      </c>
      <c r="C170" s="212" t="s">
        <v>582</v>
      </c>
      <c r="D170" s="211" t="s">
        <v>44</v>
      </c>
      <c r="E170" s="211" t="s">
        <v>583</v>
      </c>
      <c r="F170" s="306" t="s">
        <v>540</v>
      </c>
      <c r="G170" s="306"/>
      <c r="H170" s="213" t="s">
        <v>459</v>
      </c>
      <c r="I170" s="214">
        <v>6.67</v>
      </c>
      <c r="J170" s="215"/>
      <c r="K170" s="215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4"/>
    </row>
    <row r="171" spans="1:28" ht="26.25" customHeight="1" x14ac:dyDescent="0.25">
      <c r="A171" s="96"/>
      <c r="B171" s="211" t="s">
        <v>472</v>
      </c>
      <c r="C171" s="212" t="s">
        <v>1817</v>
      </c>
      <c r="D171" s="211" t="s">
        <v>182</v>
      </c>
      <c r="E171" s="211" t="s">
        <v>1818</v>
      </c>
      <c r="F171" s="306" t="s">
        <v>473</v>
      </c>
      <c r="G171" s="306"/>
      <c r="H171" s="213" t="s">
        <v>213</v>
      </c>
      <c r="I171" s="214">
        <v>3</v>
      </c>
      <c r="J171" s="215"/>
      <c r="K171" s="215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4"/>
    </row>
    <row r="172" spans="1:28" ht="26.25" customHeight="1" x14ac:dyDescent="0.25">
      <c r="A172" s="96"/>
      <c r="B172" s="208"/>
      <c r="C172" s="208"/>
      <c r="D172" s="208"/>
      <c r="E172" s="208"/>
      <c r="F172" s="208" t="s">
        <v>463</v>
      </c>
      <c r="G172" s="209"/>
      <c r="H172" s="208" t="s">
        <v>464</v>
      </c>
      <c r="I172" s="209">
        <v>0</v>
      </c>
      <c r="J172" s="208" t="s">
        <v>465</v>
      </c>
      <c r="K172" s="209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4"/>
    </row>
    <row r="173" spans="1:28" ht="26.25" customHeight="1" thickBot="1" x14ac:dyDescent="0.3">
      <c r="A173" s="96"/>
      <c r="B173" s="208"/>
      <c r="C173" s="208"/>
      <c r="D173" s="208"/>
      <c r="E173" s="208"/>
      <c r="F173" s="208" t="s">
        <v>466</v>
      </c>
      <c r="G173" s="209"/>
      <c r="H173" s="208"/>
      <c r="I173" s="307" t="s">
        <v>467</v>
      </c>
      <c r="J173" s="307"/>
      <c r="K173" s="209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4"/>
    </row>
    <row r="174" spans="1:28" ht="26.25" customHeight="1" thickTop="1" x14ac:dyDescent="0.25">
      <c r="A174" s="96"/>
      <c r="B174" s="210"/>
      <c r="C174" s="210"/>
      <c r="D174" s="210"/>
      <c r="E174" s="210"/>
      <c r="F174" s="210"/>
      <c r="G174" s="210"/>
      <c r="H174" s="210"/>
      <c r="I174" s="210"/>
      <c r="J174" s="210"/>
      <c r="K174" s="210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4"/>
    </row>
    <row r="175" spans="1:28" ht="26.25" customHeight="1" x14ac:dyDescent="0.25">
      <c r="A175" s="96"/>
      <c r="B175" s="199" t="s">
        <v>803</v>
      </c>
      <c r="C175" s="200" t="s">
        <v>32</v>
      </c>
      <c r="D175" s="199" t="s">
        <v>33</v>
      </c>
      <c r="E175" s="199" t="s">
        <v>34</v>
      </c>
      <c r="F175" s="309" t="s">
        <v>453</v>
      </c>
      <c r="G175" s="309"/>
      <c r="H175" s="201" t="s">
        <v>35</v>
      </c>
      <c r="I175" s="200" t="s">
        <v>36</v>
      </c>
      <c r="J175" s="200" t="s">
        <v>37</v>
      </c>
      <c r="K175" s="200" t="s">
        <v>39</v>
      </c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4"/>
    </row>
    <row r="176" spans="1:28" ht="26.25" customHeight="1" x14ac:dyDescent="0.25">
      <c r="A176" s="96"/>
      <c r="B176" s="195" t="s">
        <v>454</v>
      </c>
      <c r="C176" s="196" t="s">
        <v>804</v>
      </c>
      <c r="D176" s="195" t="s">
        <v>121</v>
      </c>
      <c r="E176" s="195" t="s">
        <v>2303</v>
      </c>
      <c r="F176" s="310">
        <v>110</v>
      </c>
      <c r="G176" s="310"/>
      <c r="H176" s="197" t="s">
        <v>45</v>
      </c>
      <c r="I176" s="202">
        <v>1</v>
      </c>
      <c r="J176" s="198"/>
      <c r="K176" s="19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4"/>
    </row>
    <row r="177" spans="1:28" ht="26.25" customHeight="1" x14ac:dyDescent="0.25">
      <c r="A177" s="96"/>
      <c r="B177" s="203" t="s">
        <v>455</v>
      </c>
      <c r="C177" s="204" t="s">
        <v>493</v>
      </c>
      <c r="D177" s="203" t="s">
        <v>44</v>
      </c>
      <c r="E177" s="203" t="s">
        <v>494</v>
      </c>
      <c r="F177" s="308" t="s">
        <v>458</v>
      </c>
      <c r="G177" s="308"/>
      <c r="H177" s="205" t="s">
        <v>459</v>
      </c>
      <c r="I177" s="206">
        <v>4.3899999999999997</v>
      </c>
      <c r="J177" s="207"/>
      <c r="K177" s="207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4"/>
    </row>
    <row r="178" spans="1:28" ht="26.25" customHeight="1" x14ac:dyDescent="0.25">
      <c r="A178" s="96"/>
      <c r="B178" s="203" t="s">
        <v>455</v>
      </c>
      <c r="C178" s="204" t="s">
        <v>495</v>
      </c>
      <c r="D178" s="203" t="s">
        <v>44</v>
      </c>
      <c r="E178" s="203" t="s">
        <v>496</v>
      </c>
      <c r="F178" s="308" t="s">
        <v>458</v>
      </c>
      <c r="G178" s="308"/>
      <c r="H178" s="205" t="s">
        <v>459</v>
      </c>
      <c r="I178" s="206">
        <v>4.17</v>
      </c>
      <c r="J178" s="207"/>
      <c r="K178" s="207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4"/>
    </row>
    <row r="179" spans="1:28" ht="26.25" customHeight="1" x14ac:dyDescent="0.25">
      <c r="A179" s="96"/>
      <c r="B179" s="211" t="s">
        <v>472</v>
      </c>
      <c r="C179" s="212" t="s">
        <v>566</v>
      </c>
      <c r="D179" s="211" t="s">
        <v>65</v>
      </c>
      <c r="E179" s="211" t="s">
        <v>567</v>
      </c>
      <c r="F179" s="306" t="s">
        <v>473</v>
      </c>
      <c r="G179" s="306"/>
      <c r="H179" s="213" t="s">
        <v>82</v>
      </c>
      <c r="I179" s="214">
        <v>0.06</v>
      </c>
      <c r="J179" s="215"/>
      <c r="K179" s="215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4"/>
    </row>
    <row r="180" spans="1:28" ht="26.25" customHeight="1" x14ac:dyDescent="0.25">
      <c r="A180" s="96"/>
      <c r="B180" s="211" t="s">
        <v>472</v>
      </c>
      <c r="C180" s="212" t="s">
        <v>1830</v>
      </c>
      <c r="D180" s="211" t="s">
        <v>65</v>
      </c>
      <c r="E180" s="211" t="s">
        <v>1831</v>
      </c>
      <c r="F180" s="306" t="s">
        <v>473</v>
      </c>
      <c r="G180" s="306"/>
      <c r="H180" s="213" t="s">
        <v>55</v>
      </c>
      <c r="I180" s="214">
        <v>0.66</v>
      </c>
      <c r="J180" s="215"/>
      <c r="K180" s="215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4"/>
    </row>
    <row r="181" spans="1:28" ht="26.25" customHeight="1" x14ac:dyDescent="0.25">
      <c r="A181" s="96"/>
      <c r="B181" s="211" t="s">
        <v>472</v>
      </c>
      <c r="C181" s="212" t="s">
        <v>562</v>
      </c>
      <c r="D181" s="211" t="s">
        <v>65</v>
      </c>
      <c r="E181" s="211" t="s">
        <v>563</v>
      </c>
      <c r="F181" s="306" t="s">
        <v>473</v>
      </c>
      <c r="G181" s="306"/>
      <c r="H181" s="213" t="s">
        <v>55</v>
      </c>
      <c r="I181" s="214">
        <v>3</v>
      </c>
      <c r="J181" s="215"/>
      <c r="K181" s="215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4"/>
    </row>
    <row r="182" spans="1:28" ht="26.25" customHeight="1" x14ac:dyDescent="0.25">
      <c r="A182" s="96"/>
      <c r="B182" s="211" t="s">
        <v>472</v>
      </c>
      <c r="C182" s="212" t="s">
        <v>564</v>
      </c>
      <c r="D182" s="211" t="s">
        <v>65</v>
      </c>
      <c r="E182" s="211" t="s">
        <v>565</v>
      </c>
      <c r="F182" s="306" t="s">
        <v>473</v>
      </c>
      <c r="G182" s="306"/>
      <c r="H182" s="213" t="s">
        <v>82</v>
      </c>
      <c r="I182" s="214">
        <v>1.9E-2</v>
      </c>
      <c r="J182" s="215"/>
      <c r="K182" s="215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4"/>
    </row>
    <row r="183" spans="1:28" ht="26.25" customHeight="1" x14ac:dyDescent="0.25">
      <c r="A183" s="96"/>
      <c r="B183" s="208"/>
      <c r="C183" s="208"/>
      <c r="D183" s="208"/>
      <c r="E183" s="208"/>
      <c r="F183" s="208" t="s">
        <v>463</v>
      </c>
      <c r="G183" s="209"/>
      <c r="H183" s="208" t="s">
        <v>464</v>
      </c>
      <c r="I183" s="209">
        <v>0</v>
      </c>
      <c r="J183" s="208" t="s">
        <v>465</v>
      </c>
      <c r="K183" s="209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4"/>
    </row>
    <row r="184" spans="1:28" ht="26.25" customHeight="1" thickBot="1" x14ac:dyDescent="0.3">
      <c r="A184" s="96"/>
      <c r="B184" s="208"/>
      <c r="C184" s="208"/>
      <c r="D184" s="208"/>
      <c r="E184" s="208"/>
      <c r="F184" s="208" t="s">
        <v>466</v>
      </c>
      <c r="G184" s="209"/>
      <c r="H184" s="208"/>
      <c r="I184" s="307" t="s">
        <v>467</v>
      </c>
      <c r="J184" s="307"/>
      <c r="K184" s="209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4"/>
    </row>
    <row r="185" spans="1:28" ht="26.25" customHeight="1" thickTop="1" x14ac:dyDescent="0.25">
      <c r="A185" s="96"/>
      <c r="B185" s="210"/>
      <c r="C185" s="210"/>
      <c r="D185" s="210"/>
      <c r="E185" s="210"/>
      <c r="F185" s="210"/>
      <c r="G185" s="210"/>
      <c r="H185" s="210"/>
      <c r="I185" s="210"/>
      <c r="J185" s="210"/>
      <c r="K185" s="210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4"/>
    </row>
    <row r="186" spans="1:28" ht="26.25" customHeight="1" x14ac:dyDescent="0.25">
      <c r="A186" s="96"/>
      <c r="B186" s="199" t="s">
        <v>945</v>
      </c>
      <c r="C186" s="200" t="s">
        <v>32</v>
      </c>
      <c r="D186" s="199" t="s">
        <v>33</v>
      </c>
      <c r="E186" s="199" t="s">
        <v>34</v>
      </c>
      <c r="F186" s="309" t="s">
        <v>453</v>
      </c>
      <c r="G186" s="309"/>
      <c r="H186" s="201" t="s">
        <v>35</v>
      </c>
      <c r="I186" s="200" t="s">
        <v>36</v>
      </c>
      <c r="J186" s="200" t="s">
        <v>37</v>
      </c>
      <c r="K186" s="200" t="s">
        <v>39</v>
      </c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4"/>
    </row>
    <row r="187" spans="1:28" ht="26.25" customHeight="1" x14ac:dyDescent="0.25">
      <c r="A187" s="96"/>
      <c r="B187" s="195" t="s">
        <v>454</v>
      </c>
      <c r="C187" s="196" t="s">
        <v>946</v>
      </c>
      <c r="D187" s="195" t="s">
        <v>121</v>
      </c>
      <c r="E187" s="195" t="s">
        <v>947</v>
      </c>
      <c r="F187" s="310">
        <v>53</v>
      </c>
      <c r="G187" s="310"/>
      <c r="H187" s="197" t="s">
        <v>55</v>
      </c>
      <c r="I187" s="202">
        <v>1</v>
      </c>
      <c r="J187" s="198"/>
      <c r="K187" s="19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4"/>
    </row>
    <row r="188" spans="1:28" ht="26.25" customHeight="1" x14ac:dyDescent="0.25">
      <c r="A188" s="96"/>
      <c r="B188" s="203" t="s">
        <v>455</v>
      </c>
      <c r="C188" s="204" t="s">
        <v>485</v>
      </c>
      <c r="D188" s="203" t="s">
        <v>44</v>
      </c>
      <c r="E188" s="203" t="s">
        <v>486</v>
      </c>
      <c r="F188" s="308" t="s">
        <v>458</v>
      </c>
      <c r="G188" s="308"/>
      <c r="H188" s="205" t="s">
        <v>459</v>
      </c>
      <c r="I188" s="206">
        <v>0.86399999999999999</v>
      </c>
      <c r="J188" s="207"/>
      <c r="K188" s="207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4"/>
    </row>
    <row r="189" spans="1:28" ht="26.25" customHeight="1" x14ac:dyDescent="0.25">
      <c r="A189" s="96"/>
      <c r="B189" s="203" t="s">
        <v>455</v>
      </c>
      <c r="C189" s="204" t="s">
        <v>483</v>
      </c>
      <c r="D189" s="203" t="s">
        <v>44</v>
      </c>
      <c r="E189" s="203" t="s">
        <v>484</v>
      </c>
      <c r="F189" s="308" t="s">
        <v>458</v>
      </c>
      <c r="G189" s="308"/>
      <c r="H189" s="205" t="s">
        <v>459</v>
      </c>
      <c r="I189" s="206">
        <v>0.86399999999999999</v>
      </c>
      <c r="J189" s="207"/>
      <c r="K189" s="207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4"/>
    </row>
    <row r="190" spans="1:28" ht="26.25" customHeight="1" x14ac:dyDescent="0.25">
      <c r="A190" s="96"/>
      <c r="B190" s="211" t="s">
        <v>472</v>
      </c>
      <c r="C190" s="212" t="s">
        <v>1836</v>
      </c>
      <c r="D190" s="211" t="s">
        <v>44</v>
      </c>
      <c r="E190" s="211" t="s">
        <v>1837</v>
      </c>
      <c r="F190" s="306" t="s">
        <v>473</v>
      </c>
      <c r="G190" s="306"/>
      <c r="H190" s="213" t="s">
        <v>55</v>
      </c>
      <c r="I190" s="214">
        <v>1</v>
      </c>
      <c r="J190" s="215"/>
      <c r="K190" s="215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4"/>
    </row>
    <row r="191" spans="1:28" ht="26.25" customHeight="1" x14ac:dyDescent="0.25">
      <c r="A191" s="96"/>
      <c r="B191" s="211" t="s">
        <v>472</v>
      </c>
      <c r="C191" s="212" t="s">
        <v>2120</v>
      </c>
      <c r="D191" s="211" t="s">
        <v>44</v>
      </c>
      <c r="E191" s="211" t="s">
        <v>2121</v>
      </c>
      <c r="F191" s="306" t="s">
        <v>473</v>
      </c>
      <c r="G191" s="306"/>
      <c r="H191" s="213" t="s">
        <v>55</v>
      </c>
      <c r="I191" s="214">
        <v>1</v>
      </c>
      <c r="J191" s="215"/>
      <c r="K191" s="215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4"/>
    </row>
    <row r="192" spans="1:28" ht="26.25" customHeight="1" x14ac:dyDescent="0.25">
      <c r="A192" s="96"/>
      <c r="B192" s="211" t="s">
        <v>472</v>
      </c>
      <c r="C192" s="212" t="s">
        <v>1834</v>
      </c>
      <c r="D192" s="211" t="s">
        <v>65</v>
      </c>
      <c r="E192" s="211" t="s">
        <v>1835</v>
      </c>
      <c r="F192" s="306" t="s">
        <v>473</v>
      </c>
      <c r="G192" s="306"/>
      <c r="H192" s="213" t="s">
        <v>55</v>
      </c>
      <c r="I192" s="214">
        <v>0.1</v>
      </c>
      <c r="J192" s="215"/>
      <c r="K192" s="215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4"/>
    </row>
    <row r="193" spans="1:28" ht="26.25" customHeight="1" x14ac:dyDescent="0.25">
      <c r="A193" s="96"/>
      <c r="B193" s="211" t="s">
        <v>472</v>
      </c>
      <c r="C193" s="212" t="s">
        <v>1832</v>
      </c>
      <c r="D193" s="211" t="s">
        <v>65</v>
      </c>
      <c r="E193" s="211" t="s">
        <v>1833</v>
      </c>
      <c r="F193" s="306" t="s">
        <v>473</v>
      </c>
      <c r="G193" s="306"/>
      <c r="H193" s="213" t="s">
        <v>55</v>
      </c>
      <c r="I193" s="214">
        <v>0.2</v>
      </c>
      <c r="J193" s="215"/>
      <c r="K193" s="215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4"/>
    </row>
    <row r="194" spans="1:28" ht="26.25" customHeight="1" x14ac:dyDescent="0.25">
      <c r="A194" s="96"/>
      <c r="B194" s="208"/>
      <c r="C194" s="208"/>
      <c r="D194" s="208"/>
      <c r="E194" s="208"/>
      <c r="F194" s="208" t="s">
        <v>463</v>
      </c>
      <c r="G194" s="209"/>
      <c r="H194" s="208" t="s">
        <v>464</v>
      </c>
      <c r="I194" s="209">
        <v>0</v>
      </c>
      <c r="J194" s="208" t="s">
        <v>465</v>
      </c>
      <c r="K194" s="209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4"/>
    </row>
    <row r="195" spans="1:28" ht="26.25" customHeight="1" thickBot="1" x14ac:dyDescent="0.3">
      <c r="A195" s="96"/>
      <c r="B195" s="208"/>
      <c r="C195" s="208"/>
      <c r="D195" s="208"/>
      <c r="E195" s="208"/>
      <c r="F195" s="208" t="s">
        <v>466</v>
      </c>
      <c r="G195" s="209"/>
      <c r="H195" s="208"/>
      <c r="I195" s="307" t="s">
        <v>467</v>
      </c>
      <c r="J195" s="307"/>
      <c r="K195" s="209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4"/>
    </row>
    <row r="196" spans="1:28" ht="26.25" customHeight="1" thickTop="1" x14ac:dyDescent="0.25">
      <c r="A196" s="96"/>
      <c r="B196" s="210"/>
      <c r="C196" s="210"/>
      <c r="D196" s="210"/>
      <c r="E196" s="210"/>
      <c r="F196" s="210"/>
      <c r="G196" s="210"/>
      <c r="H196" s="210"/>
      <c r="I196" s="210"/>
      <c r="J196" s="210"/>
      <c r="K196" s="210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4"/>
    </row>
    <row r="197" spans="1:28" ht="39" customHeight="1" x14ac:dyDescent="0.25">
      <c r="A197" s="96"/>
      <c r="B197" s="199" t="s">
        <v>2321</v>
      </c>
      <c r="C197" s="200" t="s">
        <v>32</v>
      </c>
      <c r="D197" s="199" t="s">
        <v>33</v>
      </c>
      <c r="E197" s="199" t="s">
        <v>34</v>
      </c>
      <c r="F197" s="309" t="s">
        <v>453</v>
      </c>
      <c r="G197" s="309"/>
      <c r="H197" s="201" t="s">
        <v>35</v>
      </c>
      <c r="I197" s="200" t="s">
        <v>36</v>
      </c>
      <c r="J197" s="200" t="s">
        <v>37</v>
      </c>
      <c r="K197" s="200" t="s">
        <v>39</v>
      </c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4"/>
    </row>
    <row r="198" spans="1:28" ht="26.25" customHeight="1" x14ac:dyDescent="0.25">
      <c r="A198" s="96"/>
      <c r="B198" s="195" t="s">
        <v>454</v>
      </c>
      <c r="C198" s="196" t="s">
        <v>2322</v>
      </c>
      <c r="D198" s="195" t="s">
        <v>121</v>
      </c>
      <c r="E198" s="195" t="s">
        <v>2323</v>
      </c>
      <c r="F198" s="310" t="s">
        <v>471</v>
      </c>
      <c r="G198" s="310"/>
      <c r="H198" s="197" t="s">
        <v>213</v>
      </c>
      <c r="I198" s="202">
        <v>1</v>
      </c>
      <c r="J198" s="198"/>
      <c r="K198" s="19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4"/>
    </row>
    <row r="199" spans="1:28" ht="26.25" customHeight="1" x14ac:dyDescent="0.25">
      <c r="A199" s="96"/>
      <c r="B199" s="203" t="s">
        <v>455</v>
      </c>
      <c r="C199" s="204" t="s">
        <v>483</v>
      </c>
      <c r="D199" s="203" t="s">
        <v>44</v>
      </c>
      <c r="E199" s="203" t="s">
        <v>484</v>
      </c>
      <c r="F199" s="308" t="s">
        <v>458</v>
      </c>
      <c r="G199" s="308"/>
      <c r="H199" s="205" t="s">
        <v>459</v>
      </c>
      <c r="I199" s="206">
        <v>0.1416</v>
      </c>
      <c r="J199" s="207"/>
      <c r="K199" s="207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4"/>
    </row>
    <row r="200" spans="1:28" ht="26.25" customHeight="1" x14ac:dyDescent="0.25">
      <c r="A200" s="96"/>
      <c r="B200" s="203" t="s">
        <v>455</v>
      </c>
      <c r="C200" s="204" t="s">
        <v>485</v>
      </c>
      <c r="D200" s="203" t="s">
        <v>44</v>
      </c>
      <c r="E200" s="203" t="s">
        <v>486</v>
      </c>
      <c r="F200" s="308" t="s">
        <v>458</v>
      </c>
      <c r="G200" s="308"/>
      <c r="H200" s="205" t="s">
        <v>459</v>
      </c>
      <c r="I200" s="206">
        <v>0.1416</v>
      </c>
      <c r="J200" s="207"/>
      <c r="K200" s="207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4"/>
    </row>
    <row r="201" spans="1:28" ht="26.25" customHeight="1" x14ac:dyDescent="0.25">
      <c r="A201" s="96"/>
      <c r="B201" s="211" t="s">
        <v>472</v>
      </c>
      <c r="C201" s="212" t="s">
        <v>2332</v>
      </c>
      <c r="D201" s="211" t="s">
        <v>121</v>
      </c>
      <c r="E201" s="211" t="s">
        <v>2323</v>
      </c>
      <c r="F201" s="306" t="s">
        <v>473</v>
      </c>
      <c r="G201" s="306"/>
      <c r="H201" s="213" t="s">
        <v>213</v>
      </c>
      <c r="I201" s="214">
        <v>1</v>
      </c>
      <c r="J201" s="215"/>
      <c r="K201" s="215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4"/>
    </row>
    <row r="202" spans="1:28" ht="26.25" customHeight="1" x14ac:dyDescent="0.25">
      <c r="A202" s="96"/>
      <c r="B202" s="208"/>
      <c r="C202" s="208"/>
      <c r="D202" s="208"/>
      <c r="E202" s="208"/>
      <c r="F202" s="208" t="s">
        <v>463</v>
      </c>
      <c r="G202" s="209"/>
      <c r="H202" s="208" t="s">
        <v>464</v>
      </c>
      <c r="I202" s="209">
        <v>0</v>
      </c>
      <c r="J202" s="208" t="s">
        <v>465</v>
      </c>
      <c r="K202" s="209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4"/>
    </row>
    <row r="203" spans="1:28" ht="26.25" customHeight="1" thickBot="1" x14ac:dyDescent="0.3">
      <c r="A203" s="96"/>
      <c r="B203" s="208"/>
      <c r="C203" s="208"/>
      <c r="D203" s="208"/>
      <c r="E203" s="208"/>
      <c r="F203" s="208" t="s">
        <v>466</v>
      </c>
      <c r="G203" s="209"/>
      <c r="H203" s="208"/>
      <c r="I203" s="307" t="s">
        <v>467</v>
      </c>
      <c r="J203" s="307"/>
      <c r="K203" s="209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4"/>
    </row>
    <row r="204" spans="1:28" ht="26.25" customHeight="1" thickTop="1" x14ac:dyDescent="0.25">
      <c r="A204" s="96"/>
      <c r="B204" s="210"/>
      <c r="C204" s="210"/>
      <c r="D204" s="210"/>
      <c r="E204" s="210"/>
      <c r="F204" s="210"/>
      <c r="G204" s="210"/>
      <c r="H204" s="210"/>
      <c r="I204" s="210"/>
      <c r="J204" s="210"/>
      <c r="K204" s="210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4"/>
    </row>
    <row r="205" spans="1:28" ht="26.25" customHeight="1" x14ac:dyDescent="0.25">
      <c r="A205" s="96"/>
      <c r="B205" s="199" t="s">
        <v>950</v>
      </c>
      <c r="C205" s="200" t="s">
        <v>32</v>
      </c>
      <c r="D205" s="199" t="s">
        <v>33</v>
      </c>
      <c r="E205" s="199" t="s">
        <v>34</v>
      </c>
      <c r="F205" s="309" t="s">
        <v>453</v>
      </c>
      <c r="G205" s="309"/>
      <c r="H205" s="201" t="s">
        <v>35</v>
      </c>
      <c r="I205" s="200" t="s">
        <v>36</v>
      </c>
      <c r="J205" s="200" t="s">
        <v>37</v>
      </c>
      <c r="K205" s="200" t="s">
        <v>39</v>
      </c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4"/>
    </row>
    <row r="206" spans="1:28" ht="26.25" customHeight="1" x14ac:dyDescent="0.25">
      <c r="A206" s="96"/>
      <c r="B206" s="195" t="s">
        <v>454</v>
      </c>
      <c r="C206" s="196" t="s">
        <v>951</v>
      </c>
      <c r="D206" s="195" t="s">
        <v>121</v>
      </c>
      <c r="E206" s="195" t="s">
        <v>952</v>
      </c>
      <c r="F206" s="310" t="s">
        <v>471</v>
      </c>
      <c r="G206" s="310"/>
      <c r="H206" s="197" t="s">
        <v>55</v>
      </c>
      <c r="I206" s="202">
        <v>1</v>
      </c>
      <c r="J206" s="198"/>
      <c r="K206" s="19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4"/>
    </row>
    <row r="207" spans="1:28" ht="26.25" customHeight="1" x14ac:dyDescent="0.25">
      <c r="A207" s="96"/>
      <c r="B207" s="203" t="s">
        <v>455</v>
      </c>
      <c r="C207" s="204" t="s">
        <v>568</v>
      </c>
      <c r="D207" s="203" t="s">
        <v>44</v>
      </c>
      <c r="E207" s="203" t="s">
        <v>569</v>
      </c>
      <c r="F207" s="308" t="s">
        <v>471</v>
      </c>
      <c r="G207" s="308"/>
      <c r="H207" s="205" t="s">
        <v>55</v>
      </c>
      <c r="I207" s="206">
        <v>1</v>
      </c>
      <c r="J207" s="207"/>
      <c r="K207" s="207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4"/>
    </row>
    <row r="208" spans="1:28" ht="26.25" customHeight="1" x14ac:dyDescent="0.25">
      <c r="A208" s="96"/>
      <c r="B208" s="203" t="s">
        <v>455</v>
      </c>
      <c r="C208" s="204" t="s">
        <v>570</v>
      </c>
      <c r="D208" s="203" t="s">
        <v>44</v>
      </c>
      <c r="E208" s="203" t="s">
        <v>571</v>
      </c>
      <c r="F208" s="308" t="s">
        <v>471</v>
      </c>
      <c r="G208" s="308"/>
      <c r="H208" s="205" t="s">
        <v>55</v>
      </c>
      <c r="I208" s="206">
        <v>1</v>
      </c>
      <c r="J208" s="207"/>
      <c r="K208" s="207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4"/>
    </row>
    <row r="209" spans="1:28" ht="26.25" customHeight="1" x14ac:dyDescent="0.25">
      <c r="A209" s="96"/>
      <c r="B209" s="203" t="s">
        <v>455</v>
      </c>
      <c r="C209" s="204" t="s">
        <v>572</v>
      </c>
      <c r="D209" s="203" t="s">
        <v>44</v>
      </c>
      <c r="E209" s="203" t="s">
        <v>573</v>
      </c>
      <c r="F209" s="308" t="s">
        <v>471</v>
      </c>
      <c r="G209" s="308"/>
      <c r="H209" s="205" t="s">
        <v>55</v>
      </c>
      <c r="I209" s="206">
        <v>1</v>
      </c>
      <c r="J209" s="207"/>
      <c r="K209" s="207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4"/>
    </row>
    <row r="210" spans="1:28" ht="15.75" customHeight="1" x14ac:dyDescent="0.25">
      <c r="A210" s="96"/>
      <c r="B210" s="203" t="s">
        <v>455</v>
      </c>
      <c r="C210" s="204" t="s">
        <v>365</v>
      </c>
      <c r="D210" s="203" t="s">
        <v>44</v>
      </c>
      <c r="E210" s="203" t="s">
        <v>366</v>
      </c>
      <c r="F210" s="308" t="s">
        <v>471</v>
      </c>
      <c r="G210" s="308"/>
      <c r="H210" s="205" t="s">
        <v>55</v>
      </c>
      <c r="I210" s="206">
        <v>1</v>
      </c>
      <c r="J210" s="207"/>
      <c r="K210" s="207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4"/>
    </row>
    <row r="211" spans="1:28" ht="15.75" customHeight="1" x14ac:dyDescent="0.25">
      <c r="A211" s="96"/>
      <c r="B211" s="208"/>
      <c r="C211" s="208"/>
      <c r="D211" s="208"/>
      <c r="E211" s="208"/>
      <c r="F211" s="208" t="s">
        <v>463</v>
      </c>
      <c r="G211" s="209"/>
      <c r="H211" s="208" t="s">
        <v>464</v>
      </c>
      <c r="I211" s="209">
        <v>0</v>
      </c>
      <c r="J211" s="208" t="s">
        <v>465</v>
      </c>
      <c r="K211" s="209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4"/>
    </row>
    <row r="212" spans="1:28" ht="15.75" customHeight="1" thickBot="1" x14ac:dyDescent="0.3">
      <c r="A212" s="96"/>
      <c r="B212" s="208"/>
      <c r="C212" s="208"/>
      <c r="D212" s="208"/>
      <c r="E212" s="208"/>
      <c r="F212" s="208" t="s">
        <v>466</v>
      </c>
      <c r="G212" s="209"/>
      <c r="H212" s="208"/>
      <c r="I212" s="307" t="s">
        <v>467</v>
      </c>
      <c r="J212" s="307"/>
      <c r="K212" s="209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4"/>
    </row>
    <row r="213" spans="1:28" ht="15.75" customHeight="1" thickTop="1" x14ac:dyDescent="0.25">
      <c r="A213" s="96"/>
      <c r="B213" s="210"/>
      <c r="C213" s="210"/>
      <c r="D213" s="210"/>
      <c r="E213" s="210"/>
      <c r="F213" s="210"/>
      <c r="G213" s="210"/>
      <c r="H213" s="210"/>
      <c r="I213" s="210"/>
      <c r="J213" s="210"/>
      <c r="K213" s="210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4"/>
    </row>
    <row r="214" spans="1:28" ht="15.75" customHeight="1" x14ac:dyDescent="0.25">
      <c r="A214" s="96"/>
      <c r="B214" s="199" t="s">
        <v>1177</v>
      </c>
      <c r="C214" s="200" t="s">
        <v>32</v>
      </c>
      <c r="D214" s="199" t="s">
        <v>33</v>
      </c>
      <c r="E214" s="199" t="s">
        <v>34</v>
      </c>
      <c r="F214" s="309" t="s">
        <v>453</v>
      </c>
      <c r="G214" s="309"/>
      <c r="H214" s="201" t="s">
        <v>35</v>
      </c>
      <c r="I214" s="200" t="s">
        <v>36</v>
      </c>
      <c r="J214" s="200" t="s">
        <v>37</v>
      </c>
      <c r="K214" s="200" t="s">
        <v>39</v>
      </c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4"/>
    </row>
    <row r="215" spans="1:28" ht="26.25" customHeight="1" x14ac:dyDescent="0.25">
      <c r="A215" s="96"/>
      <c r="B215" s="195" t="s">
        <v>454</v>
      </c>
      <c r="C215" s="196" t="s">
        <v>1904</v>
      </c>
      <c r="D215" s="195" t="s">
        <v>121</v>
      </c>
      <c r="E215" s="195" t="s">
        <v>1905</v>
      </c>
      <c r="F215" s="310" t="s">
        <v>471</v>
      </c>
      <c r="G215" s="310"/>
      <c r="H215" s="197" t="s">
        <v>55</v>
      </c>
      <c r="I215" s="202">
        <v>1</v>
      </c>
      <c r="J215" s="198"/>
      <c r="K215" s="19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4"/>
    </row>
    <row r="216" spans="1:28" ht="26.25" customHeight="1" x14ac:dyDescent="0.25">
      <c r="A216" s="96"/>
      <c r="B216" s="203" t="s">
        <v>455</v>
      </c>
      <c r="C216" s="204" t="s">
        <v>485</v>
      </c>
      <c r="D216" s="203" t="s">
        <v>44</v>
      </c>
      <c r="E216" s="203" t="s">
        <v>486</v>
      </c>
      <c r="F216" s="308" t="s">
        <v>458</v>
      </c>
      <c r="G216" s="308"/>
      <c r="H216" s="205" t="s">
        <v>459</v>
      </c>
      <c r="I216" s="206">
        <v>0.47770000000000001</v>
      </c>
      <c r="J216" s="207"/>
      <c r="K216" s="207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4"/>
    </row>
    <row r="217" spans="1:28" ht="26.25" customHeight="1" x14ac:dyDescent="0.25">
      <c r="A217" s="96"/>
      <c r="B217" s="203" t="s">
        <v>455</v>
      </c>
      <c r="C217" s="204" t="s">
        <v>483</v>
      </c>
      <c r="D217" s="203" t="s">
        <v>44</v>
      </c>
      <c r="E217" s="203" t="s">
        <v>484</v>
      </c>
      <c r="F217" s="308" t="s">
        <v>458</v>
      </c>
      <c r="G217" s="308"/>
      <c r="H217" s="205" t="s">
        <v>459</v>
      </c>
      <c r="I217" s="206">
        <v>0.47770000000000001</v>
      </c>
      <c r="J217" s="207"/>
      <c r="K217" s="207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4"/>
    </row>
    <row r="218" spans="1:28" ht="26.25" customHeight="1" x14ac:dyDescent="0.25">
      <c r="A218" s="96"/>
      <c r="B218" s="211" t="s">
        <v>472</v>
      </c>
      <c r="C218" s="212" t="s">
        <v>545</v>
      </c>
      <c r="D218" s="211" t="s">
        <v>44</v>
      </c>
      <c r="E218" s="211" t="s">
        <v>546</v>
      </c>
      <c r="F218" s="306" t="s">
        <v>473</v>
      </c>
      <c r="G218" s="306"/>
      <c r="H218" s="213" t="s">
        <v>55</v>
      </c>
      <c r="I218" s="214">
        <v>1.84E-2</v>
      </c>
      <c r="J218" s="215"/>
      <c r="K218" s="215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4"/>
    </row>
    <row r="219" spans="1:28" ht="26.25" customHeight="1" x14ac:dyDescent="0.25">
      <c r="A219" s="96"/>
      <c r="B219" s="211" t="s">
        <v>472</v>
      </c>
      <c r="C219" s="212" t="s">
        <v>487</v>
      </c>
      <c r="D219" s="211" t="s">
        <v>44</v>
      </c>
      <c r="E219" s="211" t="s">
        <v>488</v>
      </c>
      <c r="F219" s="306" t="s">
        <v>473</v>
      </c>
      <c r="G219" s="306"/>
      <c r="H219" s="213" t="s">
        <v>55</v>
      </c>
      <c r="I219" s="214">
        <v>6.6799999999999998E-2</v>
      </c>
      <c r="J219" s="215"/>
      <c r="K219" s="215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4"/>
    </row>
    <row r="220" spans="1:28" ht="26.25" customHeight="1" x14ac:dyDescent="0.25">
      <c r="A220" s="96"/>
      <c r="B220" s="211" t="s">
        <v>472</v>
      </c>
      <c r="C220" s="212" t="s">
        <v>547</v>
      </c>
      <c r="D220" s="211" t="s">
        <v>44</v>
      </c>
      <c r="E220" s="211" t="s">
        <v>548</v>
      </c>
      <c r="F220" s="306" t="s">
        <v>473</v>
      </c>
      <c r="G220" s="306"/>
      <c r="H220" s="213" t="s">
        <v>55</v>
      </c>
      <c r="I220" s="214">
        <v>0.104</v>
      </c>
      <c r="J220" s="215"/>
      <c r="K220" s="215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4"/>
    </row>
    <row r="221" spans="1:28" ht="26.25" customHeight="1" x14ac:dyDescent="0.25">
      <c r="A221" s="96"/>
      <c r="B221" s="211" t="s">
        <v>472</v>
      </c>
      <c r="C221" s="212" t="s">
        <v>2122</v>
      </c>
      <c r="D221" s="211" t="s">
        <v>121</v>
      </c>
      <c r="E221" s="211" t="s">
        <v>1905</v>
      </c>
      <c r="F221" s="306" t="s">
        <v>473</v>
      </c>
      <c r="G221" s="306"/>
      <c r="H221" s="213" t="s">
        <v>55</v>
      </c>
      <c r="I221" s="214">
        <v>1</v>
      </c>
      <c r="J221" s="215"/>
      <c r="K221" s="215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4"/>
    </row>
    <row r="222" spans="1:28" ht="26.25" customHeight="1" x14ac:dyDescent="0.25">
      <c r="A222" s="96"/>
      <c r="B222" s="208"/>
      <c r="C222" s="208"/>
      <c r="D222" s="208"/>
      <c r="E222" s="208"/>
      <c r="F222" s="208" t="s">
        <v>463</v>
      </c>
      <c r="G222" s="209"/>
      <c r="H222" s="208" t="s">
        <v>464</v>
      </c>
      <c r="I222" s="209">
        <v>0</v>
      </c>
      <c r="J222" s="208" t="s">
        <v>465</v>
      </c>
      <c r="K222" s="209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4"/>
    </row>
    <row r="223" spans="1:28" ht="26.25" customHeight="1" thickBot="1" x14ac:dyDescent="0.3">
      <c r="A223" s="96"/>
      <c r="B223" s="208"/>
      <c r="C223" s="208"/>
      <c r="D223" s="208"/>
      <c r="E223" s="208"/>
      <c r="F223" s="208" t="s">
        <v>466</v>
      </c>
      <c r="G223" s="209"/>
      <c r="H223" s="208"/>
      <c r="I223" s="307" t="s">
        <v>467</v>
      </c>
      <c r="J223" s="307"/>
      <c r="K223" s="209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4"/>
    </row>
    <row r="224" spans="1:28" ht="26.25" customHeight="1" thickTop="1" x14ac:dyDescent="0.25">
      <c r="A224" s="96"/>
      <c r="B224" s="210"/>
      <c r="C224" s="210"/>
      <c r="D224" s="210"/>
      <c r="E224" s="210"/>
      <c r="F224" s="210"/>
      <c r="G224" s="210"/>
      <c r="H224" s="210"/>
      <c r="I224" s="210"/>
      <c r="J224" s="210"/>
      <c r="K224" s="210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4"/>
    </row>
    <row r="225" spans="1:28" ht="26.25" customHeight="1" x14ac:dyDescent="0.25">
      <c r="A225" s="96"/>
      <c r="B225" s="199" t="s">
        <v>1266</v>
      </c>
      <c r="C225" s="200" t="s">
        <v>32</v>
      </c>
      <c r="D225" s="199" t="s">
        <v>33</v>
      </c>
      <c r="E225" s="199" t="s">
        <v>34</v>
      </c>
      <c r="F225" s="309" t="s">
        <v>453</v>
      </c>
      <c r="G225" s="309"/>
      <c r="H225" s="201" t="s">
        <v>35</v>
      </c>
      <c r="I225" s="200" t="s">
        <v>36</v>
      </c>
      <c r="J225" s="200" t="s">
        <v>37</v>
      </c>
      <c r="K225" s="200" t="s">
        <v>39</v>
      </c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4"/>
    </row>
    <row r="226" spans="1:28" ht="26.25" customHeight="1" x14ac:dyDescent="0.25">
      <c r="A226" s="96"/>
      <c r="B226" s="195" t="s">
        <v>454</v>
      </c>
      <c r="C226" s="196" t="s">
        <v>1267</v>
      </c>
      <c r="D226" s="195" t="s">
        <v>121</v>
      </c>
      <c r="E226" s="195" t="s">
        <v>1268</v>
      </c>
      <c r="F226" s="310" t="s">
        <v>575</v>
      </c>
      <c r="G226" s="310"/>
      <c r="H226" s="197" t="s">
        <v>55</v>
      </c>
      <c r="I226" s="202">
        <v>1</v>
      </c>
      <c r="J226" s="198"/>
      <c r="K226" s="19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4"/>
    </row>
    <row r="227" spans="1:28" ht="26.25" customHeight="1" x14ac:dyDescent="0.25">
      <c r="A227" s="96"/>
      <c r="B227" s="203" t="s">
        <v>455</v>
      </c>
      <c r="C227" s="204" t="s">
        <v>485</v>
      </c>
      <c r="D227" s="203" t="s">
        <v>44</v>
      </c>
      <c r="E227" s="203" t="s">
        <v>486</v>
      </c>
      <c r="F227" s="308" t="s">
        <v>458</v>
      </c>
      <c r="G227" s="308"/>
      <c r="H227" s="205" t="s">
        <v>459</v>
      </c>
      <c r="I227" s="206">
        <v>0.7</v>
      </c>
      <c r="J227" s="207"/>
      <c r="K227" s="207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4"/>
    </row>
    <row r="228" spans="1:28" ht="26.25" customHeight="1" x14ac:dyDescent="0.25">
      <c r="A228" s="96"/>
      <c r="B228" s="203" t="s">
        <v>455</v>
      </c>
      <c r="C228" s="204" t="s">
        <v>483</v>
      </c>
      <c r="D228" s="203" t="s">
        <v>44</v>
      </c>
      <c r="E228" s="203" t="s">
        <v>484</v>
      </c>
      <c r="F228" s="308" t="s">
        <v>458</v>
      </c>
      <c r="G228" s="308"/>
      <c r="H228" s="205" t="s">
        <v>459</v>
      </c>
      <c r="I228" s="206">
        <v>0.7</v>
      </c>
      <c r="J228" s="207"/>
      <c r="K228" s="207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4"/>
    </row>
    <row r="229" spans="1:28" ht="26.25" customHeight="1" x14ac:dyDescent="0.25">
      <c r="A229" s="96"/>
      <c r="B229" s="211" t="s">
        <v>472</v>
      </c>
      <c r="C229" s="212" t="s">
        <v>1838</v>
      </c>
      <c r="D229" s="211" t="s">
        <v>44</v>
      </c>
      <c r="E229" s="211" t="s">
        <v>1839</v>
      </c>
      <c r="F229" s="306" t="s">
        <v>473</v>
      </c>
      <c r="G229" s="306"/>
      <c r="H229" s="213" t="s">
        <v>55</v>
      </c>
      <c r="I229" s="214">
        <v>2</v>
      </c>
      <c r="J229" s="215"/>
      <c r="K229" s="215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4"/>
    </row>
    <row r="230" spans="1:28" ht="26.25" customHeight="1" x14ac:dyDescent="0.25">
      <c r="A230" s="96"/>
      <c r="B230" s="211" t="s">
        <v>472</v>
      </c>
      <c r="C230" s="212" t="s">
        <v>1840</v>
      </c>
      <c r="D230" s="211" t="s">
        <v>182</v>
      </c>
      <c r="E230" s="211" t="s">
        <v>1841</v>
      </c>
      <c r="F230" s="306" t="s">
        <v>473</v>
      </c>
      <c r="G230" s="306"/>
      <c r="H230" s="213" t="s">
        <v>213</v>
      </c>
      <c r="I230" s="214">
        <v>1</v>
      </c>
      <c r="J230" s="215"/>
      <c r="K230" s="215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4"/>
    </row>
    <row r="231" spans="1:28" ht="26.25" customHeight="1" x14ac:dyDescent="0.25">
      <c r="A231" s="96"/>
      <c r="B231" s="211" t="s">
        <v>472</v>
      </c>
      <c r="C231" s="212" t="s">
        <v>549</v>
      </c>
      <c r="D231" s="211" t="s">
        <v>44</v>
      </c>
      <c r="E231" s="211" t="s">
        <v>550</v>
      </c>
      <c r="F231" s="306" t="s">
        <v>473</v>
      </c>
      <c r="G231" s="306"/>
      <c r="H231" s="213" t="s">
        <v>55</v>
      </c>
      <c r="I231" s="214">
        <v>8.7499999999999994E-2</v>
      </c>
      <c r="J231" s="215"/>
      <c r="K231" s="215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4"/>
    </row>
    <row r="232" spans="1:28" ht="26.25" customHeight="1" x14ac:dyDescent="0.25">
      <c r="A232" s="96"/>
      <c r="B232" s="208"/>
      <c r="C232" s="208"/>
      <c r="D232" s="208"/>
      <c r="E232" s="208"/>
      <c r="F232" s="208" t="s">
        <v>463</v>
      </c>
      <c r="G232" s="209"/>
      <c r="H232" s="208" t="s">
        <v>464</v>
      </c>
      <c r="I232" s="209">
        <v>0</v>
      </c>
      <c r="J232" s="208" t="s">
        <v>465</v>
      </c>
      <c r="K232" s="209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4"/>
    </row>
    <row r="233" spans="1:28" ht="26.25" customHeight="1" thickBot="1" x14ac:dyDescent="0.3">
      <c r="A233" s="96"/>
      <c r="B233" s="208"/>
      <c r="C233" s="208"/>
      <c r="D233" s="208"/>
      <c r="E233" s="208"/>
      <c r="F233" s="208" t="s">
        <v>466</v>
      </c>
      <c r="G233" s="209"/>
      <c r="H233" s="208"/>
      <c r="I233" s="307" t="s">
        <v>467</v>
      </c>
      <c r="J233" s="307"/>
      <c r="K233" s="209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4"/>
    </row>
    <row r="234" spans="1:28" ht="39" customHeight="1" thickTop="1" x14ac:dyDescent="0.25">
      <c r="A234" s="96"/>
      <c r="B234" s="210"/>
      <c r="C234" s="210"/>
      <c r="D234" s="210"/>
      <c r="E234" s="210"/>
      <c r="F234" s="210"/>
      <c r="G234" s="210"/>
      <c r="H234" s="210"/>
      <c r="I234" s="210"/>
      <c r="J234" s="210"/>
      <c r="K234" s="210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4"/>
    </row>
    <row r="235" spans="1:28" ht="26.25" customHeight="1" x14ac:dyDescent="0.25">
      <c r="A235" s="96"/>
      <c r="B235" s="199" t="s">
        <v>1269</v>
      </c>
      <c r="C235" s="200" t="s">
        <v>32</v>
      </c>
      <c r="D235" s="199" t="s">
        <v>33</v>
      </c>
      <c r="E235" s="199" t="s">
        <v>34</v>
      </c>
      <c r="F235" s="309" t="s">
        <v>453</v>
      </c>
      <c r="G235" s="309"/>
      <c r="H235" s="201" t="s">
        <v>35</v>
      </c>
      <c r="I235" s="200" t="s">
        <v>36</v>
      </c>
      <c r="J235" s="200" t="s">
        <v>37</v>
      </c>
      <c r="K235" s="200" t="s">
        <v>39</v>
      </c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4"/>
    </row>
    <row r="236" spans="1:28" ht="26.25" customHeight="1" x14ac:dyDescent="0.25">
      <c r="A236" s="96"/>
      <c r="B236" s="195" t="s">
        <v>454</v>
      </c>
      <c r="C236" s="196" t="s">
        <v>1270</v>
      </c>
      <c r="D236" s="195" t="s">
        <v>121</v>
      </c>
      <c r="E236" s="195" t="s">
        <v>1271</v>
      </c>
      <c r="F236" s="310" t="s">
        <v>575</v>
      </c>
      <c r="G236" s="310"/>
      <c r="H236" s="197" t="s">
        <v>55</v>
      </c>
      <c r="I236" s="202">
        <v>1</v>
      </c>
      <c r="J236" s="198"/>
      <c r="K236" s="19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4"/>
    </row>
    <row r="237" spans="1:28" ht="26.25" customHeight="1" x14ac:dyDescent="0.25">
      <c r="A237" s="96"/>
      <c r="B237" s="203" t="s">
        <v>455</v>
      </c>
      <c r="C237" s="204" t="s">
        <v>485</v>
      </c>
      <c r="D237" s="203" t="s">
        <v>44</v>
      </c>
      <c r="E237" s="203" t="s">
        <v>486</v>
      </c>
      <c r="F237" s="308" t="s">
        <v>458</v>
      </c>
      <c r="G237" s="308"/>
      <c r="H237" s="205" t="s">
        <v>459</v>
      </c>
      <c r="I237" s="206">
        <v>0.7</v>
      </c>
      <c r="J237" s="207"/>
      <c r="K237" s="207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4"/>
    </row>
    <row r="238" spans="1:28" ht="26.25" customHeight="1" x14ac:dyDescent="0.25">
      <c r="A238" s="96"/>
      <c r="B238" s="203" t="s">
        <v>455</v>
      </c>
      <c r="C238" s="204" t="s">
        <v>483</v>
      </c>
      <c r="D238" s="203" t="s">
        <v>44</v>
      </c>
      <c r="E238" s="203" t="s">
        <v>484</v>
      </c>
      <c r="F238" s="308" t="s">
        <v>458</v>
      </c>
      <c r="G238" s="308"/>
      <c r="H238" s="205" t="s">
        <v>459</v>
      </c>
      <c r="I238" s="206">
        <v>0.7</v>
      </c>
      <c r="J238" s="207"/>
      <c r="K238" s="207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4"/>
    </row>
    <row r="239" spans="1:28" ht="26.25" customHeight="1" x14ac:dyDescent="0.25">
      <c r="A239" s="96"/>
      <c r="B239" s="211" t="s">
        <v>472</v>
      </c>
      <c r="C239" s="212" t="s">
        <v>1842</v>
      </c>
      <c r="D239" s="211" t="s">
        <v>44</v>
      </c>
      <c r="E239" s="211" t="s">
        <v>1843</v>
      </c>
      <c r="F239" s="306" t="s">
        <v>473</v>
      </c>
      <c r="G239" s="306"/>
      <c r="H239" s="213" t="s">
        <v>55</v>
      </c>
      <c r="I239" s="214">
        <v>1</v>
      </c>
      <c r="J239" s="215"/>
      <c r="K239" s="215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4"/>
    </row>
    <row r="240" spans="1:28" ht="26.25" customHeight="1" x14ac:dyDescent="0.25">
      <c r="A240" s="96"/>
      <c r="B240" s="211" t="s">
        <v>472</v>
      </c>
      <c r="C240" s="212" t="s">
        <v>1838</v>
      </c>
      <c r="D240" s="211" t="s">
        <v>44</v>
      </c>
      <c r="E240" s="211" t="s">
        <v>1839</v>
      </c>
      <c r="F240" s="306" t="s">
        <v>473</v>
      </c>
      <c r="G240" s="306"/>
      <c r="H240" s="213" t="s">
        <v>55</v>
      </c>
      <c r="I240" s="214">
        <v>2</v>
      </c>
      <c r="J240" s="215"/>
      <c r="K240" s="215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4"/>
    </row>
    <row r="241" spans="1:28" ht="26.25" customHeight="1" x14ac:dyDescent="0.25">
      <c r="A241" s="96"/>
      <c r="B241" s="211" t="s">
        <v>472</v>
      </c>
      <c r="C241" s="212" t="s">
        <v>549</v>
      </c>
      <c r="D241" s="211" t="s">
        <v>44</v>
      </c>
      <c r="E241" s="211" t="s">
        <v>550</v>
      </c>
      <c r="F241" s="306" t="s">
        <v>473</v>
      </c>
      <c r="G241" s="306"/>
      <c r="H241" s="213" t="s">
        <v>55</v>
      </c>
      <c r="I241" s="214">
        <v>8.7499999999999994E-2</v>
      </c>
      <c r="J241" s="215"/>
      <c r="K241" s="215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4"/>
    </row>
    <row r="242" spans="1:28" ht="26.25" customHeight="1" x14ac:dyDescent="0.25">
      <c r="A242" s="96"/>
      <c r="B242" s="208"/>
      <c r="C242" s="208"/>
      <c r="D242" s="208"/>
      <c r="E242" s="208"/>
      <c r="F242" s="208" t="s">
        <v>463</v>
      </c>
      <c r="G242" s="209"/>
      <c r="H242" s="208" t="s">
        <v>464</v>
      </c>
      <c r="I242" s="209">
        <v>0</v>
      </c>
      <c r="J242" s="208" t="s">
        <v>465</v>
      </c>
      <c r="K242" s="209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4"/>
    </row>
    <row r="243" spans="1:28" ht="26.25" customHeight="1" thickBot="1" x14ac:dyDescent="0.3">
      <c r="A243" s="96"/>
      <c r="B243" s="208"/>
      <c r="C243" s="208"/>
      <c r="D243" s="208"/>
      <c r="E243" s="208"/>
      <c r="F243" s="208" t="s">
        <v>466</v>
      </c>
      <c r="G243" s="209"/>
      <c r="H243" s="208"/>
      <c r="I243" s="307" t="s">
        <v>467</v>
      </c>
      <c r="J243" s="307"/>
      <c r="K243" s="209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4"/>
    </row>
    <row r="244" spans="1:28" ht="26.25" customHeight="1" thickTop="1" x14ac:dyDescent="0.25">
      <c r="A244" s="96"/>
      <c r="B244" s="210"/>
      <c r="C244" s="210"/>
      <c r="D244" s="210"/>
      <c r="E244" s="210"/>
      <c r="F244" s="210"/>
      <c r="G244" s="210"/>
      <c r="H244" s="210"/>
      <c r="I244" s="210"/>
      <c r="J244" s="210"/>
      <c r="K244" s="210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4"/>
    </row>
    <row r="245" spans="1:28" ht="15.75" customHeight="1" x14ac:dyDescent="0.25">
      <c r="A245" s="96"/>
      <c r="B245" s="199" t="s">
        <v>1272</v>
      </c>
      <c r="C245" s="200" t="s">
        <v>32</v>
      </c>
      <c r="D245" s="199" t="s">
        <v>33</v>
      </c>
      <c r="E245" s="199" t="s">
        <v>34</v>
      </c>
      <c r="F245" s="309" t="s">
        <v>453</v>
      </c>
      <c r="G245" s="309"/>
      <c r="H245" s="201" t="s">
        <v>35</v>
      </c>
      <c r="I245" s="200" t="s">
        <v>36</v>
      </c>
      <c r="J245" s="200" t="s">
        <v>37</v>
      </c>
      <c r="K245" s="200" t="s">
        <v>39</v>
      </c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4"/>
    </row>
    <row r="246" spans="1:28" ht="26.25" customHeight="1" x14ac:dyDescent="0.25">
      <c r="A246" s="96"/>
      <c r="B246" s="195" t="s">
        <v>454</v>
      </c>
      <c r="C246" s="196" t="s">
        <v>1273</v>
      </c>
      <c r="D246" s="195" t="s">
        <v>121</v>
      </c>
      <c r="E246" s="195" t="s">
        <v>1274</v>
      </c>
      <c r="F246" s="310" t="s">
        <v>575</v>
      </c>
      <c r="G246" s="310"/>
      <c r="H246" s="197" t="s">
        <v>55</v>
      </c>
      <c r="I246" s="202">
        <v>1</v>
      </c>
      <c r="J246" s="198"/>
      <c r="K246" s="19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4"/>
    </row>
    <row r="247" spans="1:28" ht="26.25" customHeight="1" x14ac:dyDescent="0.25">
      <c r="A247" s="96"/>
      <c r="B247" s="203" t="s">
        <v>455</v>
      </c>
      <c r="C247" s="204" t="s">
        <v>485</v>
      </c>
      <c r="D247" s="203" t="s">
        <v>44</v>
      </c>
      <c r="E247" s="203" t="s">
        <v>486</v>
      </c>
      <c r="F247" s="308" t="s">
        <v>458</v>
      </c>
      <c r="G247" s="308"/>
      <c r="H247" s="205" t="s">
        <v>459</v>
      </c>
      <c r="I247" s="206">
        <v>0.7</v>
      </c>
      <c r="J247" s="207"/>
      <c r="K247" s="207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4"/>
    </row>
    <row r="248" spans="1:28" ht="26.25" customHeight="1" x14ac:dyDescent="0.25">
      <c r="A248" s="96"/>
      <c r="B248" s="203" t="s">
        <v>455</v>
      </c>
      <c r="C248" s="204" t="s">
        <v>483</v>
      </c>
      <c r="D248" s="203" t="s">
        <v>44</v>
      </c>
      <c r="E248" s="203" t="s">
        <v>484</v>
      </c>
      <c r="F248" s="308" t="s">
        <v>458</v>
      </c>
      <c r="G248" s="308"/>
      <c r="H248" s="205" t="s">
        <v>459</v>
      </c>
      <c r="I248" s="206">
        <v>0.7</v>
      </c>
      <c r="J248" s="207"/>
      <c r="K248" s="207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4"/>
    </row>
    <row r="249" spans="1:28" ht="26.25" customHeight="1" x14ac:dyDescent="0.25">
      <c r="A249" s="96"/>
      <c r="B249" s="211" t="s">
        <v>472</v>
      </c>
      <c r="C249" s="212" t="s">
        <v>1846</v>
      </c>
      <c r="D249" s="211" t="s">
        <v>44</v>
      </c>
      <c r="E249" s="211" t="s">
        <v>1847</v>
      </c>
      <c r="F249" s="306" t="s">
        <v>473</v>
      </c>
      <c r="G249" s="306"/>
      <c r="H249" s="213" t="s">
        <v>55</v>
      </c>
      <c r="I249" s="214">
        <v>1</v>
      </c>
      <c r="J249" s="215"/>
      <c r="K249" s="215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4"/>
    </row>
    <row r="250" spans="1:28" ht="26.25" customHeight="1" x14ac:dyDescent="0.25">
      <c r="A250" s="96"/>
      <c r="B250" s="211" t="s">
        <v>472</v>
      </c>
      <c r="C250" s="212" t="s">
        <v>549</v>
      </c>
      <c r="D250" s="211" t="s">
        <v>44</v>
      </c>
      <c r="E250" s="211" t="s">
        <v>550</v>
      </c>
      <c r="F250" s="306" t="s">
        <v>473</v>
      </c>
      <c r="G250" s="306"/>
      <c r="H250" s="213" t="s">
        <v>55</v>
      </c>
      <c r="I250" s="214">
        <v>8.7499999999999994E-2</v>
      </c>
      <c r="J250" s="215"/>
      <c r="K250" s="215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4"/>
    </row>
    <row r="251" spans="1:28" ht="26.25" customHeight="1" x14ac:dyDescent="0.25">
      <c r="A251" s="96"/>
      <c r="B251" s="211" t="s">
        <v>472</v>
      </c>
      <c r="C251" s="212" t="s">
        <v>1844</v>
      </c>
      <c r="D251" s="211" t="s">
        <v>44</v>
      </c>
      <c r="E251" s="211" t="s">
        <v>1845</v>
      </c>
      <c r="F251" s="306" t="s">
        <v>473</v>
      </c>
      <c r="G251" s="306"/>
      <c r="H251" s="213" t="s">
        <v>55</v>
      </c>
      <c r="I251" s="214">
        <v>2</v>
      </c>
      <c r="J251" s="215"/>
      <c r="K251" s="215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4"/>
    </row>
    <row r="252" spans="1:28" ht="26.25" customHeight="1" x14ac:dyDescent="0.25">
      <c r="A252" s="96"/>
      <c r="B252" s="208"/>
      <c r="C252" s="208"/>
      <c r="D252" s="208"/>
      <c r="E252" s="208"/>
      <c r="F252" s="208" t="s">
        <v>463</v>
      </c>
      <c r="G252" s="209"/>
      <c r="H252" s="208" t="s">
        <v>464</v>
      </c>
      <c r="I252" s="209">
        <v>0</v>
      </c>
      <c r="J252" s="208" t="s">
        <v>465</v>
      </c>
      <c r="K252" s="209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4"/>
    </row>
    <row r="253" spans="1:28" ht="26.25" customHeight="1" thickBot="1" x14ac:dyDescent="0.3">
      <c r="A253" s="96"/>
      <c r="B253" s="208"/>
      <c r="C253" s="208"/>
      <c r="D253" s="208"/>
      <c r="E253" s="208"/>
      <c r="F253" s="208" t="s">
        <v>466</v>
      </c>
      <c r="G253" s="209"/>
      <c r="H253" s="208"/>
      <c r="I253" s="307" t="s">
        <v>467</v>
      </c>
      <c r="J253" s="307"/>
      <c r="K253" s="209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4"/>
    </row>
    <row r="254" spans="1:28" ht="26.25" customHeight="1" thickTop="1" x14ac:dyDescent="0.25">
      <c r="A254" s="96"/>
      <c r="B254" s="210"/>
      <c r="C254" s="210"/>
      <c r="D254" s="210"/>
      <c r="E254" s="210"/>
      <c r="F254" s="210"/>
      <c r="G254" s="210"/>
      <c r="H254" s="210"/>
      <c r="I254" s="210"/>
      <c r="J254" s="210"/>
      <c r="K254" s="210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4"/>
    </row>
    <row r="255" spans="1:28" ht="26.25" customHeight="1" x14ac:dyDescent="0.25">
      <c r="A255" s="96"/>
      <c r="B255" s="199" t="s">
        <v>1984</v>
      </c>
      <c r="C255" s="200" t="s">
        <v>32</v>
      </c>
      <c r="D255" s="199" t="s">
        <v>33</v>
      </c>
      <c r="E255" s="199" t="s">
        <v>34</v>
      </c>
      <c r="F255" s="309" t="s">
        <v>453</v>
      </c>
      <c r="G255" s="309"/>
      <c r="H255" s="201" t="s">
        <v>35</v>
      </c>
      <c r="I255" s="200" t="s">
        <v>36</v>
      </c>
      <c r="J255" s="200" t="s">
        <v>37</v>
      </c>
      <c r="K255" s="200" t="s">
        <v>39</v>
      </c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4"/>
    </row>
    <row r="256" spans="1:28" ht="39" customHeight="1" x14ac:dyDescent="0.25">
      <c r="A256" s="96"/>
      <c r="B256" s="195" t="s">
        <v>454</v>
      </c>
      <c r="C256" s="196" t="s">
        <v>1982</v>
      </c>
      <c r="D256" s="195" t="s">
        <v>121</v>
      </c>
      <c r="E256" s="195" t="s">
        <v>1983</v>
      </c>
      <c r="F256" s="310" t="s">
        <v>458</v>
      </c>
      <c r="G256" s="310"/>
      <c r="H256" s="197" t="s">
        <v>55</v>
      </c>
      <c r="I256" s="202">
        <v>1</v>
      </c>
      <c r="J256" s="198"/>
      <c r="K256" s="19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4"/>
    </row>
    <row r="257" spans="1:28" ht="39" customHeight="1" x14ac:dyDescent="0.25">
      <c r="A257" s="96"/>
      <c r="B257" s="211" t="s">
        <v>472</v>
      </c>
      <c r="C257" s="212" t="s">
        <v>2124</v>
      </c>
      <c r="D257" s="211" t="s">
        <v>121</v>
      </c>
      <c r="E257" s="211" t="s">
        <v>2240</v>
      </c>
      <c r="F257" s="306" t="s">
        <v>2123</v>
      </c>
      <c r="G257" s="306"/>
      <c r="H257" s="213" t="s">
        <v>55</v>
      </c>
      <c r="I257" s="214">
        <v>1</v>
      </c>
      <c r="J257" s="215"/>
      <c r="K257" s="215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4"/>
    </row>
    <row r="258" spans="1:28" ht="26.25" customHeight="1" x14ac:dyDescent="0.25">
      <c r="A258" s="96"/>
      <c r="B258" s="208"/>
      <c r="C258" s="208"/>
      <c r="D258" s="208"/>
      <c r="E258" s="208"/>
      <c r="F258" s="208" t="s">
        <v>463</v>
      </c>
      <c r="G258" s="209"/>
      <c r="H258" s="208" t="s">
        <v>464</v>
      </c>
      <c r="I258" s="209">
        <v>0</v>
      </c>
      <c r="J258" s="208" t="s">
        <v>465</v>
      </c>
      <c r="K258" s="209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4"/>
    </row>
    <row r="259" spans="1:28" ht="26.25" customHeight="1" thickBot="1" x14ac:dyDescent="0.3">
      <c r="A259" s="96"/>
      <c r="B259" s="208"/>
      <c r="C259" s="208"/>
      <c r="D259" s="208"/>
      <c r="E259" s="208"/>
      <c r="F259" s="208" t="s">
        <v>466</v>
      </c>
      <c r="G259" s="209"/>
      <c r="H259" s="208"/>
      <c r="I259" s="307" t="s">
        <v>467</v>
      </c>
      <c r="J259" s="307"/>
      <c r="K259" s="209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4"/>
    </row>
    <row r="260" spans="1:28" ht="26.25" customHeight="1" thickTop="1" x14ac:dyDescent="0.25">
      <c r="A260" s="96"/>
      <c r="B260" s="210"/>
      <c r="C260" s="210"/>
      <c r="D260" s="210"/>
      <c r="E260" s="210"/>
      <c r="F260" s="210"/>
      <c r="G260" s="210"/>
      <c r="H260" s="210"/>
      <c r="I260" s="210"/>
      <c r="J260" s="210"/>
      <c r="K260" s="210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4"/>
    </row>
    <row r="261" spans="1:28" ht="26.25" customHeight="1" x14ac:dyDescent="0.25">
      <c r="A261" s="96"/>
      <c r="B261" s="199" t="s">
        <v>1988</v>
      </c>
      <c r="C261" s="200" t="s">
        <v>32</v>
      </c>
      <c r="D261" s="199" t="s">
        <v>33</v>
      </c>
      <c r="E261" s="199" t="s">
        <v>34</v>
      </c>
      <c r="F261" s="309" t="s">
        <v>453</v>
      </c>
      <c r="G261" s="309"/>
      <c r="H261" s="201" t="s">
        <v>35</v>
      </c>
      <c r="I261" s="200" t="s">
        <v>36</v>
      </c>
      <c r="J261" s="200" t="s">
        <v>37</v>
      </c>
      <c r="K261" s="200" t="s">
        <v>39</v>
      </c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4"/>
    </row>
    <row r="262" spans="1:28" ht="26.25" customHeight="1" x14ac:dyDescent="0.25">
      <c r="A262" s="96"/>
      <c r="B262" s="195" t="s">
        <v>454</v>
      </c>
      <c r="C262" s="196" t="s">
        <v>1986</v>
      </c>
      <c r="D262" s="195" t="s">
        <v>121</v>
      </c>
      <c r="E262" s="195" t="s">
        <v>1987</v>
      </c>
      <c r="F262" s="310" t="s">
        <v>458</v>
      </c>
      <c r="G262" s="310"/>
      <c r="H262" s="197" t="s">
        <v>55</v>
      </c>
      <c r="I262" s="202">
        <v>1</v>
      </c>
      <c r="J262" s="198"/>
      <c r="K262" s="19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4"/>
    </row>
    <row r="263" spans="1:28" ht="26.25" customHeight="1" x14ac:dyDescent="0.25">
      <c r="A263" s="96"/>
      <c r="B263" s="211" t="s">
        <v>472</v>
      </c>
      <c r="C263" s="212" t="s">
        <v>2125</v>
      </c>
      <c r="D263" s="211" t="s">
        <v>121</v>
      </c>
      <c r="E263" s="211" t="s">
        <v>2241</v>
      </c>
      <c r="F263" s="306" t="s">
        <v>2123</v>
      </c>
      <c r="G263" s="306"/>
      <c r="H263" s="213" t="s">
        <v>55</v>
      </c>
      <c r="I263" s="214">
        <v>1</v>
      </c>
      <c r="J263" s="215"/>
      <c r="K263" s="215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4"/>
    </row>
    <row r="264" spans="1:28" ht="26.25" customHeight="1" x14ac:dyDescent="0.25">
      <c r="A264" s="96"/>
      <c r="B264" s="208"/>
      <c r="C264" s="208"/>
      <c r="D264" s="208"/>
      <c r="E264" s="208"/>
      <c r="F264" s="208" t="s">
        <v>463</v>
      </c>
      <c r="G264" s="209"/>
      <c r="H264" s="208" t="s">
        <v>464</v>
      </c>
      <c r="I264" s="209">
        <v>0</v>
      </c>
      <c r="J264" s="208" t="s">
        <v>465</v>
      </c>
      <c r="K264" s="209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4"/>
    </row>
    <row r="265" spans="1:28" ht="26.25" customHeight="1" thickBot="1" x14ac:dyDescent="0.3">
      <c r="A265" s="96"/>
      <c r="B265" s="208"/>
      <c r="C265" s="208"/>
      <c r="D265" s="208"/>
      <c r="E265" s="208"/>
      <c r="F265" s="208" t="s">
        <v>466</v>
      </c>
      <c r="G265" s="209"/>
      <c r="H265" s="208"/>
      <c r="I265" s="307" t="s">
        <v>467</v>
      </c>
      <c r="J265" s="307"/>
      <c r="K265" s="209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4"/>
    </row>
    <row r="266" spans="1:28" ht="26.25" customHeight="1" thickTop="1" x14ac:dyDescent="0.25">
      <c r="A266" s="96"/>
      <c r="B266" s="210"/>
      <c r="C266" s="210"/>
      <c r="D266" s="210"/>
      <c r="E266" s="210"/>
      <c r="F266" s="210"/>
      <c r="G266" s="210"/>
      <c r="H266" s="210"/>
      <c r="I266" s="210"/>
      <c r="J266" s="210"/>
      <c r="K266" s="210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4"/>
    </row>
    <row r="267" spans="1:28" ht="26.25" customHeight="1" x14ac:dyDescent="0.25">
      <c r="A267" s="96"/>
      <c r="B267" s="199" t="s">
        <v>1991</v>
      </c>
      <c r="C267" s="200" t="s">
        <v>32</v>
      </c>
      <c r="D267" s="199" t="s">
        <v>33</v>
      </c>
      <c r="E267" s="199" t="s">
        <v>34</v>
      </c>
      <c r="F267" s="309" t="s">
        <v>453</v>
      </c>
      <c r="G267" s="309"/>
      <c r="H267" s="201" t="s">
        <v>35</v>
      </c>
      <c r="I267" s="200" t="s">
        <v>36</v>
      </c>
      <c r="J267" s="200" t="s">
        <v>37</v>
      </c>
      <c r="K267" s="200" t="s">
        <v>39</v>
      </c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4"/>
    </row>
    <row r="268" spans="1:28" ht="26.25" customHeight="1" x14ac:dyDescent="0.25">
      <c r="A268" s="96"/>
      <c r="B268" s="195" t="s">
        <v>454</v>
      </c>
      <c r="C268" s="196" t="s">
        <v>1989</v>
      </c>
      <c r="D268" s="195" t="s">
        <v>121</v>
      </c>
      <c r="E268" s="195" t="s">
        <v>1990</v>
      </c>
      <c r="F268" s="310" t="s">
        <v>458</v>
      </c>
      <c r="G268" s="310"/>
      <c r="H268" s="197" t="s">
        <v>55</v>
      </c>
      <c r="I268" s="202">
        <v>1</v>
      </c>
      <c r="J268" s="198"/>
      <c r="K268" s="19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4"/>
    </row>
    <row r="269" spans="1:28" ht="26.25" customHeight="1" x14ac:dyDescent="0.25">
      <c r="A269" s="44"/>
      <c r="B269" s="211" t="s">
        <v>472</v>
      </c>
      <c r="C269" s="212" t="s">
        <v>2126</v>
      </c>
      <c r="D269" s="211" t="s">
        <v>121</v>
      </c>
      <c r="E269" s="211" t="s">
        <v>2242</v>
      </c>
      <c r="F269" s="306" t="s">
        <v>2123</v>
      </c>
      <c r="G269" s="306"/>
      <c r="H269" s="213" t="s">
        <v>55</v>
      </c>
      <c r="I269" s="214">
        <v>1</v>
      </c>
      <c r="J269" s="215"/>
      <c r="K269" s="215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</row>
    <row r="270" spans="1:28" ht="26.25" customHeight="1" x14ac:dyDescent="0.25">
      <c r="A270" s="96"/>
      <c r="B270" s="208"/>
      <c r="C270" s="208"/>
      <c r="D270" s="208"/>
      <c r="E270" s="208"/>
      <c r="F270" s="208" t="s">
        <v>463</v>
      </c>
      <c r="G270" s="209"/>
      <c r="H270" s="208" t="s">
        <v>464</v>
      </c>
      <c r="I270" s="209">
        <v>0</v>
      </c>
      <c r="J270" s="208" t="s">
        <v>465</v>
      </c>
      <c r="K270" s="209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</row>
    <row r="271" spans="1:28" ht="26.25" customHeight="1" thickBot="1" x14ac:dyDescent="0.3">
      <c r="A271" s="96"/>
      <c r="B271" s="208"/>
      <c r="C271" s="208"/>
      <c r="D271" s="208"/>
      <c r="E271" s="208"/>
      <c r="F271" s="208" t="s">
        <v>466</v>
      </c>
      <c r="G271" s="209"/>
      <c r="H271" s="208"/>
      <c r="I271" s="307" t="s">
        <v>467</v>
      </c>
      <c r="J271" s="307"/>
      <c r="K271" s="209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</row>
    <row r="272" spans="1:28" ht="26.25" customHeight="1" thickTop="1" x14ac:dyDescent="0.25">
      <c r="A272" s="141"/>
      <c r="B272" s="210"/>
      <c r="C272" s="210"/>
      <c r="D272" s="210"/>
      <c r="E272" s="210"/>
      <c r="F272" s="210"/>
      <c r="G272" s="210"/>
      <c r="H272" s="210"/>
      <c r="I272" s="210"/>
      <c r="J272" s="210"/>
      <c r="K272" s="210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</row>
    <row r="273" spans="1:28" ht="26.25" customHeight="1" x14ac:dyDescent="0.25">
      <c r="A273" s="96"/>
      <c r="B273" s="199" t="s">
        <v>1994</v>
      </c>
      <c r="C273" s="200" t="s">
        <v>32</v>
      </c>
      <c r="D273" s="199" t="s">
        <v>33</v>
      </c>
      <c r="E273" s="199" t="s">
        <v>34</v>
      </c>
      <c r="F273" s="309" t="s">
        <v>453</v>
      </c>
      <c r="G273" s="309"/>
      <c r="H273" s="201" t="s">
        <v>35</v>
      </c>
      <c r="I273" s="200" t="s">
        <v>36</v>
      </c>
      <c r="J273" s="200" t="s">
        <v>37</v>
      </c>
      <c r="K273" s="200" t="s">
        <v>39</v>
      </c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</row>
    <row r="274" spans="1:28" ht="26.25" customHeight="1" x14ac:dyDescent="0.25">
      <c r="A274" s="96"/>
      <c r="B274" s="195" t="s">
        <v>454</v>
      </c>
      <c r="C274" s="196" t="s">
        <v>1992</v>
      </c>
      <c r="D274" s="195" t="s">
        <v>121</v>
      </c>
      <c r="E274" s="195" t="s">
        <v>1993</v>
      </c>
      <c r="F274" s="310" t="s">
        <v>458</v>
      </c>
      <c r="G274" s="310"/>
      <c r="H274" s="197" t="s">
        <v>55</v>
      </c>
      <c r="I274" s="202">
        <v>1</v>
      </c>
      <c r="J274" s="198"/>
      <c r="K274" s="19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</row>
    <row r="275" spans="1:28" ht="26.25" customHeight="1" x14ac:dyDescent="0.25">
      <c r="A275" s="96"/>
      <c r="B275" s="211" t="s">
        <v>472</v>
      </c>
      <c r="C275" s="212" t="s">
        <v>2127</v>
      </c>
      <c r="D275" s="211" t="s">
        <v>121</v>
      </c>
      <c r="E275" s="211" t="s">
        <v>2243</v>
      </c>
      <c r="F275" s="306" t="s">
        <v>2123</v>
      </c>
      <c r="G275" s="306"/>
      <c r="H275" s="213" t="s">
        <v>55</v>
      </c>
      <c r="I275" s="214">
        <v>1</v>
      </c>
      <c r="J275" s="215"/>
      <c r="K275" s="215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</row>
    <row r="276" spans="1:28" ht="26.25" customHeight="1" x14ac:dyDescent="0.25">
      <c r="A276" s="96"/>
      <c r="B276" s="208"/>
      <c r="C276" s="208"/>
      <c r="D276" s="208"/>
      <c r="E276" s="208"/>
      <c r="F276" s="208" t="s">
        <v>463</v>
      </c>
      <c r="G276" s="209"/>
      <c r="H276" s="208" t="s">
        <v>464</v>
      </c>
      <c r="I276" s="209">
        <v>0</v>
      </c>
      <c r="J276" s="208" t="s">
        <v>465</v>
      </c>
      <c r="K276" s="209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</row>
    <row r="277" spans="1:28" ht="26.25" customHeight="1" thickBot="1" x14ac:dyDescent="0.3">
      <c r="A277" s="96"/>
      <c r="B277" s="208"/>
      <c r="C277" s="208"/>
      <c r="D277" s="208"/>
      <c r="E277" s="208"/>
      <c r="F277" s="208" t="s">
        <v>466</v>
      </c>
      <c r="G277" s="209"/>
      <c r="H277" s="208"/>
      <c r="I277" s="307" t="s">
        <v>467</v>
      </c>
      <c r="J277" s="307"/>
      <c r="K277" s="209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</row>
    <row r="278" spans="1:28" ht="26.25" customHeight="1" thickTop="1" x14ac:dyDescent="0.25">
      <c r="A278" s="96"/>
      <c r="B278" s="210"/>
      <c r="C278" s="210"/>
      <c r="D278" s="210"/>
      <c r="E278" s="210"/>
      <c r="F278" s="210"/>
      <c r="G278" s="210"/>
      <c r="H278" s="210"/>
      <c r="I278" s="210"/>
      <c r="J278" s="210"/>
      <c r="K278" s="210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</row>
    <row r="279" spans="1:28" ht="26.25" customHeight="1" x14ac:dyDescent="0.25">
      <c r="A279" s="96"/>
      <c r="B279" s="199" t="s">
        <v>1997</v>
      </c>
      <c r="C279" s="200" t="s">
        <v>32</v>
      </c>
      <c r="D279" s="199" t="s">
        <v>33</v>
      </c>
      <c r="E279" s="199" t="s">
        <v>34</v>
      </c>
      <c r="F279" s="309" t="s">
        <v>453</v>
      </c>
      <c r="G279" s="309"/>
      <c r="H279" s="201" t="s">
        <v>35</v>
      </c>
      <c r="I279" s="200" t="s">
        <v>36</v>
      </c>
      <c r="J279" s="200" t="s">
        <v>37</v>
      </c>
      <c r="K279" s="200" t="s">
        <v>39</v>
      </c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</row>
    <row r="280" spans="1:28" ht="26.25" customHeight="1" x14ac:dyDescent="0.25">
      <c r="A280" s="96"/>
      <c r="B280" s="195" t="s">
        <v>454</v>
      </c>
      <c r="C280" s="196" t="s">
        <v>1995</v>
      </c>
      <c r="D280" s="195" t="s">
        <v>121</v>
      </c>
      <c r="E280" s="195" t="s">
        <v>1996</v>
      </c>
      <c r="F280" s="310" t="s">
        <v>458</v>
      </c>
      <c r="G280" s="310"/>
      <c r="H280" s="197" t="s">
        <v>55</v>
      </c>
      <c r="I280" s="202">
        <v>1</v>
      </c>
      <c r="J280" s="198"/>
      <c r="K280" s="19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</row>
    <row r="281" spans="1:28" ht="26.25" customHeight="1" x14ac:dyDescent="0.25">
      <c r="A281" s="96"/>
      <c r="B281" s="211" t="s">
        <v>472</v>
      </c>
      <c r="C281" s="212" t="s">
        <v>2128</v>
      </c>
      <c r="D281" s="211" t="s">
        <v>121</v>
      </c>
      <c r="E281" s="211" t="s">
        <v>2244</v>
      </c>
      <c r="F281" s="306" t="s">
        <v>2123</v>
      </c>
      <c r="G281" s="306"/>
      <c r="H281" s="213" t="s">
        <v>55</v>
      </c>
      <c r="I281" s="214">
        <v>1</v>
      </c>
      <c r="J281" s="215"/>
      <c r="K281" s="215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</row>
    <row r="282" spans="1:28" ht="26.25" customHeight="1" x14ac:dyDescent="0.25">
      <c r="A282" s="96"/>
      <c r="B282" s="208"/>
      <c r="C282" s="208"/>
      <c r="D282" s="208"/>
      <c r="E282" s="208"/>
      <c r="F282" s="208" t="s">
        <v>463</v>
      </c>
      <c r="G282" s="209"/>
      <c r="H282" s="208" t="s">
        <v>464</v>
      </c>
      <c r="I282" s="209">
        <v>0</v>
      </c>
      <c r="J282" s="208" t="s">
        <v>465</v>
      </c>
      <c r="K282" s="209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</row>
    <row r="283" spans="1:28" ht="26.25" customHeight="1" thickBot="1" x14ac:dyDescent="0.3">
      <c r="A283" s="96"/>
      <c r="B283" s="208"/>
      <c r="C283" s="208"/>
      <c r="D283" s="208"/>
      <c r="E283" s="208"/>
      <c r="F283" s="208" t="s">
        <v>466</v>
      </c>
      <c r="G283" s="209"/>
      <c r="H283" s="208"/>
      <c r="I283" s="307" t="s">
        <v>467</v>
      </c>
      <c r="J283" s="307"/>
      <c r="K283" s="209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</row>
    <row r="284" spans="1:28" ht="26.25" customHeight="1" thickTop="1" x14ac:dyDescent="0.25">
      <c r="A284" s="96"/>
      <c r="B284" s="210"/>
      <c r="C284" s="210"/>
      <c r="D284" s="210"/>
      <c r="E284" s="210"/>
      <c r="F284" s="210"/>
      <c r="G284" s="210"/>
      <c r="H284" s="210"/>
      <c r="I284" s="210"/>
      <c r="J284" s="210"/>
      <c r="K284" s="210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</row>
    <row r="285" spans="1:28" ht="26.25" customHeight="1" x14ac:dyDescent="0.25">
      <c r="A285" s="96"/>
      <c r="B285" s="199" t="s">
        <v>2000</v>
      </c>
      <c r="C285" s="200" t="s">
        <v>32</v>
      </c>
      <c r="D285" s="199" t="s">
        <v>33</v>
      </c>
      <c r="E285" s="199" t="s">
        <v>34</v>
      </c>
      <c r="F285" s="309" t="s">
        <v>453</v>
      </c>
      <c r="G285" s="309"/>
      <c r="H285" s="201" t="s">
        <v>35</v>
      </c>
      <c r="I285" s="200" t="s">
        <v>36</v>
      </c>
      <c r="J285" s="200" t="s">
        <v>37</v>
      </c>
      <c r="K285" s="200" t="s">
        <v>39</v>
      </c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</row>
    <row r="286" spans="1:28" ht="26.25" customHeight="1" x14ac:dyDescent="0.25">
      <c r="A286" s="96"/>
      <c r="B286" s="195" t="s">
        <v>454</v>
      </c>
      <c r="C286" s="196" t="s">
        <v>1998</v>
      </c>
      <c r="D286" s="195" t="s">
        <v>121</v>
      </c>
      <c r="E286" s="195" t="s">
        <v>1999</v>
      </c>
      <c r="F286" s="310" t="s">
        <v>458</v>
      </c>
      <c r="G286" s="310"/>
      <c r="H286" s="197" t="s">
        <v>55</v>
      </c>
      <c r="I286" s="202">
        <v>1</v>
      </c>
      <c r="J286" s="198"/>
      <c r="K286" s="19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</row>
    <row r="287" spans="1:28" ht="26.25" customHeight="1" x14ac:dyDescent="0.25">
      <c r="A287" s="145"/>
      <c r="B287" s="211" t="s">
        <v>472</v>
      </c>
      <c r="C287" s="212" t="s">
        <v>2129</v>
      </c>
      <c r="D287" s="211" t="s">
        <v>121</v>
      </c>
      <c r="E287" s="211" t="s">
        <v>2245</v>
      </c>
      <c r="F287" s="306" t="s">
        <v>2123</v>
      </c>
      <c r="G287" s="306"/>
      <c r="H287" s="213" t="s">
        <v>55</v>
      </c>
      <c r="I287" s="214">
        <v>1</v>
      </c>
      <c r="J287" s="215"/>
      <c r="K287" s="215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  <c r="AA287" s="146"/>
      <c r="AB287" s="146"/>
    </row>
    <row r="288" spans="1:28" ht="26.25" customHeight="1" x14ac:dyDescent="0.25">
      <c r="A288" s="145"/>
      <c r="B288" s="208"/>
      <c r="C288" s="208"/>
      <c r="D288" s="208"/>
      <c r="E288" s="208"/>
      <c r="F288" s="208" t="s">
        <v>463</v>
      </c>
      <c r="G288" s="209"/>
      <c r="H288" s="208" t="s">
        <v>464</v>
      </c>
      <c r="I288" s="209">
        <v>0</v>
      </c>
      <c r="J288" s="208" t="s">
        <v>465</v>
      </c>
      <c r="K288" s="209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  <c r="AA288" s="146"/>
      <c r="AB288" s="146"/>
    </row>
    <row r="289" spans="1:28" ht="26.25" customHeight="1" thickBot="1" x14ac:dyDescent="0.3">
      <c r="A289" s="145"/>
      <c r="B289" s="208"/>
      <c r="C289" s="208"/>
      <c r="D289" s="208"/>
      <c r="E289" s="208"/>
      <c r="F289" s="208" t="s">
        <v>466</v>
      </c>
      <c r="G289" s="209"/>
      <c r="H289" s="208"/>
      <c r="I289" s="307" t="s">
        <v>467</v>
      </c>
      <c r="J289" s="307"/>
      <c r="K289" s="209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  <c r="AA289" s="146"/>
      <c r="AB289" s="146"/>
    </row>
    <row r="290" spans="1:28" ht="39" customHeight="1" thickTop="1" x14ac:dyDescent="0.25">
      <c r="A290" s="145"/>
      <c r="B290" s="210"/>
      <c r="C290" s="210"/>
      <c r="D290" s="210"/>
      <c r="E290" s="210"/>
      <c r="F290" s="210"/>
      <c r="G290" s="210"/>
      <c r="H290" s="210"/>
      <c r="I290" s="210"/>
      <c r="J290" s="210"/>
      <c r="K290" s="210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  <c r="AA290" s="146"/>
      <c r="AB290" s="146"/>
    </row>
    <row r="291" spans="1:28" ht="26.25" customHeight="1" x14ac:dyDescent="0.25">
      <c r="A291" s="22"/>
      <c r="B291" s="199" t="s">
        <v>2003</v>
      </c>
      <c r="C291" s="200" t="s">
        <v>32</v>
      </c>
      <c r="D291" s="199" t="s">
        <v>33</v>
      </c>
      <c r="E291" s="199" t="s">
        <v>34</v>
      </c>
      <c r="F291" s="309" t="s">
        <v>453</v>
      </c>
      <c r="G291" s="309"/>
      <c r="H291" s="201" t="s">
        <v>35</v>
      </c>
      <c r="I291" s="200" t="s">
        <v>36</v>
      </c>
      <c r="J291" s="200" t="s">
        <v>37</v>
      </c>
      <c r="K291" s="200" t="s">
        <v>39</v>
      </c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  <c r="AA291" s="146"/>
      <c r="AB291" s="146"/>
    </row>
    <row r="292" spans="1:28" ht="15.75" customHeight="1" x14ac:dyDescent="0.25">
      <c r="A292" s="22"/>
      <c r="B292" s="195" t="s">
        <v>454</v>
      </c>
      <c r="C292" s="196" t="s">
        <v>2001</v>
      </c>
      <c r="D292" s="195" t="s">
        <v>121</v>
      </c>
      <c r="E292" s="195" t="s">
        <v>2002</v>
      </c>
      <c r="F292" s="310" t="s">
        <v>458</v>
      </c>
      <c r="G292" s="310"/>
      <c r="H292" s="197" t="s">
        <v>55</v>
      </c>
      <c r="I292" s="202">
        <v>1</v>
      </c>
      <c r="J292" s="198"/>
      <c r="K292" s="198"/>
      <c r="M292" s="146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  <c r="AA292" s="146"/>
      <c r="AB292" s="146"/>
    </row>
    <row r="293" spans="1:28" ht="26.25" customHeight="1" x14ac:dyDescent="0.25">
      <c r="A293" s="22"/>
      <c r="B293" s="211" t="s">
        <v>472</v>
      </c>
      <c r="C293" s="212" t="s">
        <v>2130</v>
      </c>
      <c r="D293" s="211" t="s">
        <v>121</v>
      </c>
      <c r="E293" s="211" t="s">
        <v>2246</v>
      </c>
      <c r="F293" s="306" t="s">
        <v>2123</v>
      </c>
      <c r="G293" s="306"/>
      <c r="H293" s="213" t="s">
        <v>55</v>
      </c>
      <c r="I293" s="214">
        <v>1</v>
      </c>
      <c r="J293" s="215"/>
      <c r="K293" s="215"/>
      <c r="M293" s="146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  <c r="AA293" s="146"/>
      <c r="AB293" s="146"/>
    </row>
    <row r="294" spans="1:28" ht="26.25" customHeight="1" x14ac:dyDescent="0.25">
      <c r="A294" s="22"/>
      <c r="B294" s="208"/>
      <c r="C294" s="208"/>
      <c r="D294" s="208"/>
      <c r="E294" s="208"/>
      <c r="F294" s="208" t="s">
        <v>463</v>
      </c>
      <c r="G294" s="209"/>
      <c r="H294" s="208" t="s">
        <v>464</v>
      </c>
      <c r="I294" s="209">
        <v>0</v>
      </c>
      <c r="J294" s="208" t="s">
        <v>465</v>
      </c>
      <c r="K294" s="209"/>
      <c r="M294" s="146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  <c r="AA294" s="146"/>
      <c r="AB294" s="146"/>
    </row>
    <row r="295" spans="1:28" ht="26.25" customHeight="1" thickBot="1" x14ac:dyDescent="0.3">
      <c r="A295" s="22"/>
      <c r="B295" s="208"/>
      <c r="C295" s="208"/>
      <c r="D295" s="208"/>
      <c r="E295" s="208"/>
      <c r="F295" s="208" t="s">
        <v>466</v>
      </c>
      <c r="G295" s="209"/>
      <c r="H295" s="208"/>
      <c r="I295" s="307" t="s">
        <v>467</v>
      </c>
      <c r="J295" s="307"/>
      <c r="K295" s="209"/>
      <c r="M295" s="146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  <c r="AA295" s="146"/>
      <c r="AB295" s="146"/>
    </row>
    <row r="296" spans="1:28" ht="26.25" customHeight="1" thickTop="1" x14ac:dyDescent="0.25">
      <c r="A296" s="22"/>
      <c r="B296" s="210"/>
      <c r="C296" s="210"/>
      <c r="D296" s="210"/>
      <c r="E296" s="210"/>
      <c r="F296" s="210"/>
      <c r="G296" s="210"/>
      <c r="H296" s="210"/>
      <c r="I296" s="210"/>
      <c r="J296" s="210"/>
      <c r="K296" s="210"/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  <c r="AA296" s="146"/>
      <c r="AB296" s="146"/>
    </row>
    <row r="297" spans="1:28" ht="26.25" customHeight="1" x14ac:dyDescent="0.25">
      <c r="A297" s="22"/>
      <c r="B297" s="199" t="s">
        <v>2005</v>
      </c>
      <c r="C297" s="200" t="s">
        <v>32</v>
      </c>
      <c r="D297" s="199" t="s">
        <v>33</v>
      </c>
      <c r="E297" s="199" t="s">
        <v>34</v>
      </c>
      <c r="F297" s="309" t="s">
        <v>453</v>
      </c>
      <c r="G297" s="309"/>
      <c r="H297" s="201" t="s">
        <v>35</v>
      </c>
      <c r="I297" s="200" t="s">
        <v>36</v>
      </c>
      <c r="J297" s="200" t="s">
        <v>37</v>
      </c>
      <c r="K297" s="200" t="s">
        <v>39</v>
      </c>
      <c r="M297" s="146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  <c r="AA297" s="146"/>
      <c r="AB297" s="146"/>
    </row>
    <row r="298" spans="1:28" ht="26.25" customHeight="1" x14ac:dyDescent="0.25">
      <c r="A298" s="22"/>
      <c r="B298" s="195" t="s">
        <v>454</v>
      </c>
      <c r="C298" s="196" t="s">
        <v>2007</v>
      </c>
      <c r="D298" s="195" t="s">
        <v>121</v>
      </c>
      <c r="E298" s="195" t="s">
        <v>2008</v>
      </c>
      <c r="F298" s="310" t="s">
        <v>458</v>
      </c>
      <c r="G298" s="310"/>
      <c r="H298" s="197" t="s">
        <v>55</v>
      </c>
      <c r="I298" s="202">
        <v>1</v>
      </c>
      <c r="J298" s="198"/>
      <c r="K298" s="198"/>
      <c r="M298" s="146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  <c r="AA298" s="146"/>
      <c r="AB298" s="146"/>
    </row>
    <row r="299" spans="1:28" ht="26.25" customHeight="1" x14ac:dyDescent="0.25">
      <c r="A299" s="22"/>
      <c r="B299" s="211" t="s">
        <v>472</v>
      </c>
      <c r="C299" s="212" t="s">
        <v>2131</v>
      </c>
      <c r="D299" s="211" t="s">
        <v>121</v>
      </c>
      <c r="E299" s="211" t="s">
        <v>2247</v>
      </c>
      <c r="F299" s="306" t="s">
        <v>2123</v>
      </c>
      <c r="G299" s="306"/>
      <c r="H299" s="213" t="s">
        <v>55</v>
      </c>
      <c r="I299" s="214">
        <v>1</v>
      </c>
      <c r="J299" s="215"/>
      <c r="K299" s="215"/>
      <c r="M299" s="146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  <c r="AA299" s="146"/>
      <c r="AB299" s="146"/>
    </row>
    <row r="300" spans="1:28" ht="26.25" customHeight="1" x14ac:dyDescent="0.25">
      <c r="A300" s="55"/>
      <c r="B300" s="208"/>
      <c r="C300" s="208"/>
      <c r="D300" s="208"/>
      <c r="E300" s="208"/>
      <c r="F300" s="208" t="s">
        <v>463</v>
      </c>
      <c r="G300" s="209"/>
      <c r="H300" s="208" t="s">
        <v>464</v>
      </c>
      <c r="I300" s="209">
        <v>0</v>
      </c>
      <c r="J300" s="208" t="s">
        <v>465</v>
      </c>
      <c r="K300" s="209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</row>
    <row r="301" spans="1:28" ht="26.25" customHeight="1" thickBot="1" x14ac:dyDescent="0.3">
      <c r="A301" s="55"/>
      <c r="B301" s="208"/>
      <c r="C301" s="208"/>
      <c r="D301" s="208"/>
      <c r="E301" s="208"/>
      <c r="F301" s="208" t="s">
        <v>466</v>
      </c>
      <c r="G301" s="209"/>
      <c r="H301" s="208"/>
      <c r="I301" s="307" t="s">
        <v>467</v>
      </c>
      <c r="J301" s="307"/>
      <c r="K301" s="209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</row>
    <row r="302" spans="1:28" ht="39" customHeight="1" thickTop="1" x14ac:dyDescent="0.25">
      <c r="A302" s="55"/>
      <c r="B302" s="210"/>
      <c r="C302" s="210"/>
      <c r="D302" s="210"/>
      <c r="E302" s="210"/>
      <c r="F302" s="210"/>
      <c r="G302" s="210"/>
      <c r="H302" s="210"/>
      <c r="I302" s="210"/>
      <c r="J302" s="210"/>
      <c r="K302" s="210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</row>
    <row r="303" spans="1:28" ht="26.25" customHeight="1" x14ac:dyDescent="0.25">
      <c r="A303" s="55"/>
      <c r="B303" s="199" t="s">
        <v>2006</v>
      </c>
      <c r="C303" s="200" t="s">
        <v>32</v>
      </c>
      <c r="D303" s="199" t="s">
        <v>33</v>
      </c>
      <c r="E303" s="199" t="s">
        <v>34</v>
      </c>
      <c r="F303" s="309" t="s">
        <v>453</v>
      </c>
      <c r="G303" s="309"/>
      <c r="H303" s="201" t="s">
        <v>35</v>
      </c>
      <c r="I303" s="200" t="s">
        <v>36</v>
      </c>
      <c r="J303" s="200" t="s">
        <v>37</v>
      </c>
      <c r="K303" s="200" t="s">
        <v>39</v>
      </c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</row>
    <row r="304" spans="1:28" ht="26.25" customHeight="1" x14ac:dyDescent="0.25">
      <c r="A304" s="55"/>
      <c r="B304" s="195" t="s">
        <v>454</v>
      </c>
      <c r="C304" s="196" t="s">
        <v>2010</v>
      </c>
      <c r="D304" s="195" t="s">
        <v>121</v>
      </c>
      <c r="E304" s="195" t="s">
        <v>2011</v>
      </c>
      <c r="F304" s="310" t="s">
        <v>458</v>
      </c>
      <c r="G304" s="310"/>
      <c r="H304" s="197" t="s">
        <v>55</v>
      </c>
      <c r="I304" s="202">
        <v>1</v>
      </c>
      <c r="J304" s="198"/>
      <c r="K304" s="198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</row>
    <row r="305" spans="1:28" ht="26.25" customHeight="1" x14ac:dyDescent="0.25">
      <c r="A305" s="55"/>
      <c r="B305" s="211" t="s">
        <v>472</v>
      </c>
      <c r="C305" s="212" t="s">
        <v>2132</v>
      </c>
      <c r="D305" s="211" t="s">
        <v>121</v>
      </c>
      <c r="E305" s="211" t="s">
        <v>2248</v>
      </c>
      <c r="F305" s="306" t="s">
        <v>2123</v>
      </c>
      <c r="G305" s="306"/>
      <c r="H305" s="213" t="s">
        <v>55</v>
      </c>
      <c r="I305" s="214">
        <v>1</v>
      </c>
      <c r="J305" s="215"/>
      <c r="K305" s="215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</row>
    <row r="306" spans="1:28" ht="26.25" customHeight="1" x14ac:dyDescent="0.25">
      <c r="A306" s="55"/>
      <c r="B306" s="208"/>
      <c r="C306" s="208"/>
      <c r="D306" s="208"/>
      <c r="E306" s="208"/>
      <c r="F306" s="208" t="s">
        <v>463</v>
      </c>
      <c r="G306" s="209"/>
      <c r="H306" s="208" t="s">
        <v>464</v>
      </c>
      <c r="I306" s="209">
        <v>0</v>
      </c>
      <c r="J306" s="208" t="s">
        <v>465</v>
      </c>
      <c r="K306" s="209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</row>
    <row r="307" spans="1:28" ht="26.25" customHeight="1" thickBot="1" x14ac:dyDescent="0.3">
      <c r="A307" s="55"/>
      <c r="B307" s="208"/>
      <c r="C307" s="208"/>
      <c r="D307" s="208"/>
      <c r="E307" s="208"/>
      <c r="F307" s="208" t="s">
        <v>466</v>
      </c>
      <c r="G307" s="209"/>
      <c r="H307" s="208"/>
      <c r="I307" s="307" t="s">
        <v>467</v>
      </c>
      <c r="J307" s="307"/>
      <c r="K307" s="209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</row>
    <row r="308" spans="1:28" ht="26.25" customHeight="1" thickTop="1" x14ac:dyDescent="0.25">
      <c r="A308" s="55"/>
      <c r="B308" s="210"/>
      <c r="C308" s="210"/>
      <c r="D308" s="210"/>
      <c r="E308" s="210"/>
      <c r="F308" s="210"/>
      <c r="G308" s="210"/>
      <c r="H308" s="210"/>
      <c r="I308" s="210"/>
      <c r="J308" s="210"/>
      <c r="K308" s="210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</row>
    <row r="309" spans="1:28" ht="26.25" customHeight="1" x14ac:dyDescent="0.25">
      <c r="A309" s="55"/>
      <c r="B309" s="199" t="s">
        <v>2009</v>
      </c>
      <c r="C309" s="200" t="s">
        <v>32</v>
      </c>
      <c r="D309" s="199" t="s">
        <v>33</v>
      </c>
      <c r="E309" s="199" t="s">
        <v>34</v>
      </c>
      <c r="F309" s="309" t="s">
        <v>453</v>
      </c>
      <c r="G309" s="309"/>
      <c r="H309" s="201" t="s">
        <v>35</v>
      </c>
      <c r="I309" s="200" t="s">
        <v>36</v>
      </c>
      <c r="J309" s="200" t="s">
        <v>37</v>
      </c>
      <c r="K309" s="200" t="s">
        <v>39</v>
      </c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</row>
    <row r="310" spans="1:28" ht="26.25" customHeight="1" x14ac:dyDescent="0.25">
      <c r="A310" s="55"/>
      <c r="B310" s="195" t="s">
        <v>454</v>
      </c>
      <c r="C310" s="196" t="s">
        <v>2013</v>
      </c>
      <c r="D310" s="195" t="s">
        <v>121</v>
      </c>
      <c r="E310" s="195" t="s">
        <v>2014</v>
      </c>
      <c r="F310" s="310" t="s">
        <v>458</v>
      </c>
      <c r="G310" s="310"/>
      <c r="H310" s="197" t="s">
        <v>55</v>
      </c>
      <c r="I310" s="202">
        <v>1</v>
      </c>
      <c r="J310" s="198"/>
      <c r="K310" s="198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</row>
    <row r="311" spans="1:28" ht="26.25" customHeight="1" x14ac:dyDescent="0.25">
      <c r="A311" s="55"/>
      <c r="B311" s="211" t="s">
        <v>472</v>
      </c>
      <c r="C311" s="212" t="s">
        <v>2133</v>
      </c>
      <c r="D311" s="211" t="s">
        <v>121</v>
      </c>
      <c r="E311" s="211" t="s">
        <v>2249</v>
      </c>
      <c r="F311" s="306" t="s">
        <v>2123</v>
      </c>
      <c r="G311" s="306"/>
      <c r="H311" s="213" t="s">
        <v>55</v>
      </c>
      <c r="I311" s="214">
        <v>1</v>
      </c>
      <c r="J311" s="215"/>
      <c r="K311" s="215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</row>
    <row r="312" spans="1:28" ht="26.25" customHeight="1" x14ac:dyDescent="0.25">
      <c r="A312" s="55"/>
      <c r="B312" s="208"/>
      <c r="C312" s="208"/>
      <c r="D312" s="208"/>
      <c r="E312" s="208"/>
      <c r="F312" s="208" t="s">
        <v>463</v>
      </c>
      <c r="G312" s="209"/>
      <c r="H312" s="208" t="s">
        <v>464</v>
      </c>
      <c r="I312" s="209">
        <v>0</v>
      </c>
      <c r="J312" s="208" t="s">
        <v>465</v>
      </c>
      <c r="K312" s="209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</row>
    <row r="313" spans="1:28" ht="26.25" customHeight="1" thickBot="1" x14ac:dyDescent="0.3">
      <c r="A313" s="55"/>
      <c r="B313" s="208"/>
      <c r="C313" s="208"/>
      <c r="D313" s="208"/>
      <c r="E313" s="208"/>
      <c r="F313" s="208" t="s">
        <v>466</v>
      </c>
      <c r="G313" s="209"/>
      <c r="H313" s="208"/>
      <c r="I313" s="307" t="s">
        <v>467</v>
      </c>
      <c r="J313" s="307"/>
      <c r="K313" s="209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</row>
    <row r="314" spans="1:28" ht="26.25" customHeight="1" thickTop="1" x14ac:dyDescent="0.25">
      <c r="A314" s="55"/>
      <c r="B314" s="210"/>
      <c r="C314" s="210"/>
      <c r="D314" s="210"/>
      <c r="E314" s="210"/>
      <c r="F314" s="210"/>
      <c r="G314" s="210"/>
      <c r="H314" s="210"/>
      <c r="I314" s="210"/>
      <c r="J314" s="210"/>
      <c r="K314" s="210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</row>
    <row r="315" spans="1:28" ht="26.25" customHeight="1" x14ac:dyDescent="0.25">
      <c r="A315" s="55"/>
      <c r="B315" s="199" t="s">
        <v>2012</v>
      </c>
      <c r="C315" s="200" t="s">
        <v>32</v>
      </c>
      <c r="D315" s="199" t="s">
        <v>33</v>
      </c>
      <c r="E315" s="199" t="s">
        <v>34</v>
      </c>
      <c r="F315" s="309" t="s">
        <v>453</v>
      </c>
      <c r="G315" s="309"/>
      <c r="H315" s="201" t="s">
        <v>35</v>
      </c>
      <c r="I315" s="200" t="s">
        <v>36</v>
      </c>
      <c r="J315" s="200" t="s">
        <v>37</v>
      </c>
      <c r="K315" s="200" t="s">
        <v>39</v>
      </c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</row>
    <row r="316" spans="1:28" ht="26.25" customHeight="1" x14ac:dyDescent="0.25">
      <c r="A316" s="55"/>
      <c r="B316" s="195" t="s">
        <v>454</v>
      </c>
      <c r="C316" s="196" t="s">
        <v>2016</v>
      </c>
      <c r="D316" s="195" t="s">
        <v>121</v>
      </c>
      <c r="E316" s="195" t="s">
        <v>2017</v>
      </c>
      <c r="F316" s="310" t="s">
        <v>458</v>
      </c>
      <c r="G316" s="310"/>
      <c r="H316" s="197" t="s">
        <v>55</v>
      </c>
      <c r="I316" s="202">
        <v>1</v>
      </c>
      <c r="J316" s="198"/>
      <c r="K316" s="198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</row>
    <row r="317" spans="1:28" ht="26.25" customHeight="1" x14ac:dyDescent="0.25">
      <c r="A317" s="55"/>
      <c r="B317" s="211" t="s">
        <v>472</v>
      </c>
      <c r="C317" s="212" t="s">
        <v>2134</v>
      </c>
      <c r="D317" s="211" t="s">
        <v>121</v>
      </c>
      <c r="E317" s="211" t="s">
        <v>2250</v>
      </c>
      <c r="F317" s="306" t="s">
        <v>2123</v>
      </c>
      <c r="G317" s="306"/>
      <c r="H317" s="213" t="s">
        <v>55</v>
      </c>
      <c r="I317" s="214">
        <v>1</v>
      </c>
      <c r="J317" s="215"/>
      <c r="K317" s="215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</row>
    <row r="318" spans="1:28" ht="26.25" customHeight="1" x14ac:dyDescent="0.25">
      <c r="A318" s="55"/>
      <c r="B318" s="208"/>
      <c r="C318" s="208"/>
      <c r="D318" s="208"/>
      <c r="E318" s="208"/>
      <c r="F318" s="208" t="s">
        <v>463</v>
      </c>
      <c r="G318" s="209"/>
      <c r="H318" s="208" t="s">
        <v>464</v>
      </c>
      <c r="I318" s="209">
        <v>0</v>
      </c>
      <c r="J318" s="208" t="s">
        <v>465</v>
      </c>
      <c r="K318" s="209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</row>
    <row r="319" spans="1:28" ht="26.25" customHeight="1" thickBot="1" x14ac:dyDescent="0.3">
      <c r="A319" s="55"/>
      <c r="B319" s="208"/>
      <c r="C319" s="208"/>
      <c r="D319" s="208"/>
      <c r="E319" s="208"/>
      <c r="F319" s="208" t="s">
        <v>466</v>
      </c>
      <c r="G319" s="209"/>
      <c r="H319" s="208"/>
      <c r="I319" s="307" t="s">
        <v>467</v>
      </c>
      <c r="J319" s="307"/>
      <c r="K319" s="209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</row>
    <row r="320" spans="1:28" ht="26.25" customHeight="1" thickTop="1" x14ac:dyDescent="0.25">
      <c r="A320" s="55"/>
      <c r="B320" s="210"/>
      <c r="C320" s="210"/>
      <c r="D320" s="210"/>
      <c r="E320" s="210"/>
      <c r="F320" s="210"/>
      <c r="G320" s="210"/>
      <c r="H320" s="210"/>
      <c r="I320" s="210"/>
      <c r="J320" s="210"/>
      <c r="K320" s="210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</row>
    <row r="321" spans="1:28" ht="26.25" customHeight="1" x14ac:dyDescent="0.25">
      <c r="A321" s="55"/>
      <c r="B321" s="199" t="s">
        <v>2015</v>
      </c>
      <c r="C321" s="200" t="s">
        <v>32</v>
      </c>
      <c r="D321" s="199" t="s">
        <v>33</v>
      </c>
      <c r="E321" s="199" t="s">
        <v>34</v>
      </c>
      <c r="F321" s="309" t="s">
        <v>453</v>
      </c>
      <c r="G321" s="309"/>
      <c r="H321" s="201" t="s">
        <v>35</v>
      </c>
      <c r="I321" s="200" t="s">
        <v>36</v>
      </c>
      <c r="J321" s="200" t="s">
        <v>37</v>
      </c>
      <c r="K321" s="200" t="s">
        <v>39</v>
      </c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</row>
    <row r="322" spans="1:28" ht="26.25" customHeight="1" x14ac:dyDescent="0.25">
      <c r="A322" s="55"/>
      <c r="B322" s="195" t="s">
        <v>454</v>
      </c>
      <c r="C322" s="196" t="s">
        <v>2019</v>
      </c>
      <c r="D322" s="195" t="s">
        <v>121</v>
      </c>
      <c r="E322" s="195" t="s">
        <v>2020</v>
      </c>
      <c r="F322" s="310" t="s">
        <v>458</v>
      </c>
      <c r="G322" s="310"/>
      <c r="H322" s="197" t="s">
        <v>55</v>
      </c>
      <c r="I322" s="202">
        <v>1</v>
      </c>
      <c r="J322" s="198"/>
      <c r="K322" s="198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</row>
    <row r="323" spans="1:28" ht="26.25" customHeight="1" x14ac:dyDescent="0.25">
      <c r="A323" s="55"/>
      <c r="B323" s="211" t="s">
        <v>472</v>
      </c>
      <c r="C323" s="212" t="s">
        <v>2135</v>
      </c>
      <c r="D323" s="211" t="s">
        <v>121</v>
      </c>
      <c r="E323" s="211" t="s">
        <v>2251</v>
      </c>
      <c r="F323" s="306" t="s">
        <v>2123</v>
      </c>
      <c r="G323" s="306"/>
      <c r="H323" s="213" t="s">
        <v>55</v>
      </c>
      <c r="I323" s="214">
        <v>1</v>
      </c>
      <c r="J323" s="215"/>
      <c r="K323" s="215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</row>
    <row r="324" spans="1:28" ht="26.25" customHeight="1" x14ac:dyDescent="0.25">
      <c r="A324" s="55"/>
      <c r="B324" s="208"/>
      <c r="C324" s="208"/>
      <c r="D324" s="208"/>
      <c r="E324" s="208"/>
      <c r="F324" s="208" t="s">
        <v>463</v>
      </c>
      <c r="G324" s="209"/>
      <c r="H324" s="208" t="s">
        <v>464</v>
      </c>
      <c r="I324" s="209">
        <v>0</v>
      </c>
      <c r="J324" s="208" t="s">
        <v>465</v>
      </c>
      <c r="K324" s="209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</row>
    <row r="325" spans="1:28" ht="26.25" customHeight="1" thickBot="1" x14ac:dyDescent="0.3">
      <c r="A325" s="55"/>
      <c r="B325" s="208"/>
      <c r="C325" s="208"/>
      <c r="D325" s="208"/>
      <c r="E325" s="208"/>
      <c r="F325" s="208" t="s">
        <v>466</v>
      </c>
      <c r="G325" s="209"/>
      <c r="H325" s="208"/>
      <c r="I325" s="307" t="s">
        <v>467</v>
      </c>
      <c r="J325" s="307"/>
      <c r="K325" s="209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</row>
    <row r="326" spans="1:28" ht="39" customHeight="1" thickTop="1" x14ac:dyDescent="0.25">
      <c r="A326" s="55"/>
      <c r="B326" s="210"/>
      <c r="C326" s="210"/>
      <c r="D326" s="210"/>
      <c r="E326" s="210"/>
      <c r="F326" s="210"/>
      <c r="G326" s="210"/>
      <c r="H326" s="210"/>
      <c r="I326" s="210"/>
      <c r="J326" s="210"/>
      <c r="K326" s="210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</row>
    <row r="327" spans="1:28" ht="26.25" customHeight="1" x14ac:dyDescent="0.25">
      <c r="A327" s="55"/>
      <c r="B327" s="199" t="s">
        <v>2018</v>
      </c>
      <c r="C327" s="200" t="s">
        <v>32</v>
      </c>
      <c r="D327" s="199" t="s">
        <v>33</v>
      </c>
      <c r="E327" s="199" t="s">
        <v>34</v>
      </c>
      <c r="F327" s="309" t="s">
        <v>453</v>
      </c>
      <c r="G327" s="309"/>
      <c r="H327" s="201" t="s">
        <v>35</v>
      </c>
      <c r="I327" s="200" t="s">
        <v>36</v>
      </c>
      <c r="J327" s="200" t="s">
        <v>37</v>
      </c>
      <c r="K327" s="200" t="s">
        <v>39</v>
      </c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</row>
    <row r="328" spans="1:28" ht="39" customHeight="1" x14ac:dyDescent="0.25">
      <c r="A328" s="55"/>
      <c r="B328" s="195" t="s">
        <v>454</v>
      </c>
      <c r="C328" s="196" t="s">
        <v>2022</v>
      </c>
      <c r="D328" s="195" t="s">
        <v>121</v>
      </c>
      <c r="E328" s="195" t="s">
        <v>2023</v>
      </c>
      <c r="F328" s="310" t="s">
        <v>458</v>
      </c>
      <c r="G328" s="310"/>
      <c r="H328" s="197" t="s">
        <v>55</v>
      </c>
      <c r="I328" s="202">
        <v>1</v>
      </c>
      <c r="J328" s="198"/>
      <c r="K328" s="198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</row>
    <row r="329" spans="1:28" ht="26.25" customHeight="1" x14ac:dyDescent="0.25">
      <c r="A329" s="55"/>
      <c r="B329" s="211" t="s">
        <v>472</v>
      </c>
      <c r="C329" s="212" t="s">
        <v>2136</v>
      </c>
      <c r="D329" s="211" t="s">
        <v>121</v>
      </c>
      <c r="E329" s="211" t="s">
        <v>2252</v>
      </c>
      <c r="F329" s="306" t="s">
        <v>2123</v>
      </c>
      <c r="G329" s="306"/>
      <c r="H329" s="213" t="s">
        <v>55</v>
      </c>
      <c r="I329" s="214">
        <v>1</v>
      </c>
      <c r="J329" s="215"/>
      <c r="K329" s="215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</row>
    <row r="330" spans="1:28" ht="26.25" customHeight="1" x14ac:dyDescent="0.25">
      <c r="A330" s="55"/>
      <c r="B330" s="208"/>
      <c r="C330" s="208"/>
      <c r="D330" s="208"/>
      <c r="E330" s="208"/>
      <c r="F330" s="208" t="s">
        <v>463</v>
      </c>
      <c r="G330" s="209"/>
      <c r="H330" s="208" t="s">
        <v>464</v>
      </c>
      <c r="I330" s="209">
        <v>0</v>
      </c>
      <c r="J330" s="208" t="s">
        <v>465</v>
      </c>
      <c r="K330" s="209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</row>
    <row r="331" spans="1:28" ht="26.25" customHeight="1" thickBot="1" x14ac:dyDescent="0.3">
      <c r="A331" s="55"/>
      <c r="B331" s="208"/>
      <c r="C331" s="208"/>
      <c r="D331" s="208"/>
      <c r="E331" s="208"/>
      <c r="F331" s="208" t="s">
        <v>466</v>
      </c>
      <c r="G331" s="209"/>
      <c r="H331" s="208"/>
      <c r="I331" s="307" t="s">
        <v>467</v>
      </c>
      <c r="J331" s="307"/>
      <c r="K331" s="209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</row>
    <row r="332" spans="1:28" ht="26.25" customHeight="1" thickTop="1" x14ac:dyDescent="0.25">
      <c r="A332" s="55"/>
      <c r="B332" s="210"/>
      <c r="C332" s="210"/>
      <c r="D332" s="210"/>
      <c r="E332" s="210"/>
      <c r="F332" s="210"/>
      <c r="G332" s="210"/>
      <c r="H332" s="210"/>
      <c r="I332" s="210"/>
      <c r="J332" s="210"/>
      <c r="K332" s="210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</row>
    <row r="333" spans="1:28" ht="26.25" customHeight="1" x14ac:dyDescent="0.25">
      <c r="A333" s="55"/>
      <c r="B333" s="199" t="s">
        <v>2021</v>
      </c>
      <c r="C333" s="200" t="s">
        <v>32</v>
      </c>
      <c r="D333" s="199" t="s">
        <v>33</v>
      </c>
      <c r="E333" s="199" t="s">
        <v>34</v>
      </c>
      <c r="F333" s="309" t="s">
        <v>453</v>
      </c>
      <c r="G333" s="309"/>
      <c r="H333" s="201" t="s">
        <v>35</v>
      </c>
      <c r="I333" s="200" t="s">
        <v>36</v>
      </c>
      <c r="J333" s="200" t="s">
        <v>37</v>
      </c>
      <c r="K333" s="200" t="s">
        <v>39</v>
      </c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</row>
    <row r="334" spans="1:28" ht="26.25" customHeight="1" x14ac:dyDescent="0.25">
      <c r="A334" s="55"/>
      <c r="B334" s="195" t="s">
        <v>454</v>
      </c>
      <c r="C334" s="196" t="s">
        <v>2025</v>
      </c>
      <c r="D334" s="195" t="s">
        <v>121</v>
      </c>
      <c r="E334" s="195" t="s">
        <v>2026</v>
      </c>
      <c r="F334" s="310" t="s">
        <v>458</v>
      </c>
      <c r="G334" s="310"/>
      <c r="H334" s="197" t="s">
        <v>55</v>
      </c>
      <c r="I334" s="202">
        <v>1</v>
      </c>
      <c r="J334" s="198"/>
      <c r="K334" s="198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</row>
    <row r="335" spans="1:28" ht="26.25" customHeight="1" x14ac:dyDescent="0.25">
      <c r="A335" s="55"/>
      <c r="B335" s="211" t="s">
        <v>472</v>
      </c>
      <c r="C335" s="212" t="s">
        <v>2137</v>
      </c>
      <c r="D335" s="211" t="s">
        <v>121</v>
      </c>
      <c r="E335" s="211" t="s">
        <v>2026</v>
      </c>
      <c r="F335" s="306" t="s">
        <v>2123</v>
      </c>
      <c r="G335" s="306"/>
      <c r="H335" s="213" t="s">
        <v>55</v>
      </c>
      <c r="I335" s="214">
        <v>1</v>
      </c>
      <c r="J335" s="215"/>
      <c r="K335" s="215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</row>
    <row r="336" spans="1:28" ht="26.25" customHeight="1" x14ac:dyDescent="0.25">
      <c r="A336" s="55"/>
      <c r="B336" s="208"/>
      <c r="C336" s="208"/>
      <c r="D336" s="208"/>
      <c r="E336" s="208"/>
      <c r="F336" s="208" t="s">
        <v>463</v>
      </c>
      <c r="G336" s="209"/>
      <c r="H336" s="208" t="s">
        <v>464</v>
      </c>
      <c r="I336" s="209">
        <v>0</v>
      </c>
      <c r="J336" s="208" t="s">
        <v>465</v>
      </c>
      <c r="K336" s="209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</row>
    <row r="337" spans="1:28" ht="26.25" customHeight="1" thickBot="1" x14ac:dyDescent="0.3">
      <c r="A337" s="55"/>
      <c r="B337" s="208"/>
      <c r="C337" s="208"/>
      <c r="D337" s="208"/>
      <c r="E337" s="208"/>
      <c r="F337" s="208" t="s">
        <v>466</v>
      </c>
      <c r="G337" s="209"/>
      <c r="H337" s="208"/>
      <c r="I337" s="307" t="s">
        <v>467</v>
      </c>
      <c r="J337" s="307"/>
      <c r="K337" s="209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</row>
    <row r="338" spans="1:28" ht="26.25" customHeight="1" thickTop="1" x14ac:dyDescent="0.25">
      <c r="A338" s="55"/>
      <c r="B338" s="210"/>
      <c r="C338" s="210"/>
      <c r="D338" s="210"/>
      <c r="E338" s="210"/>
      <c r="F338" s="210"/>
      <c r="G338" s="210"/>
      <c r="H338" s="210"/>
      <c r="I338" s="210"/>
      <c r="J338" s="210"/>
      <c r="K338" s="210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</row>
    <row r="339" spans="1:28" ht="26.25" customHeight="1" x14ac:dyDescent="0.25">
      <c r="A339" s="55"/>
      <c r="B339" s="199" t="s">
        <v>2024</v>
      </c>
      <c r="C339" s="200" t="s">
        <v>32</v>
      </c>
      <c r="D339" s="199" t="s">
        <v>33</v>
      </c>
      <c r="E339" s="199" t="s">
        <v>34</v>
      </c>
      <c r="F339" s="309" t="s">
        <v>453</v>
      </c>
      <c r="G339" s="309"/>
      <c r="H339" s="201" t="s">
        <v>35</v>
      </c>
      <c r="I339" s="200" t="s">
        <v>36</v>
      </c>
      <c r="J339" s="200" t="s">
        <v>37</v>
      </c>
      <c r="K339" s="200" t="s">
        <v>39</v>
      </c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</row>
    <row r="340" spans="1:28" ht="26.25" customHeight="1" x14ac:dyDescent="0.25">
      <c r="A340" s="55"/>
      <c r="B340" s="195" t="s">
        <v>454</v>
      </c>
      <c r="C340" s="196" t="s">
        <v>2028</v>
      </c>
      <c r="D340" s="195" t="s">
        <v>121</v>
      </c>
      <c r="E340" s="195" t="s">
        <v>2029</v>
      </c>
      <c r="F340" s="310" t="s">
        <v>458</v>
      </c>
      <c r="G340" s="310"/>
      <c r="H340" s="197" t="s">
        <v>55</v>
      </c>
      <c r="I340" s="202">
        <v>1</v>
      </c>
      <c r="J340" s="198"/>
      <c r="K340" s="198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</row>
    <row r="341" spans="1:28" ht="26.25" customHeight="1" x14ac:dyDescent="0.25">
      <c r="A341" s="55"/>
      <c r="B341" s="211" t="s">
        <v>472</v>
      </c>
      <c r="C341" s="212" t="s">
        <v>2138</v>
      </c>
      <c r="D341" s="211" t="s">
        <v>121</v>
      </c>
      <c r="E341" s="211" t="s">
        <v>2029</v>
      </c>
      <c r="F341" s="306" t="s">
        <v>2123</v>
      </c>
      <c r="G341" s="306"/>
      <c r="H341" s="213" t="s">
        <v>55</v>
      </c>
      <c r="I341" s="214">
        <v>1</v>
      </c>
      <c r="J341" s="215"/>
      <c r="K341" s="215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</row>
    <row r="342" spans="1:28" ht="26.25" customHeight="1" x14ac:dyDescent="0.25">
      <c r="A342" s="55"/>
      <c r="B342" s="208"/>
      <c r="C342" s="208"/>
      <c r="D342" s="208"/>
      <c r="E342" s="208"/>
      <c r="F342" s="208" t="s">
        <v>463</v>
      </c>
      <c r="G342" s="209"/>
      <c r="H342" s="208" t="s">
        <v>464</v>
      </c>
      <c r="I342" s="209">
        <v>0</v>
      </c>
      <c r="J342" s="208" t="s">
        <v>465</v>
      </c>
      <c r="K342" s="209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</row>
    <row r="343" spans="1:28" ht="26.25" customHeight="1" thickBot="1" x14ac:dyDescent="0.3">
      <c r="A343" s="55"/>
      <c r="B343" s="208"/>
      <c r="C343" s="208"/>
      <c r="D343" s="208"/>
      <c r="E343" s="208"/>
      <c r="F343" s="208" t="s">
        <v>466</v>
      </c>
      <c r="G343" s="209"/>
      <c r="H343" s="208"/>
      <c r="I343" s="307" t="s">
        <v>467</v>
      </c>
      <c r="J343" s="307"/>
      <c r="K343" s="209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</row>
    <row r="344" spans="1:28" ht="26.25" customHeight="1" thickTop="1" x14ac:dyDescent="0.25">
      <c r="A344" s="55"/>
      <c r="B344" s="210"/>
      <c r="C344" s="210"/>
      <c r="D344" s="210"/>
      <c r="E344" s="210"/>
      <c r="F344" s="210"/>
      <c r="G344" s="210"/>
      <c r="H344" s="210"/>
      <c r="I344" s="210"/>
      <c r="J344" s="210"/>
      <c r="K344" s="210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</row>
    <row r="345" spans="1:28" ht="26.25" customHeight="1" x14ac:dyDescent="0.25">
      <c r="A345" s="55"/>
      <c r="B345" s="199" t="s">
        <v>2027</v>
      </c>
      <c r="C345" s="200" t="s">
        <v>32</v>
      </c>
      <c r="D345" s="199" t="s">
        <v>33</v>
      </c>
      <c r="E345" s="199" t="s">
        <v>34</v>
      </c>
      <c r="F345" s="309" t="s">
        <v>453</v>
      </c>
      <c r="G345" s="309"/>
      <c r="H345" s="201" t="s">
        <v>35</v>
      </c>
      <c r="I345" s="200" t="s">
        <v>36</v>
      </c>
      <c r="J345" s="200" t="s">
        <v>37</v>
      </c>
      <c r="K345" s="200" t="s">
        <v>39</v>
      </c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</row>
    <row r="346" spans="1:28" ht="26.25" customHeight="1" x14ac:dyDescent="0.25">
      <c r="A346" s="55"/>
      <c r="B346" s="195" t="s">
        <v>454</v>
      </c>
      <c r="C346" s="196" t="s">
        <v>2031</v>
      </c>
      <c r="D346" s="195" t="s">
        <v>121</v>
      </c>
      <c r="E346" s="195" t="s">
        <v>2032</v>
      </c>
      <c r="F346" s="310" t="s">
        <v>458</v>
      </c>
      <c r="G346" s="310"/>
      <c r="H346" s="197" t="s">
        <v>55</v>
      </c>
      <c r="I346" s="202">
        <v>1</v>
      </c>
      <c r="J346" s="198"/>
      <c r="K346" s="198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</row>
    <row r="347" spans="1:28" ht="26.25" customHeight="1" x14ac:dyDescent="0.25">
      <c r="A347" s="55"/>
      <c r="B347" s="211" t="s">
        <v>472</v>
      </c>
      <c r="C347" s="212" t="s">
        <v>2139</v>
      </c>
      <c r="D347" s="211" t="s">
        <v>121</v>
      </c>
      <c r="E347" s="211" t="s">
        <v>2032</v>
      </c>
      <c r="F347" s="306" t="s">
        <v>2123</v>
      </c>
      <c r="G347" s="306"/>
      <c r="H347" s="213" t="s">
        <v>55</v>
      </c>
      <c r="I347" s="214">
        <v>1</v>
      </c>
      <c r="J347" s="215"/>
      <c r="K347" s="215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</row>
    <row r="348" spans="1:28" ht="26.25" customHeight="1" x14ac:dyDescent="0.25">
      <c r="A348" s="55"/>
      <c r="B348" s="208"/>
      <c r="C348" s="208"/>
      <c r="D348" s="208"/>
      <c r="E348" s="208"/>
      <c r="F348" s="208" t="s">
        <v>463</v>
      </c>
      <c r="G348" s="209"/>
      <c r="H348" s="208" t="s">
        <v>464</v>
      </c>
      <c r="I348" s="209">
        <v>0</v>
      </c>
      <c r="J348" s="208" t="s">
        <v>465</v>
      </c>
      <c r="K348" s="209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</row>
    <row r="349" spans="1:28" ht="26.25" customHeight="1" thickBot="1" x14ac:dyDescent="0.3">
      <c r="A349" s="55"/>
      <c r="B349" s="208"/>
      <c r="C349" s="208"/>
      <c r="D349" s="208"/>
      <c r="E349" s="208"/>
      <c r="F349" s="208" t="s">
        <v>466</v>
      </c>
      <c r="G349" s="209"/>
      <c r="H349" s="208"/>
      <c r="I349" s="307" t="s">
        <v>467</v>
      </c>
      <c r="J349" s="307"/>
      <c r="K349" s="209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</row>
    <row r="350" spans="1:28" ht="26.25" customHeight="1" thickTop="1" x14ac:dyDescent="0.25">
      <c r="A350" s="55"/>
      <c r="B350" s="210"/>
      <c r="C350" s="210"/>
      <c r="D350" s="210"/>
      <c r="E350" s="210"/>
      <c r="F350" s="210"/>
      <c r="G350" s="210"/>
      <c r="H350" s="210"/>
      <c r="I350" s="210"/>
      <c r="J350" s="210"/>
      <c r="K350" s="210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</row>
    <row r="351" spans="1:28" ht="26.25" customHeight="1" x14ac:dyDescent="0.25">
      <c r="A351" s="55"/>
      <c r="B351" s="199" t="s">
        <v>2030</v>
      </c>
      <c r="C351" s="200" t="s">
        <v>32</v>
      </c>
      <c r="D351" s="199" t="s">
        <v>33</v>
      </c>
      <c r="E351" s="199" t="s">
        <v>34</v>
      </c>
      <c r="F351" s="309" t="s">
        <v>453</v>
      </c>
      <c r="G351" s="309"/>
      <c r="H351" s="201" t="s">
        <v>35</v>
      </c>
      <c r="I351" s="200" t="s">
        <v>36</v>
      </c>
      <c r="J351" s="200" t="s">
        <v>37</v>
      </c>
      <c r="K351" s="200" t="s">
        <v>39</v>
      </c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</row>
    <row r="352" spans="1:28" ht="26.25" customHeight="1" x14ac:dyDescent="0.25">
      <c r="A352" s="55"/>
      <c r="B352" s="195" t="s">
        <v>454</v>
      </c>
      <c r="C352" s="196" t="s">
        <v>2034</v>
      </c>
      <c r="D352" s="195" t="s">
        <v>121</v>
      </c>
      <c r="E352" s="195" t="s">
        <v>2035</v>
      </c>
      <c r="F352" s="310" t="s">
        <v>458</v>
      </c>
      <c r="G352" s="310"/>
      <c r="H352" s="197" t="s">
        <v>55</v>
      </c>
      <c r="I352" s="202">
        <v>1</v>
      </c>
      <c r="J352" s="198"/>
      <c r="K352" s="198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</row>
    <row r="353" spans="1:28" ht="26.25" customHeight="1" x14ac:dyDescent="0.25">
      <c r="A353" s="55"/>
      <c r="B353" s="211" t="s">
        <v>472</v>
      </c>
      <c r="C353" s="212" t="s">
        <v>2140</v>
      </c>
      <c r="D353" s="211" t="s">
        <v>121</v>
      </c>
      <c r="E353" s="211" t="s">
        <v>2253</v>
      </c>
      <c r="F353" s="306" t="s">
        <v>2123</v>
      </c>
      <c r="G353" s="306"/>
      <c r="H353" s="213" t="s">
        <v>55</v>
      </c>
      <c r="I353" s="214">
        <v>1</v>
      </c>
      <c r="J353" s="215"/>
      <c r="K353" s="215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</row>
    <row r="354" spans="1:28" ht="26.25" customHeight="1" x14ac:dyDescent="0.25">
      <c r="A354" s="55"/>
      <c r="B354" s="208"/>
      <c r="C354" s="208"/>
      <c r="D354" s="208"/>
      <c r="E354" s="208"/>
      <c r="F354" s="208" t="s">
        <v>463</v>
      </c>
      <c r="G354" s="209"/>
      <c r="H354" s="208" t="s">
        <v>464</v>
      </c>
      <c r="I354" s="209">
        <v>0</v>
      </c>
      <c r="J354" s="208" t="s">
        <v>465</v>
      </c>
      <c r="K354" s="209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</row>
    <row r="355" spans="1:28" ht="26.25" customHeight="1" thickBot="1" x14ac:dyDescent="0.3">
      <c r="A355" s="55"/>
      <c r="B355" s="208"/>
      <c r="C355" s="208"/>
      <c r="D355" s="208"/>
      <c r="E355" s="208"/>
      <c r="F355" s="208" t="s">
        <v>466</v>
      </c>
      <c r="G355" s="209"/>
      <c r="H355" s="208"/>
      <c r="I355" s="307" t="s">
        <v>467</v>
      </c>
      <c r="J355" s="307"/>
      <c r="K355" s="209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</row>
    <row r="356" spans="1:28" ht="26.25" customHeight="1" thickTop="1" x14ac:dyDescent="0.25">
      <c r="A356" s="55"/>
      <c r="B356" s="210"/>
      <c r="C356" s="210"/>
      <c r="D356" s="210"/>
      <c r="E356" s="210"/>
      <c r="F356" s="210"/>
      <c r="G356" s="210"/>
      <c r="H356" s="210"/>
      <c r="I356" s="210"/>
      <c r="J356" s="210"/>
      <c r="K356" s="210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</row>
    <row r="357" spans="1:28" ht="26.25" customHeight="1" x14ac:dyDescent="0.25">
      <c r="A357" s="55"/>
      <c r="B357" s="199" t="s">
        <v>2033</v>
      </c>
      <c r="C357" s="200" t="s">
        <v>32</v>
      </c>
      <c r="D357" s="199" t="s">
        <v>33</v>
      </c>
      <c r="E357" s="199" t="s">
        <v>34</v>
      </c>
      <c r="F357" s="309" t="s">
        <v>453</v>
      </c>
      <c r="G357" s="309"/>
      <c r="H357" s="201" t="s">
        <v>35</v>
      </c>
      <c r="I357" s="200" t="s">
        <v>36</v>
      </c>
      <c r="J357" s="200" t="s">
        <v>37</v>
      </c>
      <c r="K357" s="200" t="s">
        <v>39</v>
      </c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</row>
    <row r="358" spans="1:28" ht="26.25" customHeight="1" x14ac:dyDescent="0.25">
      <c r="A358" s="55"/>
      <c r="B358" s="195" t="s">
        <v>454</v>
      </c>
      <c r="C358" s="196" t="s">
        <v>2037</v>
      </c>
      <c r="D358" s="195" t="s">
        <v>121</v>
      </c>
      <c r="E358" s="195" t="s">
        <v>2038</v>
      </c>
      <c r="F358" s="310" t="s">
        <v>458</v>
      </c>
      <c r="G358" s="310"/>
      <c r="H358" s="197" t="s">
        <v>55</v>
      </c>
      <c r="I358" s="202">
        <v>1</v>
      </c>
      <c r="J358" s="198"/>
      <c r="K358" s="198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</row>
    <row r="359" spans="1:28" ht="26.25" customHeight="1" x14ac:dyDescent="0.25">
      <c r="A359" s="55"/>
      <c r="B359" s="211" t="s">
        <v>472</v>
      </c>
      <c r="C359" s="212" t="s">
        <v>2141</v>
      </c>
      <c r="D359" s="211" t="s">
        <v>121</v>
      </c>
      <c r="E359" s="211" t="s">
        <v>2254</v>
      </c>
      <c r="F359" s="306" t="s">
        <v>2123</v>
      </c>
      <c r="G359" s="306"/>
      <c r="H359" s="213" t="s">
        <v>55</v>
      </c>
      <c r="I359" s="214">
        <v>1</v>
      </c>
      <c r="J359" s="215"/>
      <c r="K359" s="215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</row>
    <row r="360" spans="1:28" ht="26.25" customHeight="1" x14ac:dyDescent="0.25">
      <c r="A360" s="55"/>
      <c r="B360" s="208"/>
      <c r="C360" s="208"/>
      <c r="D360" s="208"/>
      <c r="E360" s="208"/>
      <c r="F360" s="208" t="s">
        <v>463</v>
      </c>
      <c r="G360" s="209"/>
      <c r="H360" s="208" t="s">
        <v>464</v>
      </c>
      <c r="I360" s="209">
        <v>0</v>
      </c>
      <c r="J360" s="208" t="s">
        <v>465</v>
      </c>
      <c r="K360" s="209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</row>
    <row r="361" spans="1:28" ht="26.25" customHeight="1" thickBot="1" x14ac:dyDescent="0.3">
      <c r="A361" s="55"/>
      <c r="B361" s="208"/>
      <c r="C361" s="208"/>
      <c r="D361" s="208"/>
      <c r="E361" s="208"/>
      <c r="F361" s="208" t="s">
        <v>466</v>
      </c>
      <c r="G361" s="209"/>
      <c r="H361" s="208"/>
      <c r="I361" s="307" t="s">
        <v>467</v>
      </c>
      <c r="J361" s="307"/>
      <c r="K361" s="209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</row>
    <row r="362" spans="1:28" ht="26.25" customHeight="1" thickTop="1" x14ac:dyDescent="0.25">
      <c r="A362" s="55"/>
      <c r="B362" s="210"/>
      <c r="C362" s="210"/>
      <c r="D362" s="210"/>
      <c r="E362" s="210"/>
      <c r="F362" s="210"/>
      <c r="G362" s="210"/>
      <c r="H362" s="210"/>
      <c r="I362" s="210"/>
      <c r="J362" s="210"/>
      <c r="K362" s="210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</row>
    <row r="363" spans="1:28" ht="26.25" customHeight="1" x14ac:dyDescent="0.25">
      <c r="A363" s="55"/>
      <c r="B363" s="199" t="s">
        <v>2036</v>
      </c>
      <c r="C363" s="200" t="s">
        <v>32</v>
      </c>
      <c r="D363" s="199" t="s">
        <v>33</v>
      </c>
      <c r="E363" s="199" t="s">
        <v>34</v>
      </c>
      <c r="F363" s="309" t="s">
        <v>453</v>
      </c>
      <c r="G363" s="309"/>
      <c r="H363" s="201" t="s">
        <v>35</v>
      </c>
      <c r="I363" s="200" t="s">
        <v>36</v>
      </c>
      <c r="J363" s="200" t="s">
        <v>37</v>
      </c>
      <c r="K363" s="200" t="s">
        <v>39</v>
      </c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</row>
    <row r="364" spans="1:28" ht="26.25" customHeight="1" x14ac:dyDescent="0.25">
      <c r="A364" s="55"/>
      <c r="B364" s="195" t="s">
        <v>454</v>
      </c>
      <c r="C364" s="196" t="s">
        <v>2040</v>
      </c>
      <c r="D364" s="195" t="s">
        <v>121</v>
      </c>
      <c r="E364" s="195" t="s">
        <v>2041</v>
      </c>
      <c r="F364" s="310" t="s">
        <v>458</v>
      </c>
      <c r="G364" s="310"/>
      <c r="H364" s="197" t="s">
        <v>55</v>
      </c>
      <c r="I364" s="202">
        <v>1</v>
      </c>
      <c r="J364" s="198"/>
      <c r="K364" s="198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</row>
    <row r="365" spans="1:28" ht="26.25" customHeight="1" x14ac:dyDescent="0.25">
      <c r="A365" s="55"/>
      <c r="B365" s="211" t="s">
        <v>472</v>
      </c>
      <c r="C365" s="212" t="s">
        <v>2142</v>
      </c>
      <c r="D365" s="211" t="s">
        <v>121</v>
      </c>
      <c r="E365" s="211" t="s">
        <v>2255</v>
      </c>
      <c r="F365" s="306" t="s">
        <v>2123</v>
      </c>
      <c r="G365" s="306"/>
      <c r="H365" s="213" t="s">
        <v>55</v>
      </c>
      <c r="I365" s="214">
        <v>1</v>
      </c>
      <c r="J365" s="215"/>
      <c r="K365" s="215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</row>
    <row r="366" spans="1:28" ht="26.25" customHeight="1" x14ac:dyDescent="0.25">
      <c r="A366" s="55"/>
      <c r="B366" s="208"/>
      <c r="C366" s="208"/>
      <c r="D366" s="208"/>
      <c r="E366" s="208"/>
      <c r="F366" s="208" t="s">
        <v>463</v>
      </c>
      <c r="G366" s="209"/>
      <c r="H366" s="208" t="s">
        <v>464</v>
      </c>
      <c r="I366" s="209">
        <v>0</v>
      </c>
      <c r="J366" s="208" t="s">
        <v>465</v>
      </c>
      <c r="K366" s="209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</row>
    <row r="367" spans="1:28" ht="26.25" customHeight="1" thickBot="1" x14ac:dyDescent="0.3">
      <c r="A367" s="55"/>
      <c r="B367" s="208"/>
      <c r="C367" s="208"/>
      <c r="D367" s="208"/>
      <c r="E367" s="208"/>
      <c r="F367" s="208" t="s">
        <v>466</v>
      </c>
      <c r="G367" s="209"/>
      <c r="H367" s="208"/>
      <c r="I367" s="307" t="s">
        <v>467</v>
      </c>
      <c r="J367" s="307"/>
      <c r="K367" s="209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</row>
    <row r="368" spans="1:28" ht="26.25" customHeight="1" thickTop="1" x14ac:dyDescent="0.25">
      <c r="A368" s="55"/>
      <c r="B368" s="210"/>
      <c r="C368" s="210"/>
      <c r="D368" s="210"/>
      <c r="E368" s="210"/>
      <c r="F368" s="210"/>
      <c r="G368" s="210"/>
      <c r="H368" s="210"/>
      <c r="I368" s="210"/>
      <c r="J368" s="210"/>
      <c r="K368" s="210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</row>
    <row r="369" spans="1:28" ht="26.25" customHeight="1" x14ac:dyDescent="0.25">
      <c r="A369" s="55"/>
      <c r="B369" s="199" t="s">
        <v>2039</v>
      </c>
      <c r="C369" s="200" t="s">
        <v>32</v>
      </c>
      <c r="D369" s="199" t="s">
        <v>33</v>
      </c>
      <c r="E369" s="199" t="s">
        <v>34</v>
      </c>
      <c r="F369" s="309" t="s">
        <v>453</v>
      </c>
      <c r="G369" s="309"/>
      <c r="H369" s="201" t="s">
        <v>35</v>
      </c>
      <c r="I369" s="200" t="s">
        <v>36</v>
      </c>
      <c r="J369" s="200" t="s">
        <v>37</v>
      </c>
      <c r="K369" s="200" t="s">
        <v>39</v>
      </c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</row>
    <row r="370" spans="1:28" ht="26.25" customHeight="1" x14ac:dyDescent="0.25">
      <c r="A370" s="55"/>
      <c r="B370" s="195" t="s">
        <v>454</v>
      </c>
      <c r="C370" s="196" t="s">
        <v>2043</v>
      </c>
      <c r="D370" s="195" t="s">
        <v>121</v>
      </c>
      <c r="E370" s="195" t="s">
        <v>2044</v>
      </c>
      <c r="F370" s="310" t="s">
        <v>458</v>
      </c>
      <c r="G370" s="310"/>
      <c r="H370" s="197" t="s">
        <v>55</v>
      </c>
      <c r="I370" s="202">
        <v>1</v>
      </c>
      <c r="J370" s="198"/>
      <c r="K370" s="198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</row>
    <row r="371" spans="1:28" ht="26.25" customHeight="1" x14ac:dyDescent="0.25">
      <c r="A371" s="55"/>
      <c r="B371" s="211" t="s">
        <v>472</v>
      </c>
      <c r="C371" s="212" t="s">
        <v>2143</v>
      </c>
      <c r="D371" s="211" t="s">
        <v>121</v>
      </c>
      <c r="E371" s="211" t="s">
        <v>2256</v>
      </c>
      <c r="F371" s="306" t="s">
        <v>2123</v>
      </c>
      <c r="G371" s="306"/>
      <c r="H371" s="213" t="s">
        <v>55</v>
      </c>
      <c r="I371" s="214">
        <v>1</v>
      </c>
      <c r="J371" s="215"/>
      <c r="K371" s="215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</row>
    <row r="372" spans="1:28" ht="26.25" customHeight="1" x14ac:dyDescent="0.25">
      <c r="A372" s="55"/>
      <c r="B372" s="208"/>
      <c r="C372" s="208"/>
      <c r="D372" s="208"/>
      <c r="E372" s="208"/>
      <c r="F372" s="208" t="s">
        <v>463</v>
      </c>
      <c r="G372" s="209"/>
      <c r="H372" s="208" t="s">
        <v>464</v>
      </c>
      <c r="I372" s="209">
        <v>0</v>
      </c>
      <c r="J372" s="208" t="s">
        <v>465</v>
      </c>
      <c r="K372" s="209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</row>
    <row r="373" spans="1:28" ht="26.25" customHeight="1" thickBot="1" x14ac:dyDescent="0.3">
      <c r="A373" s="55"/>
      <c r="B373" s="208"/>
      <c r="C373" s="208"/>
      <c r="D373" s="208"/>
      <c r="E373" s="208"/>
      <c r="F373" s="208" t="s">
        <v>466</v>
      </c>
      <c r="G373" s="209"/>
      <c r="H373" s="208"/>
      <c r="I373" s="307" t="s">
        <v>467</v>
      </c>
      <c r="J373" s="307"/>
      <c r="K373" s="209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</row>
    <row r="374" spans="1:28" ht="26.25" customHeight="1" thickTop="1" x14ac:dyDescent="0.25">
      <c r="A374" s="55"/>
      <c r="B374" s="210"/>
      <c r="C374" s="210"/>
      <c r="D374" s="210"/>
      <c r="E374" s="210"/>
      <c r="F374" s="210"/>
      <c r="G374" s="210"/>
      <c r="H374" s="210"/>
      <c r="I374" s="210"/>
      <c r="J374" s="210"/>
      <c r="K374" s="210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</row>
    <row r="375" spans="1:28" ht="26.25" customHeight="1" x14ac:dyDescent="0.25">
      <c r="A375" s="55"/>
      <c r="B375" s="199" t="s">
        <v>2042</v>
      </c>
      <c r="C375" s="200" t="s">
        <v>32</v>
      </c>
      <c r="D375" s="199" t="s">
        <v>33</v>
      </c>
      <c r="E375" s="199" t="s">
        <v>34</v>
      </c>
      <c r="F375" s="309" t="s">
        <v>453</v>
      </c>
      <c r="G375" s="309"/>
      <c r="H375" s="201" t="s">
        <v>35</v>
      </c>
      <c r="I375" s="200" t="s">
        <v>36</v>
      </c>
      <c r="J375" s="200" t="s">
        <v>37</v>
      </c>
      <c r="K375" s="200" t="s">
        <v>39</v>
      </c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</row>
    <row r="376" spans="1:28" ht="26.25" customHeight="1" x14ac:dyDescent="0.25">
      <c r="A376" s="55"/>
      <c r="B376" s="195" t="s">
        <v>454</v>
      </c>
      <c r="C376" s="196" t="s">
        <v>2046</v>
      </c>
      <c r="D376" s="195" t="s">
        <v>121</v>
      </c>
      <c r="E376" s="195" t="s">
        <v>2047</v>
      </c>
      <c r="F376" s="310" t="s">
        <v>458</v>
      </c>
      <c r="G376" s="310"/>
      <c r="H376" s="197" t="s">
        <v>55</v>
      </c>
      <c r="I376" s="202">
        <v>1</v>
      </c>
      <c r="J376" s="198"/>
      <c r="K376" s="198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</row>
    <row r="377" spans="1:28" ht="26.25" customHeight="1" x14ac:dyDescent="0.25">
      <c r="A377" s="55"/>
      <c r="B377" s="211" t="s">
        <v>472</v>
      </c>
      <c r="C377" s="212" t="s">
        <v>2144</v>
      </c>
      <c r="D377" s="211" t="s">
        <v>121</v>
      </c>
      <c r="E377" s="211" t="s">
        <v>2257</v>
      </c>
      <c r="F377" s="306" t="s">
        <v>2123</v>
      </c>
      <c r="G377" s="306"/>
      <c r="H377" s="213" t="s">
        <v>55</v>
      </c>
      <c r="I377" s="214">
        <v>1</v>
      </c>
      <c r="J377" s="215"/>
      <c r="K377" s="215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</row>
    <row r="378" spans="1:28" ht="26.25" customHeight="1" x14ac:dyDescent="0.25">
      <c r="A378" s="55"/>
      <c r="B378" s="208"/>
      <c r="C378" s="208"/>
      <c r="D378" s="208"/>
      <c r="E378" s="208"/>
      <c r="F378" s="208" t="s">
        <v>463</v>
      </c>
      <c r="G378" s="209"/>
      <c r="H378" s="208" t="s">
        <v>464</v>
      </c>
      <c r="I378" s="209">
        <v>0</v>
      </c>
      <c r="J378" s="208" t="s">
        <v>465</v>
      </c>
      <c r="K378" s="209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</row>
    <row r="379" spans="1:28" ht="26.25" customHeight="1" thickBot="1" x14ac:dyDescent="0.3">
      <c r="A379" s="55"/>
      <c r="B379" s="208"/>
      <c r="C379" s="208"/>
      <c r="D379" s="208"/>
      <c r="E379" s="208"/>
      <c r="F379" s="208" t="s">
        <v>466</v>
      </c>
      <c r="G379" s="209"/>
      <c r="H379" s="208"/>
      <c r="I379" s="307" t="s">
        <v>467</v>
      </c>
      <c r="J379" s="307"/>
      <c r="K379" s="209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</row>
    <row r="380" spans="1:28" ht="26.25" customHeight="1" thickTop="1" x14ac:dyDescent="0.25">
      <c r="A380" s="55"/>
      <c r="B380" s="210"/>
      <c r="C380" s="210"/>
      <c r="D380" s="210"/>
      <c r="E380" s="210"/>
      <c r="F380" s="210"/>
      <c r="G380" s="210"/>
      <c r="H380" s="210"/>
      <c r="I380" s="210"/>
      <c r="J380" s="210"/>
      <c r="K380" s="210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</row>
    <row r="381" spans="1:28" ht="26.25" customHeight="1" x14ac:dyDescent="0.25">
      <c r="A381" s="55"/>
      <c r="B381" s="199" t="s">
        <v>2045</v>
      </c>
      <c r="C381" s="200" t="s">
        <v>32</v>
      </c>
      <c r="D381" s="199" t="s">
        <v>33</v>
      </c>
      <c r="E381" s="199" t="s">
        <v>34</v>
      </c>
      <c r="F381" s="309" t="s">
        <v>453</v>
      </c>
      <c r="G381" s="309"/>
      <c r="H381" s="201" t="s">
        <v>35</v>
      </c>
      <c r="I381" s="200" t="s">
        <v>36</v>
      </c>
      <c r="J381" s="200" t="s">
        <v>37</v>
      </c>
      <c r="K381" s="200" t="s">
        <v>39</v>
      </c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</row>
    <row r="382" spans="1:28" ht="39" customHeight="1" x14ac:dyDescent="0.25">
      <c r="A382" s="55"/>
      <c r="B382" s="195" t="s">
        <v>454</v>
      </c>
      <c r="C382" s="196" t="s">
        <v>2049</v>
      </c>
      <c r="D382" s="195" t="s">
        <v>121</v>
      </c>
      <c r="E382" s="195" t="s">
        <v>2050</v>
      </c>
      <c r="F382" s="310" t="s">
        <v>458</v>
      </c>
      <c r="G382" s="310"/>
      <c r="H382" s="197" t="s">
        <v>55</v>
      </c>
      <c r="I382" s="202">
        <v>1</v>
      </c>
      <c r="J382" s="198"/>
      <c r="K382" s="198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</row>
    <row r="383" spans="1:28" ht="26.25" customHeight="1" x14ac:dyDescent="0.25">
      <c r="A383" s="55"/>
      <c r="B383" s="211" t="s">
        <v>472</v>
      </c>
      <c r="C383" s="212" t="s">
        <v>2145</v>
      </c>
      <c r="D383" s="211" t="s">
        <v>121</v>
      </c>
      <c r="E383" s="211" t="s">
        <v>2258</v>
      </c>
      <c r="F383" s="306" t="s">
        <v>2123</v>
      </c>
      <c r="G383" s="306"/>
      <c r="H383" s="213" t="s">
        <v>55</v>
      </c>
      <c r="I383" s="214">
        <v>1</v>
      </c>
      <c r="J383" s="215"/>
      <c r="K383" s="215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</row>
    <row r="384" spans="1:28" ht="26.25" customHeight="1" x14ac:dyDescent="0.25">
      <c r="A384" s="55"/>
      <c r="B384" s="208"/>
      <c r="C384" s="208"/>
      <c r="D384" s="208"/>
      <c r="E384" s="208"/>
      <c r="F384" s="208" t="s">
        <v>463</v>
      </c>
      <c r="G384" s="209"/>
      <c r="H384" s="208" t="s">
        <v>464</v>
      </c>
      <c r="I384" s="209">
        <v>0</v>
      </c>
      <c r="J384" s="208" t="s">
        <v>465</v>
      </c>
      <c r="K384" s="209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</row>
    <row r="385" spans="1:28" ht="15.75" customHeight="1" thickBot="1" x14ac:dyDescent="0.3">
      <c r="A385" s="55"/>
      <c r="B385" s="208"/>
      <c r="C385" s="208"/>
      <c r="D385" s="208"/>
      <c r="E385" s="208"/>
      <c r="F385" s="208" t="s">
        <v>466</v>
      </c>
      <c r="G385" s="209"/>
      <c r="H385" s="208"/>
      <c r="I385" s="307" t="s">
        <v>467</v>
      </c>
      <c r="J385" s="307"/>
      <c r="K385" s="209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</row>
    <row r="386" spans="1:28" ht="26.25" customHeight="1" thickTop="1" x14ac:dyDescent="0.25">
      <c r="A386" s="55"/>
      <c r="B386" s="210"/>
      <c r="C386" s="210"/>
      <c r="D386" s="210"/>
      <c r="E386" s="210"/>
      <c r="F386" s="210"/>
      <c r="G386" s="210"/>
      <c r="H386" s="210"/>
      <c r="I386" s="210"/>
      <c r="J386" s="210"/>
      <c r="K386" s="210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</row>
    <row r="387" spans="1:28" ht="26.25" customHeight="1" x14ac:dyDescent="0.25">
      <c r="A387" s="55"/>
      <c r="B387" s="199" t="s">
        <v>2048</v>
      </c>
      <c r="C387" s="200" t="s">
        <v>32</v>
      </c>
      <c r="D387" s="199" t="s">
        <v>33</v>
      </c>
      <c r="E387" s="199" t="s">
        <v>34</v>
      </c>
      <c r="F387" s="309" t="s">
        <v>453</v>
      </c>
      <c r="G387" s="309"/>
      <c r="H387" s="201" t="s">
        <v>35</v>
      </c>
      <c r="I387" s="200" t="s">
        <v>36</v>
      </c>
      <c r="J387" s="200" t="s">
        <v>37</v>
      </c>
      <c r="K387" s="200" t="s">
        <v>39</v>
      </c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</row>
    <row r="388" spans="1:28" ht="26.25" customHeight="1" x14ac:dyDescent="0.25">
      <c r="A388" s="55"/>
      <c r="B388" s="195" t="s">
        <v>454</v>
      </c>
      <c r="C388" s="196" t="s">
        <v>2052</v>
      </c>
      <c r="D388" s="195" t="s">
        <v>121</v>
      </c>
      <c r="E388" s="195" t="s">
        <v>2053</v>
      </c>
      <c r="F388" s="310" t="s">
        <v>458</v>
      </c>
      <c r="G388" s="310"/>
      <c r="H388" s="197" t="s">
        <v>55</v>
      </c>
      <c r="I388" s="202">
        <v>1</v>
      </c>
      <c r="J388" s="198"/>
      <c r="K388" s="198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</row>
    <row r="389" spans="1:28" ht="26.25" customHeight="1" x14ac:dyDescent="0.25">
      <c r="A389" s="55"/>
      <c r="B389" s="211" t="s">
        <v>472</v>
      </c>
      <c r="C389" s="212" t="s">
        <v>2146</v>
      </c>
      <c r="D389" s="211" t="s">
        <v>121</v>
      </c>
      <c r="E389" s="211" t="s">
        <v>2259</v>
      </c>
      <c r="F389" s="306" t="s">
        <v>2123</v>
      </c>
      <c r="G389" s="306"/>
      <c r="H389" s="213" t="s">
        <v>55</v>
      </c>
      <c r="I389" s="214">
        <v>1</v>
      </c>
      <c r="J389" s="215"/>
      <c r="K389" s="215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</row>
    <row r="390" spans="1:28" ht="26.25" customHeight="1" x14ac:dyDescent="0.25">
      <c r="A390" s="55"/>
      <c r="B390" s="208"/>
      <c r="C390" s="208"/>
      <c r="D390" s="208"/>
      <c r="E390" s="208"/>
      <c r="F390" s="208" t="s">
        <v>463</v>
      </c>
      <c r="G390" s="209"/>
      <c r="H390" s="208" t="s">
        <v>464</v>
      </c>
      <c r="I390" s="209">
        <v>0</v>
      </c>
      <c r="J390" s="208" t="s">
        <v>465</v>
      </c>
      <c r="K390" s="209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</row>
    <row r="391" spans="1:28" ht="26.25" customHeight="1" thickBot="1" x14ac:dyDescent="0.3">
      <c r="A391" s="55"/>
      <c r="B391" s="208"/>
      <c r="C391" s="208"/>
      <c r="D391" s="208"/>
      <c r="E391" s="208"/>
      <c r="F391" s="208" t="s">
        <v>466</v>
      </c>
      <c r="G391" s="209"/>
      <c r="H391" s="208"/>
      <c r="I391" s="307" t="s">
        <v>467</v>
      </c>
      <c r="J391" s="307"/>
      <c r="K391" s="209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</row>
    <row r="392" spans="1:28" ht="26.25" customHeight="1" thickTop="1" x14ac:dyDescent="0.25">
      <c r="A392" s="55"/>
      <c r="B392" s="210"/>
      <c r="C392" s="210"/>
      <c r="D392" s="210"/>
      <c r="E392" s="210"/>
      <c r="F392" s="210"/>
      <c r="G392" s="210"/>
      <c r="H392" s="210"/>
      <c r="I392" s="210"/>
      <c r="J392" s="210"/>
      <c r="K392" s="210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</row>
    <row r="393" spans="1:28" ht="26.25" customHeight="1" x14ac:dyDescent="0.25">
      <c r="A393" s="55"/>
      <c r="B393" s="199" t="s">
        <v>2051</v>
      </c>
      <c r="C393" s="200" t="s">
        <v>32</v>
      </c>
      <c r="D393" s="199" t="s">
        <v>33</v>
      </c>
      <c r="E393" s="199" t="s">
        <v>34</v>
      </c>
      <c r="F393" s="309" t="s">
        <v>453</v>
      </c>
      <c r="G393" s="309"/>
      <c r="H393" s="201" t="s">
        <v>35</v>
      </c>
      <c r="I393" s="200" t="s">
        <v>36</v>
      </c>
      <c r="J393" s="200" t="s">
        <v>37</v>
      </c>
      <c r="K393" s="200" t="s">
        <v>39</v>
      </c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</row>
    <row r="394" spans="1:28" ht="26.25" customHeight="1" x14ac:dyDescent="0.25">
      <c r="A394" s="55"/>
      <c r="B394" s="195" t="s">
        <v>454</v>
      </c>
      <c r="C394" s="196" t="s">
        <v>2055</v>
      </c>
      <c r="D394" s="195" t="s">
        <v>121</v>
      </c>
      <c r="E394" s="195" t="s">
        <v>2056</v>
      </c>
      <c r="F394" s="310" t="s">
        <v>458</v>
      </c>
      <c r="G394" s="310"/>
      <c r="H394" s="197" t="s">
        <v>55</v>
      </c>
      <c r="I394" s="202">
        <v>1</v>
      </c>
      <c r="J394" s="198"/>
      <c r="K394" s="198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</row>
    <row r="395" spans="1:28" ht="14.25" customHeight="1" x14ac:dyDescent="0.25">
      <c r="A395" s="55"/>
      <c r="B395" s="211" t="s">
        <v>472</v>
      </c>
      <c r="C395" s="212" t="s">
        <v>2147</v>
      </c>
      <c r="D395" s="211" t="s">
        <v>121</v>
      </c>
      <c r="E395" s="211" t="s">
        <v>2260</v>
      </c>
      <c r="F395" s="306" t="s">
        <v>2123</v>
      </c>
      <c r="G395" s="306"/>
      <c r="H395" s="213" t="s">
        <v>55</v>
      </c>
      <c r="I395" s="214">
        <v>1</v>
      </c>
      <c r="J395" s="215"/>
      <c r="K395" s="215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</row>
    <row r="396" spans="1:28" ht="14.25" customHeight="1" x14ac:dyDescent="0.25">
      <c r="A396" s="55"/>
      <c r="B396" s="208"/>
      <c r="C396" s="208"/>
      <c r="D396" s="208"/>
      <c r="E396" s="208"/>
      <c r="F396" s="208" t="s">
        <v>463</v>
      </c>
      <c r="G396" s="209"/>
      <c r="H396" s="208" t="s">
        <v>464</v>
      </c>
      <c r="I396" s="209">
        <v>0</v>
      </c>
      <c r="J396" s="208" t="s">
        <v>465</v>
      </c>
      <c r="K396" s="209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</row>
    <row r="397" spans="1:28" ht="14.25" customHeight="1" thickBot="1" x14ac:dyDescent="0.3">
      <c r="A397" s="55"/>
      <c r="B397" s="208"/>
      <c r="C397" s="208"/>
      <c r="D397" s="208"/>
      <c r="E397" s="208"/>
      <c r="F397" s="208" t="s">
        <v>466</v>
      </c>
      <c r="G397" s="209"/>
      <c r="H397" s="208"/>
      <c r="I397" s="307" t="s">
        <v>467</v>
      </c>
      <c r="J397" s="307"/>
      <c r="K397" s="209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</row>
    <row r="398" spans="1:28" ht="14.25" customHeight="1" thickTop="1" x14ac:dyDescent="0.25">
      <c r="A398" s="55"/>
      <c r="B398" s="210"/>
      <c r="C398" s="210"/>
      <c r="D398" s="210"/>
      <c r="E398" s="210"/>
      <c r="F398" s="210"/>
      <c r="G398" s="210"/>
      <c r="H398" s="210"/>
      <c r="I398" s="210"/>
      <c r="J398" s="210"/>
      <c r="K398" s="210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</row>
    <row r="399" spans="1:28" ht="14.25" customHeight="1" x14ac:dyDescent="0.25">
      <c r="A399" s="55"/>
      <c r="B399" s="199" t="s">
        <v>2054</v>
      </c>
      <c r="C399" s="200" t="s">
        <v>32</v>
      </c>
      <c r="D399" s="199" t="s">
        <v>33</v>
      </c>
      <c r="E399" s="199" t="s">
        <v>34</v>
      </c>
      <c r="F399" s="309" t="s">
        <v>453</v>
      </c>
      <c r="G399" s="309"/>
      <c r="H399" s="201" t="s">
        <v>35</v>
      </c>
      <c r="I399" s="200" t="s">
        <v>36</v>
      </c>
      <c r="J399" s="200" t="s">
        <v>37</v>
      </c>
      <c r="K399" s="200" t="s">
        <v>39</v>
      </c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</row>
    <row r="400" spans="1:28" ht="14.25" customHeight="1" x14ac:dyDescent="0.25">
      <c r="A400" s="55"/>
      <c r="B400" s="195" t="s">
        <v>454</v>
      </c>
      <c r="C400" s="196" t="s">
        <v>2058</v>
      </c>
      <c r="D400" s="195" t="s">
        <v>121</v>
      </c>
      <c r="E400" s="195" t="s">
        <v>2059</v>
      </c>
      <c r="F400" s="310" t="s">
        <v>458</v>
      </c>
      <c r="G400" s="310"/>
      <c r="H400" s="197" t="s">
        <v>55</v>
      </c>
      <c r="I400" s="202">
        <v>1</v>
      </c>
      <c r="J400" s="198"/>
      <c r="K400" s="198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</row>
    <row r="401" spans="1:28" ht="14.25" customHeight="1" x14ac:dyDescent="0.25">
      <c r="A401" s="55"/>
      <c r="B401" s="211" t="s">
        <v>472</v>
      </c>
      <c r="C401" s="212" t="s">
        <v>2148</v>
      </c>
      <c r="D401" s="211" t="s">
        <v>121</v>
      </c>
      <c r="E401" s="211" t="s">
        <v>2261</v>
      </c>
      <c r="F401" s="306" t="s">
        <v>2123</v>
      </c>
      <c r="G401" s="306"/>
      <c r="H401" s="213" t="s">
        <v>55</v>
      </c>
      <c r="I401" s="214">
        <v>1</v>
      </c>
      <c r="J401" s="215"/>
      <c r="K401" s="215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</row>
    <row r="402" spans="1:28" ht="14.25" customHeight="1" x14ac:dyDescent="0.25">
      <c r="A402" s="55"/>
      <c r="B402" s="208"/>
      <c r="C402" s="208"/>
      <c r="D402" s="208"/>
      <c r="E402" s="208"/>
      <c r="F402" s="208" t="s">
        <v>463</v>
      </c>
      <c r="G402" s="209"/>
      <c r="H402" s="208" t="s">
        <v>464</v>
      </c>
      <c r="I402" s="209">
        <v>0</v>
      </c>
      <c r="J402" s="208" t="s">
        <v>465</v>
      </c>
      <c r="K402" s="209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</row>
    <row r="403" spans="1:28" ht="14.25" customHeight="1" thickBot="1" x14ac:dyDescent="0.3">
      <c r="A403" s="55"/>
      <c r="B403" s="208"/>
      <c r="C403" s="208"/>
      <c r="D403" s="208"/>
      <c r="E403" s="208"/>
      <c r="F403" s="208" t="s">
        <v>466</v>
      </c>
      <c r="G403" s="209"/>
      <c r="H403" s="208"/>
      <c r="I403" s="307" t="s">
        <v>467</v>
      </c>
      <c r="J403" s="307"/>
      <c r="K403" s="209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</row>
    <row r="404" spans="1:28" ht="14.25" customHeight="1" thickTop="1" x14ac:dyDescent="0.25">
      <c r="A404" s="55"/>
      <c r="B404" s="210"/>
      <c r="C404" s="210"/>
      <c r="D404" s="210"/>
      <c r="E404" s="210"/>
      <c r="F404" s="210"/>
      <c r="G404" s="210"/>
      <c r="H404" s="210"/>
      <c r="I404" s="210"/>
      <c r="J404" s="210"/>
      <c r="K404" s="210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</row>
    <row r="405" spans="1:28" ht="14.25" customHeight="1" x14ac:dyDescent="0.25">
      <c r="A405" s="55"/>
      <c r="B405" s="199" t="s">
        <v>2057</v>
      </c>
      <c r="C405" s="200" t="s">
        <v>32</v>
      </c>
      <c r="D405" s="199" t="s">
        <v>33</v>
      </c>
      <c r="E405" s="199" t="s">
        <v>34</v>
      </c>
      <c r="F405" s="309" t="s">
        <v>453</v>
      </c>
      <c r="G405" s="309"/>
      <c r="H405" s="201" t="s">
        <v>35</v>
      </c>
      <c r="I405" s="200" t="s">
        <v>36</v>
      </c>
      <c r="J405" s="200" t="s">
        <v>37</v>
      </c>
      <c r="K405" s="200" t="s">
        <v>39</v>
      </c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</row>
    <row r="406" spans="1:28" ht="14.25" customHeight="1" x14ac:dyDescent="0.25">
      <c r="A406" s="55"/>
      <c r="B406" s="195" t="s">
        <v>454</v>
      </c>
      <c r="C406" s="196" t="s">
        <v>2061</v>
      </c>
      <c r="D406" s="195" t="s">
        <v>121</v>
      </c>
      <c r="E406" s="195" t="s">
        <v>2062</v>
      </c>
      <c r="F406" s="310" t="s">
        <v>458</v>
      </c>
      <c r="G406" s="310"/>
      <c r="H406" s="197" t="s">
        <v>55</v>
      </c>
      <c r="I406" s="202">
        <v>1</v>
      </c>
      <c r="J406" s="198"/>
      <c r="K406" s="198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</row>
    <row r="407" spans="1:28" ht="14.25" customHeight="1" x14ac:dyDescent="0.25">
      <c r="A407" s="55"/>
      <c r="B407" s="211" t="s">
        <v>472</v>
      </c>
      <c r="C407" s="212" t="s">
        <v>2149</v>
      </c>
      <c r="D407" s="211" t="s">
        <v>121</v>
      </c>
      <c r="E407" s="211" t="s">
        <v>2262</v>
      </c>
      <c r="F407" s="306" t="s">
        <v>2123</v>
      </c>
      <c r="G407" s="306"/>
      <c r="H407" s="213" t="s">
        <v>55</v>
      </c>
      <c r="I407" s="214">
        <v>1</v>
      </c>
      <c r="J407" s="215"/>
      <c r="K407" s="215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</row>
    <row r="408" spans="1:28" ht="14.25" customHeight="1" x14ac:dyDescent="0.25">
      <c r="A408" s="55"/>
      <c r="B408" s="208"/>
      <c r="C408" s="208"/>
      <c r="D408" s="208"/>
      <c r="E408" s="208"/>
      <c r="F408" s="208" t="s">
        <v>463</v>
      </c>
      <c r="G408" s="209"/>
      <c r="H408" s="208" t="s">
        <v>464</v>
      </c>
      <c r="I408" s="209">
        <v>0</v>
      </c>
      <c r="J408" s="208" t="s">
        <v>465</v>
      </c>
      <c r="K408" s="209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</row>
    <row r="409" spans="1:28" ht="14.25" customHeight="1" thickBot="1" x14ac:dyDescent="0.3">
      <c r="A409" s="55"/>
      <c r="B409" s="208"/>
      <c r="C409" s="208"/>
      <c r="D409" s="208"/>
      <c r="E409" s="208"/>
      <c r="F409" s="208" t="s">
        <v>466</v>
      </c>
      <c r="G409" s="209"/>
      <c r="H409" s="208"/>
      <c r="I409" s="307" t="s">
        <v>467</v>
      </c>
      <c r="J409" s="307"/>
      <c r="K409" s="209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</row>
    <row r="410" spans="1:28" ht="14.25" customHeight="1" thickTop="1" x14ac:dyDescent="0.25">
      <c r="A410" s="55"/>
      <c r="B410" s="210"/>
      <c r="C410" s="210"/>
      <c r="D410" s="210"/>
      <c r="E410" s="210"/>
      <c r="F410" s="210"/>
      <c r="G410" s="210"/>
      <c r="H410" s="210"/>
      <c r="I410" s="210"/>
      <c r="J410" s="210"/>
      <c r="K410" s="210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</row>
    <row r="411" spans="1:28" ht="14.25" customHeight="1" x14ac:dyDescent="0.25">
      <c r="A411" s="55"/>
      <c r="B411" s="199" t="s">
        <v>2060</v>
      </c>
      <c r="C411" s="200" t="s">
        <v>32</v>
      </c>
      <c r="D411" s="199" t="s">
        <v>33</v>
      </c>
      <c r="E411" s="199" t="s">
        <v>34</v>
      </c>
      <c r="F411" s="309" t="s">
        <v>453</v>
      </c>
      <c r="G411" s="309"/>
      <c r="H411" s="201" t="s">
        <v>35</v>
      </c>
      <c r="I411" s="200" t="s">
        <v>36</v>
      </c>
      <c r="J411" s="200" t="s">
        <v>37</v>
      </c>
      <c r="K411" s="200" t="s">
        <v>39</v>
      </c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</row>
    <row r="412" spans="1:28" ht="14.25" customHeight="1" x14ac:dyDescent="0.25">
      <c r="A412" s="55"/>
      <c r="B412" s="195" t="s">
        <v>454</v>
      </c>
      <c r="C412" s="196" t="s">
        <v>2064</v>
      </c>
      <c r="D412" s="195" t="s">
        <v>121</v>
      </c>
      <c r="E412" s="195" t="s">
        <v>2065</v>
      </c>
      <c r="F412" s="310" t="s">
        <v>458</v>
      </c>
      <c r="G412" s="310"/>
      <c r="H412" s="197" t="s">
        <v>55</v>
      </c>
      <c r="I412" s="202">
        <v>1</v>
      </c>
      <c r="J412" s="198"/>
      <c r="K412" s="198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</row>
    <row r="413" spans="1:28" ht="14.25" customHeight="1" x14ac:dyDescent="0.25">
      <c r="A413" s="55"/>
      <c r="B413" s="211" t="s">
        <v>472</v>
      </c>
      <c r="C413" s="212" t="s">
        <v>2150</v>
      </c>
      <c r="D413" s="211" t="s">
        <v>121</v>
      </c>
      <c r="E413" s="211" t="s">
        <v>2263</v>
      </c>
      <c r="F413" s="306" t="s">
        <v>2123</v>
      </c>
      <c r="G413" s="306"/>
      <c r="H413" s="213" t="s">
        <v>55</v>
      </c>
      <c r="I413" s="214">
        <v>1</v>
      </c>
      <c r="J413" s="215"/>
      <c r="K413" s="215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</row>
    <row r="414" spans="1:28" ht="14.25" customHeight="1" x14ac:dyDescent="0.25">
      <c r="A414" s="55"/>
      <c r="B414" s="208"/>
      <c r="C414" s="208"/>
      <c r="D414" s="208"/>
      <c r="E414" s="208"/>
      <c r="F414" s="208" t="s">
        <v>463</v>
      </c>
      <c r="G414" s="209"/>
      <c r="H414" s="208" t="s">
        <v>464</v>
      </c>
      <c r="I414" s="209">
        <v>0</v>
      </c>
      <c r="J414" s="208" t="s">
        <v>465</v>
      </c>
      <c r="K414" s="209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</row>
    <row r="415" spans="1:28" ht="14.25" customHeight="1" thickBot="1" x14ac:dyDescent="0.3">
      <c r="A415" s="55"/>
      <c r="B415" s="208"/>
      <c r="C415" s="208"/>
      <c r="D415" s="208"/>
      <c r="E415" s="208"/>
      <c r="F415" s="208" t="s">
        <v>466</v>
      </c>
      <c r="G415" s="209"/>
      <c r="H415" s="208"/>
      <c r="I415" s="307" t="s">
        <v>467</v>
      </c>
      <c r="J415" s="307"/>
      <c r="K415" s="209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</row>
    <row r="416" spans="1:28" ht="14.25" customHeight="1" thickTop="1" x14ac:dyDescent="0.25">
      <c r="A416" s="55"/>
      <c r="B416" s="210"/>
      <c r="C416" s="210"/>
      <c r="D416" s="210"/>
      <c r="E416" s="210"/>
      <c r="F416" s="210"/>
      <c r="G416" s="210"/>
      <c r="H416" s="210"/>
      <c r="I416" s="210"/>
      <c r="J416" s="210"/>
      <c r="K416" s="210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</row>
    <row r="417" spans="1:28" ht="14.25" customHeight="1" x14ac:dyDescent="0.25">
      <c r="A417" s="55"/>
      <c r="B417" s="199" t="s">
        <v>2063</v>
      </c>
      <c r="C417" s="200" t="s">
        <v>32</v>
      </c>
      <c r="D417" s="199" t="s">
        <v>33</v>
      </c>
      <c r="E417" s="199" t="s">
        <v>34</v>
      </c>
      <c r="F417" s="309" t="s">
        <v>453</v>
      </c>
      <c r="G417" s="309"/>
      <c r="H417" s="201" t="s">
        <v>35</v>
      </c>
      <c r="I417" s="200" t="s">
        <v>36</v>
      </c>
      <c r="J417" s="200" t="s">
        <v>37</v>
      </c>
      <c r="K417" s="200" t="s">
        <v>39</v>
      </c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</row>
    <row r="418" spans="1:28" ht="14.25" customHeight="1" x14ac:dyDescent="0.25">
      <c r="A418" s="55"/>
      <c r="B418" s="195" t="s">
        <v>454</v>
      </c>
      <c r="C418" s="196" t="s">
        <v>2067</v>
      </c>
      <c r="D418" s="195" t="s">
        <v>121</v>
      </c>
      <c r="E418" s="195" t="s">
        <v>2068</v>
      </c>
      <c r="F418" s="310" t="s">
        <v>458</v>
      </c>
      <c r="G418" s="310"/>
      <c r="H418" s="197" t="s">
        <v>55</v>
      </c>
      <c r="I418" s="202">
        <v>1</v>
      </c>
      <c r="J418" s="198"/>
      <c r="K418" s="198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</row>
    <row r="419" spans="1:28" ht="14.25" customHeight="1" x14ac:dyDescent="0.25">
      <c r="A419" s="55"/>
      <c r="B419" s="211" t="s">
        <v>472</v>
      </c>
      <c r="C419" s="212" t="s">
        <v>2151</v>
      </c>
      <c r="D419" s="211" t="s">
        <v>121</v>
      </c>
      <c r="E419" s="211" t="s">
        <v>2068</v>
      </c>
      <c r="F419" s="306" t="s">
        <v>2123</v>
      </c>
      <c r="G419" s="306"/>
      <c r="H419" s="213" t="s">
        <v>55</v>
      </c>
      <c r="I419" s="214">
        <v>1</v>
      </c>
      <c r="J419" s="215"/>
      <c r="K419" s="215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</row>
    <row r="420" spans="1:28" ht="14.25" customHeight="1" x14ac:dyDescent="0.25">
      <c r="A420" s="55"/>
      <c r="B420" s="208"/>
      <c r="C420" s="208"/>
      <c r="D420" s="208"/>
      <c r="E420" s="208"/>
      <c r="F420" s="208" t="s">
        <v>463</v>
      </c>
      <c r="G420" s="209"/>
      <c r="H420" s="208" t="s">
        <v>464</v>
      </c>
      <c r="I420" s="209">
        <v>0</v>
      </c>
      <c r="J420" s="208" t="s">
        <v>465</v>
      </c>
      <c r="K420" s="209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</row>
    <row r="421" spans="1:28" ht="14.25" customHeight="1" thickBot="1" x14ac:dyDescent="0.3">
      <c r="A421" s="55"/>
      <c r="B421" s="208"/>
      <c r="C421" s="208"/>
      <c r="D421" s="208"/>
      <c r="E421" s="208"/>
      <c r="F421" s="208" t="s">
        <v>466</v>
      </c>
      <c r="G421" s="209"/>
      <c r="H421" s="208"/>
      <c r="I421" s="307" t="s">
        <v>467</v>
      </c>
      <c r="J421" s="307"/>
      <c r="K421" s="209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</row>
    <row r="422" spans="1:28" ht="14.25" customHeight="1" thickTop="1" x14ac:dyDescent="0.25">
      <c r="A422" s="55"/>
      <c r="B422" s="210"/>
      <c r="C422" s="210"/>
      <c r="D422" s="210"/>
      <c r="E422" s="210"/>
      <c r="F422" s="210"/>
      <c r="G422" s="210"/>
      <c r="H422" s="210"/>
      <c r="I422" s="210"/>
      <c r="J422" s="210"/>
      <c r="K422" s="210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</row>
    <row r="423" spans="1:28" ht="14.25" customHeight="1" x14ac:dyDescent="0.25">
      <c r="A423" s="55"/>
      <c r="B423" s="199" t="s">
        <v>2066</v>
      </c>
      <c r="C423" s="200" t="s">
        <v>32</v>
      </c>
      <c r="D423" s="199" t="s">
        <v>33</v>
      </c>
      <c r="E423" s="199" t="s">
        <v>34</v>
      </c>
      <c r="F423" s="309" t="s">
        <v>453</v>
      </c>
      <c r="G423" s="309"/>
      <c r="H423" s="201" t="s">
        <v>35</v>
      </c>
      <c r="I423" s="200" t="s">
        <v>36</v>
      </c>
      <c r="J423" s="200" t="s">
        <v>37</v>
      </c>
      <c r="K423" s="200" t="s">
        <v>39</v>
      </c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</row>
    <row r="424" spans="1:28" ht="14.25" customHeight="1" x14ac:dyDescent="0.25">
      <c r="A424" s="55"/>
      <c r="B424" s="195" t="s">
        <v>454</v>
      </c>
      <c r="C424" s="196" t="s">
        <v>2070</v>
      </c>
      <c r="D424" s="195" t="s">
        <v>121</v>
      </c>
      <c r="E424" s="195" t="s">
        <v>2071</v>
      </c>
      <c r="F424" s="310" t="s">
        <v>458</v>
      </c>
      <c r="G424" s="310"/>
      <c r="H424" s="197" t="s">
        <v>55</v>
      </c>
      <c r="I424" s="202">
        <v>1</v>
      </c>
      <c r="J424" s="198"/>
      <c r="K424" s="198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</row>
    <row r="425" spans="1:28" ht="14.25" customHeight="1" x14ac:dyDescent="0.25">
      <c r="A425" s="55"/>
      <c r="B425" s="211" t="s">
        <v>472</v>
      </c>
      <c r="C425" s="212" t="s">
        <v>2152</v>
      </c>
      <c r="D425" s="211" t="s">
        <v>121</v>
      </c>
      <c r="E425" s="211" t="s">
        <v>2071</v>
      </c>
      <c r="F425" s="306" t="s">
        <v>2123</v>
      </c>
      <c r="G425" s="306"/>
      <c r="H425" s="213" t="s">
        <v>55</v>
      </c>
      <c r="I425" s="214">
        <v>1</v>
      </c>
      <c r="J425" s="215"/>
      <c r="K425" s="215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</row>
    <row r="426" spans="1:28" ht="14.25" customHeight="1" x14ac:dyDescent="0.25">
      <c r="A426" s="55"/>
      <c r="B426" s="208"/>
      <c r="C426" s="208"/>
      <c r="D426" s="208"/>
      <c r="E426" s="208"/>
      <c r="F426" s="208" t="s">
        <v>463</v>
      </c>
      <c r="G426" s="209"/>
      <c r="H426" s="208" t="s">
        <v>464</v>
      </c>
      <c r="I426" s="209">
        <v>0</v>
      </c>
      <c r="J426" s="208" t="s">
        <v>465</v>
      </c>
      <c r="K426" s="209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</row>
    <row r="427" spans="1:28" ht="14.25" customHeight="1" thickBot="1" x14ac:dyDescent="0.3">
      <c r="A427" s="55"/>
      <c r="B427" s="208"/>
      <c r="C427" s="208"/>
      <c r="D427" s="208"/>
      <c r="E427" s="208"/>
      <c r="F427" s="208" t="s">
        <v>466</v>
      </c>
      <c r="G427" s="209"/>
      <c r="H427" s="208"/>
      <c r="I427" s="307" t="s">
        <v>467</v>
      </c>
      <c r="J427" s="307"/>
      <c r="K427" s="209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</row>
    <row r="428" spans="1:28" ht="14.25" customHeight="1" thickTop="1" x14ac:dyDescent="0.25">
      <c r="A428" s="55"/>
      <c r="B428" s="210"/>
      <c r="C428" s="210"/>
      <c r="D428" s="210"/>
      <c r="E428" s="210"/>
      <c r="F428" s="210"/>
      <c r="G428" s="210"/>
      <c r="H428" s="210"/>
      <c r="I428" s="210"/>
      <c r="J428" s="210"/>
      <c r="K428" s="210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</row>
    <row r="429" spans="1:28" ht="14.25" customHeight="1" x14ac:dyDescent="0.25">
      <c r="A429" s="55"/>
      <c r="B429" s="199" t="s">
        <v>2069</v>
      </c>
      <c r="C429" s="200" t="s">
        <v>32</v>
      </c>
      <c r="D429" s="199" t="s">
        <v>33</v>
      </c>
      <c r="E429" s="199" t="s">
        <v>34</v>
      </c>
      <c r="F429" s="309" t="s">
        <v>453</v>
      </c>
      <c r="G429" s="309"/>
      <c r="H429" s="201" t="s">
        <v>35</v>
      </c>
      <c r="I429" s="200" t="s">
        <v>36</v>
      </c>
      <c r="J429" s="200" t="s">
        <v>37</v>
      </c>
      <c r="K429" s="200" t="s">
        <v>39</v>
      </c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</row>
    <row r="430" spans="1:28" ht="14.25" customHeight="1" x14ac:dyDescent="0.25">
      <c r="A430" s="55"/>
      <c r="B430" s="195" t="s">
        <v>454</v>
      </c>
      <c r="C430" s="196" t="s">
        <v>2073</v>
      </c>
      <c r="D430" s="195" t="s">
        <v>121</v>
      </c>
      <c r="E430" s="195" t="s">
        <v>2074</v>
      </c>
      <c r="F430" s="310" t="s">
        <v>458</v>
      </c>
      <c r="G430" s="310"/>
      <c r="H430" s="197" t="s">
        <v>55</v>
      </c>
      <c r="I430" s="202">
        <v>1</v>
      </c>
      <c r="J430" s="198"/>
      <c r="K430" s="198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</row>
    <row r="431" spans="1:28" ht="14.25" customHeight="1" x14ac:dyDescent="0.25">
      <c r="A431" s="55"/>
      <c r="B431" s="211" t="s">
        <v>472</v>
      </c>
      <c r="C431" s="212" t="s">
        <v>2153</v>
      </c>
      <c r="D431" s="211" t="s">
        <v>121</v>
      </c>
      <c r="E431" s="211" t="s">
        <v>2264</v>
      </c>
      <c r="F431" s="306" t="s">
        <v>2123</v>
      </c>
      <c r="G431" s="306"/>
      <c r="H431" s="213" t="s">
        <v>55</v>
      </c>
      <c r="I431" s="214">
        <v>1</v>
      </c>
      <c r="J431" s="215"/>
      <c r="K431" s="215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</row>
    <row r="432" spans="1:28" ht="14.25" customHeight="1" x14ac:dyDescent="0.25">
      <c r="A432" s="55"/>
      <c r="B432" s="208"/>
      <c r="C432" s="208"/>
      <c r="D432" s="208"/>
      <c r="E432" s="208"/>
      <c r="F432" s="208" t="s">
        <v>463</v>
      </c>
      <c r="G432" s="209"/>
      <c r="H432" s="208" t="s">
        <v>464</v>
      </c>
      <c r="I432" s="209">
        <v>0</v>
      </c>
      <c r="J432" s="208" t="s">
        <v>465</v>
      </c>
      <c r="K432" s="209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</row>
    <row r="433" spans="1:28" ht="14.25" customHeight="1" thickBot="1" x14ac:dyDescent="0.3">
      <c r="A433" s="55"/>
      <c r="B433" s="208"/>
      <c r="C433" s="208"/>
      <c r="D433" s="208"/>
      <c r="E433" s="208"/>
      <c r="F433" s="208" t="s">
        <v>466</v>
      </c>
      <c r="G433" s="209"/>
      <c r="H433" s="208"/>
      <c r="I433" s="307" t="s">
        <v>467</v>
      </c>
      <c r="J433" s="307"/>
      <c r="K433" s="209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</row>
    <row r="434" spans="1:28" ht="14.25" customHeight="1" thickTop="1" x14ac:dyDescent="0.25">
      <c r="A434" s="55"/>
      <c r="B434" s="210"/>
      <c r="C434" s="210"/>
      <c r="D434" s="210"/>
      <c r="E434" s="210"/>
      <c r="F434" s="210"/>
      <c r="G434" s="210"/>
      <c r="H434" s="210"/>
      <c r="I434" s="210"/>
      <c r="J434" s="210"/>
      <c r="K434" s="210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</row>
    <row r="435" spans="1:28" ht="14.25" customHeight="1" x14ac:dyDescent="0.25">
      <c r="A435" s="55"/>
      <c r="B435" s="199" t="s">
        <v>2072</v>
      </c>
      <c r="C435" s="200" t="s">
        <v>32</v>
      </c>
      <c r="D435" s="199" t="s">
        <v>33</v>
      </c>
      <c r="E435" s="199" t="s">
        <v>34</v>
      </c>
      <c r="F435" s="309" t="s">
        <v>453</v>
      </c>
      <c r="G435" s="309"/>
      <c r="H435" s="201" t="s">
        <v>35</v>
      </c>
      <c r="I435" s="200" t="s">
        <v>36</v>
      </c>
      <c r="J435" s="200" t="s">
        <v>37</v>
      </c>
      <c r="K435" s="200" t="s">
        <v>39</v>
      </c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</row>
    <row r="436" spans="1:28" ht="14.25" customHeight="1" x14ac:dyDescent="0.25">
      <c r="A436" s="55"/>
      <c r="B436" s="195" t="s">
        <v>454</v>
      </c>
      <c r="C436" s="196" t="s">
        <v>2076</v>
      </c>
      <c r="D436" s="195" t="s">
        <v>121</v>
      </c>
      <c r="E436" s="195" t="s">
        <v>2077</v>
      </c>
      <c r="F436" s="310" t="s">
        <v>458</v>
      </c>
      <c r="G436" s="310"/>
      <c r="H436" s="197" t="s">
        <v>55</v>
      </c>
      <c r="I436" s="202">
        <v>1</v>
      </c>
      <c r="J436" s="198"/>
      <c r="K436" s="198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</row>
    <row r="437" spans="1:28" ht="14.25" customHeight="1" x14ac:dyDescent="0.25">
      <c r="A437" s="55"/>
      <c r="B437" s="211" t="s">
        <v>472</v>
      </c>
      <c r="C437" s="212" t="s">
        <v>2154</v>
      </c>
      <c r="D437" s="211" t="s">
        <v>121</v>
      </c>
      <c r="E437" s="211" t="s">
        <v>2265</v>
      </c>
      <c r="F437" s="306" t="s">
        <v>2123</v>
      </c>
      <c r="G437" s="306"/>
      <c r="H437" s="213" t="s">
        <v>55</v>
      </c>
      <c r="I437" s="214">
        <v>1</v>
      </c>
      <c r="J437" s="215"/>
      <c r="K437" s="215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</row>
    <row r="438" spans="1:28" ht="14.25" customHeight="1" x14ac:dyDescent="0.25">
      <c r="A438" s="55"/>
      <c r="B438" s="208"/>
      <c r="C438" s="208"/>
      <c r="D438" s="208"/>
      <c r="E438" s="208"/>
      <c r="F438" s="208" t="s">
        <v>463</v>
      </c>
      <c r="G438" s="209"/>
      <c r="H438" s="208" t="s">
        <v>464</v>
      </c>
      <c r="I438" s="209">
        <v>0</v>
      </c>
      <c r="J438" s="208" t="s">
        <v>465</v>
      </c>
      <c r="K438" s="209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</row>
    <row r="439" spans="1:28" ht="14.25" customHeight="1" thickBot="1" x14ac:dyDescent="0.3">
      <c r="A439" s="55"/>
      <c r="B439" s="208"/>
      <c r="C439" s="208"/>
      <c r="D439" s="208"/>
      <c r="E439" s="208"/>
      <c r="F439" s="208" t="s">
        <v>466</v>
      </c>
      <c r="G439" s="209"/>
      <c r="H439" s="208"/>
      <c r="I439" s="307" t="s">
        <v>467</v>
      </c>
      <c r="J439" s="307"/>
      <c r="K439" s="209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</row>
    <row r="440" spans="1:28" ht="14.25" customHeight="1" thickTop="1" x14ac:dyDescent="0.25">
      <c r="A440" s="55"/>
      <c r="B440" s="210"/>
      <c r="C440" s="210"/>
      <c r="D440" s="210"/>
      <c r="E440" s="210"/>
      <c r="F440" s="210"/>
      <c r="G440" s="210"/>
      <c r="H440" s="210"/>
      <c r="I440" s="210"/>
      <c r="J440" s="210"/>
      <c r="K440" s="210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</row>
    <row r="441" spans="1:28" ht="14.25" customHeight="1" x14ac:dyDescent="0.25">
      <c r="A441" s="55"/>
      <c r="B441" s="199" t="s">
        <v>2075</v>
      </c>
      <c r="C441" s="200" t="s">
        <v>32</v>
      </c>
      <c r="D441" s="199" t="s">
        <v>33</v>
      </c>
      <c r="E441" s="199" t="s">
        <v>34</v>
      </c>
      <c r="F441" s="309" t="s">
        <v>453</v>
      </c>
      <c r="G441" s="309"/>
      <c r="H441" s="201" t="s">
        <v>35</v>
      </c>
      <c r="I441" s="200" t="s">
        <v>36</v>
      </c>
      <c r="J441" s="200" t="s">
        <v>37</v>
      </c>
      <c r="K441" s="200" t="s">
        <v>39</v>
      </c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</row>
    <row r="442" spans="1:28" ht="14.25" customHeight="1" x14ac:dyDescent="0.25">
      <c r="A442" s="55"/>
      <c r="B442" s="195" t="s">
        <v>454</v>
      </c>
      <c r="C442" s="196" t="s">
        <v>2079</v>
      </c>
      <c r="D442" s="195" t="s">
        <v>121</v>
      </c>
      <c r="E442" s="195" t="s">
        <v>2080</v>
      </c>
      <c r="F442" s="310" t="s">
        <v>458</v>
      </c>
      <c r="G442" s="310"/>
      <c r="H442" s="197" t="s">
        <v>55</v>
      </c>
      <c r="I442" s="202">
        <v>1</v>
      </c>
      <c r="J442" s="198"/>
      <c r="K442" s="198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</row>
    <row r="443" spans="1:28" ht="14.25" customHeight="1" x14ac:dyDescent="0.25">
      <c r="A443" s="55"/>
      <c r="B443" s="211" t="s">
        <v>472</v>
      </c>
      <c r="C443" s="212" t="s">
        <v>2155</v>
      </c>
      <c r="D443" s="211" t="s">
        <v>121</v>
      </c>
      <c r="E443" s="211" t="s">
        <v>2266</v>
      </c>
      <c r="F443" s="306" t="s">
        <v>2123</v>
      </c>
      <c r="G443" s="306"/>
      <c r="H443" s="213" t="s">
        <v>55</v>
      </c>
      <c r="I443" s="214">
        <v>1</v>
      </c>
      <c r="J443" s="215"/>
      <c r="K443" s="215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</row>
    <row r="444" spans="1:28" ht="14.25" customHeight="1" x14ac:dyDescent="0.25">
      <c r="A444" s="55"/>
      <c r="B444" s="208"/>
      <c r="C444" s="208"/>
      <c r="D444" s="208"/>
      <c r="E444" s="208"/>
      <c r="F444" s="208" t="s">
        <v>463</v>
      </c>
      <c r="G444" s="209"/>
      <c r="H444" s="208" t="s">
        <v>464</v>
      </c>
      <c r="I444" s="209">
        <v>0</v>
      </c>
      <c r="J444" s="208" t="s">
        <v>465</v>
      </c>
      <c r="K444" s="209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</row>
    <row r="445" spans="1:28" ht="14.25" customHeight="1" thickBot="1" x14ac:dyDescent="0.3">
      <c r="A445" s="55"/>
      <c r="B445" s="208"/>
      <c r="C445" s="208"/>
      <c r="D445" s="208"/>
      <c r="E445" s="208"/>
      <c r="F445" s="208" t="s">
        <v>466</v>
      </c>
      <c r="G445" s="209"/>
      <c r="H445" s="208"/>
      <c r="I445" s="307" t="s">
        <v>467</v>
      </c>
      <c r="J445" s="307"/>
      <c r="K445" s="209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</row>
    <row r="446" spans="1:28" ht="14.25" customHeight="1" thickTop="1" x14ac:dyDescent="0.25">
      <c r="A446" s="55"/>
      <c r="B446" s="210"/>
      <c r="C446" s="210"/>
      <c r="D446" s="210"/>
      <c r="E446" s="210"/>
      <c r="F446" s="210"/>
      <c r="G446" s="210"/>
      <c r="H446" s="210"/>
      <c r="I446" s="210"/>
      <c r="J446" s="210"/>
      <c r="K446" s="210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</row>
    <row r="447" spans="1:28" ht="14.25" customHeight="1" x14ac:dyDescent="0.25">
      <c r="A447" s="55"/>
      <c r="B447" s="199" t="s">
        <v>2078</v>
      </c>
      <c r="C447" s="200" t="s">
        <v>32</v>
      </c>
      <c r="D447" s="199" t="s">
        <v>33</v>
      </c>
      <c r="E447" s="199" t="s">
        <v>34</v>
      </c>
      <c r="F447" s="309" t="s">
        <v>453</v>
      </c>
      <c r="G447" s="309"/>
      <c r="H447" s="201" t="s">
        <v>35</v>
      </c>
      <c r="I447" s="200" t="s">
        <v>36</v>
      </c>
      <c r="J447" s="200" t="s">
        <v>37</v>
      </c>
      <c r="K447" s="200" t="s">
        <v>39</v>
      </c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</row>
    <row r="448" spans="1:28" ht="14.25" customHeight="1" x14ac:dyDescent="0.25">
      <c r="A448" s="55"/>
      <c r="B448" s="195" t="s">
        <v>454</v>
      </c>
      <c r="C448" s="196" t="s">
        <v>2082</v>
      </c>
      <c r="D448" s="195" t="s">
        <v>121</v>
      </c>
      <c r="E448" s="195" t="s">
        <v>2083</v>
      </c>
      <c r="F448" s="310" t="s">
        <v>458</v>
      </c>
      <c r="G448" s="310"/>
      <c r="H448" s="197" t="s">
        <v>55</v>
      </c>
      <c r="I448" s="202">
        <v>1</v>
      </c>
      <c r="J448" s="198"/>
      <c r="K448" s="198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</row>
    <row r="449" spans="1:28" ht="14.25" customHeight="1" x14ac:dyDescent="0.25">
      <c r="A449" s="55"/>
      <c r="B449" s="211" t="s">
        <v>472</v>
      </c>
      <c r="C449" s="212" t="s">
        <v>2156</v>
      </c>
      <c r="D449" s="211" t="s">
        <v>121</v>
      </c>
      <c r="E449" s="211" t="s">
        <v>2267</v>
      </c>
      <c r="F449" s="306" t="s">
        <v>2123</v>
      </c>
      <c r="G449" s="306"/>
      <c r="H449" s="213" t="s">
        <v>55</v>
      </c>
      <c r="I449" s="214">
        <v>1</v>
      </c>
      <c r="J449" s="215"/>
      <c r="K449" s="215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</row>
    <row r="450" spans="1:28" ht="14.25" customHeight="1" x14ac:dyDescent="0.25">
      <c r="A450" s="55"/>
      <c r="B450" s="208"/>
      <c r="C450" s="208"/>
      <c r="D450" s="208"/>
      <c r="E450" s="208"/>
      <c r="F450" s="208" t="s">
        <v>463</v>
      </c>
      <c r="G450" s="209"/>
      <c r="H450" s="208" t="s">
        <v>464</v>
      </c>
      <c r="I450" s="209">
        <v>0</v>
      </c>
      <c r="J450" s="208" t="s">
        <v>465</v>
      </c>
      <c r="K450" s="209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</row>
    <row r="451" spans="1:28" ht="14.25" customHeight="1" thickBot="1" x14ac:dyDescent="0.3">
      <c r="A451" s="55"/>
      <c r="B451" s="208"/>
      <c r="C451" s="208"/>
      <c r="D451" s="208"/>
      <c r="E451" s="208"/>
      <c r="F451" s="208" t="s">
        <v>466</v>
      </c>
      <c r="G451" s="209"/>
      <c r="H451" s="208"/>
      <c r="I451" s="307" t="s">
        <v>467</v>
      </c>
      <c r="J451" s="307"/>
      <c r="K451" s="209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</row>
    <row r="452" spans="1:28" ht="14.25" customHeight="1" thickTop="1" x14ac:dyDescent="0.25">
      <c r="A452" s="55"/>
      <c r="B452" s="210"/>
      <c r="C452" s="210"/>
      <c r="D452" s="210"/>
      <c r="E452" s="210"/>
      <c r="F452" s="210"/>
      <c r="G452" s="210"/>
      <c r="H452" s="210"/>
      <c r="I452" s="210"/>
      <c r="J452" s="210"/>
      <c r="K452" s="210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</row>
    <row r="453" spans="1:28" ht="14.25" customHeight="1" x14ac:dyDescent="0.25">
      <c r="A453" s="55"/>
      <c r="B453" s="199" t="s">
        <v>2081</v>
      </c>
      <c r="C453" s="200" t="s">
        <v>32</v>
      </c>
      <c r="D453" s="199" t="s">
        <v>33</v>
      </c>
      <c r="E453" s="199" t="s">
        <v>34</v>
      </c>
      <c r="F453" s="309" t="s">
        <v>453</v>
      </c>
      <c r="G453" s="309"/>
      <c r="H453" s="201" t="s">
        <v>35</v>
      </c>
      <c r="I453" s="200" t="s">
        <v>36</v>
      </c>
      <c r="J453" s="200" t="s">
        <v>37</v>
      </c>
      <c r="K453" s="200" t="s">
        <v>39</v>
      </c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</row>
    <row r="454" spans="1:28" ht="14.25" customHeight="1" x14ac:dyDescent="0.25">
      <c r="A454" s="55"/>
      <c r="B454" s="195" t="s">
        <v>454</v>
      </c>
      <c r="C454" s="196" t="s">
        <v>2085</v>
      </c>
      <c r="D454" s="195" t="s">
        <v>121</v>
      </c>
      <c r="E454" s="195" t="s">
        <v>2086</v>
      </c>
      <c r="F454" s="310" t="s">
        <v>458</v>
      </c>
      <c r="G454" s="310"/>
      <c r="H454" s="197" t="s">
        <v>55</v>
      </c>
      <c r="I454" s="202">
        <v>1</v>
      </c>
      <c r="J454" s="198"/>
      <c r="K454" s="198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</row>
    <row r="455" spans="1:28" ht="14.25" customHeight="1" x14ac:dyDescent="0.25">
      <c r="A455" s="55"/>
      <c r="B455" s="211" t="s">
        <v>472</v>
      </c>
      <c r="C455" s="212" t="s">
        <v>2157</v>
      </c>
      <c r="D455" s="211" t="s">
        <v>121</v>
      </c>
      <c r="E455" s="211" t="s">
        <v>2268</v>
      </c>
      <c r="F455" s="306" t="s">
        <v>2123</v>
      </c>
      <c r="G455" s="306"/>
      <c r="H455" s="213" t="s">
        <v>55</v>
      </c>
      <c r="I455" s="214">
        <v>1</v>
      </c>
      <c r="J455" s="215"/>
      <c r="K455" s="215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</row>
    <row r="456" spans="1:28" ht="14.25" customHeight="1" x14ac:dyDescent="0.25">
      <c r="A456" s="55"/>
      <c r="B456" s="208"/>
      <c r="C456" s="208"/>
      <c r="D456" s="208"/>
      <c r="E456" s="208"/>
      <c r="F456" s="208" t="s">
        <v>463</v>
      </c>
      <c r="G456" s="209"/>
      <c r="H456" s="208" t="s">
        <v>464</v>
      </c>
      <c r="I456" s="209">
        <v>0</v>
      </c>
      <c r="J456" s="208" t="s">
        <v>465</v>
      </c>
      <c r="K456" s="209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</row>
    <row r="457" spans="1:28" ht="14.25" customHeight="1" thickBot="1" x14ac:dyDescent="0.3">
      <c r="A457" s="55"/>
      <c r="B457" s="208"/>
      <c r="C457" s="208"/>
      <c r="D457" s="208"/>
      <c r="E457" s="208"/>
      <c r="F457" s="208" t="s">
        <v>466</v>
      </c>
      <c r="G457" s="209"/>
      <c r="H457" s="208"/>
      <c r="I457" s="307" t="s">
        <v>467</v>
      </c>
      <c r="J457" s="307"/>
      <c r="K457" s="209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</row>
    <row r="458" spans="1:28" ht="14.25" customHeight="1" thickTop="1" x14ac:dyDescent="0.25">
      <c r="A458" s="55"/>
      <c r="B458" s="210"/>
      <c r="C458" s="210"/>
      <c r="D458" s="210"/>
      <c r="E458" s="210"/>
      <c r="F458" s="210"/>
      <c r="G458" s="210"/>
      <c r="H458" s="210"/>
      <c r="I458" s="210"/>
      <c r="J458" s="210"/>
      <c r="K458" s="210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</row>
    <row r="459" spans="1:28" ht="14.25" customHeight="1" x14ac:dyDescent="0.25">
      <c r="A459" s="55"/>
      <c r="B459" s="199" t="s">
        <v>2084</v>
      </c>
      <c r="C459" s="200" t="s">
        <v>32</v>
      </c>
      <c r="D459" s="199" t="s">
        <v>33</v>
      </c>
      <c r="E459" s="199" t="s">
        <v>34</v>
      </c>
      <c r="F459" s="309" t="s">
        <v>453</v>
      </c>
      <c r="G459" s="309"/>
      <c r="H459" s="201" t="s">
        <v>35</v>
      </c>
      <c r="I459" s="200" t="s">
        <v>36</v>
      </c>
      <c r="J459" s="200" t="s">
        <v>37</v>
      </c>
      <c r="K459" s="200" t="s">
        <v>39</v>
      </c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</row>
    <row r="460" spans="1:28" ht="14.25" customHeight="1" x14ac:dyDescent="0.25">
      <c r="A460" s="55"/>
      <c r="B460" s="195" t="s">
        <v>454</v>
      </c>
      <c r="C460" s="196" t="s">
        <v>2088</v>
      </c>
      <c r="D460" s="195" t="s">
        <v>121</v>
      </c>
      <c r="E460" s="195" t="s">
        <v>2089</v>
      </c>
      <c r="F460" s="310" t="s">
        <v>458</v>
      </c>
      <c r="G460" s="310"/>
      <c r="H460" s="197" t="s">
        <v>55</v>
      </c>
      <c r="I460" s="202">
        <v>1</v>
      </c>
      <c r="J460" s="198"/>
      <c r="K460" s="198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</row>
    <row r="461" spans="1:28" ht="14.25" customHeight="1" x14ac:dyDescent="0.25">
      <c r="A461" s="55"/>
      <c r="B461" s="211" t="s">
        <v>472</v>
      </c>
      <c r="C461" s="212" t="s">
        <v>2158</v>
      </c>
      <c r="D461" s="211" t="s">
        <v>121</v>
      </c>
      <c r="E461" s="211" t="s">
        <v>2269</v>
      </c>
      <c r="F461" s="306" t="s">
        <v>2123</v>
      </c>
      <c r="G461" s="306"/>
      <c r="H461" s="213" t="s">
        <v>55</v>
      </c>
      <c r="I461" s="214">
        <v>1</v>
      </c>
      <c r="J461" s="215"/>
      <c r="K461" s="215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</row>
    <row r="462" spans="1:28" ht="14.25" customHeight="1" x14ac:dyDescent="0.25">
      <c r="A462" s="55"/>
      <c r="B462" s="208"/>
      <c r="C462" s="208"/>
      <c r="D462" s="208"/>
      <c r="E462" s="208"/>
      <c r="F462" s="208" t="s">
        <v>463</v>
      </c>
      <c r="G462" s="209"/>
      <c r="H462" s="208" t="s">
        <v>464</v>
      </c>
      <c r="I462" s="209">
        <v>0</v>
      </c>
      <c r="J462" s="208" t="s">
        <v>465</v>
      </c>
      <c r="K462" s="209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</row>
    <row r="463" spans="1:28" ht="14.25" customHeight="1" thickBot="1" x14ac:dyDescent="0.3">
      <c r="A463" s="55"/>
      <c r="B463" s="208"/>
      <c r="C463" s="208"/>
      <c r="D463" s="208"/>
      <c r="E463" s="208"/>
      <c r="F463" s="208" t="s">
        <v>466</v>
      </c>
      <c r="G463" s="209"/>
      <c r="H463" s="208"/>
      <c r="I463" s="307" t="s">
        <v>467</v>
      </c>
      <c r="J463" s="307"/>
      <c r="K463" s="209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</row>
    <row r="464" spans="1:28" ht="14.25" customHeight="1" thickTop="1" x14ac:dyDescent="0.25">
      <c r="A464" s="55"/>
      <c r="B464" s="210"/>
      <c r="C464" s="210"/>
      <c r="D464" s="210"/>
      <c r="E464" s="210"/>
      <c r="F464" s="210"/>
      <c r="G464" s="210"/>
      <c r="H464" s="210"/>
      <c r="I464" s="210"/>
      <c r="J464" s="210"/>
      <c r="K464" s="210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</row>
    <row r="465" spans="1:28" ht="14.25" customHeight="1" x14ac:dyDescent="0.25">
      <c r="A465" s="55"/>
      <c r="B465" s="199" t="s">
        <v>2087</v>
      </c>
      <c r="C465" s="200" t="s">
        <v>32</v>
      </c>
      <c r="D465" s="199" t="s">
        <v>33</v>
      </c>
      <c r="E465" s="199" t="s">
        <v>34</v>
      </c>
      <c r="F465" s="309" t="s">
        <v>453</v>
      </c>
      <c r="G465" s="309"/>
      <c r="H465" s="201" t="s">
        <v>35</v>
      </c>
      <c r="I465" s="200" t="s">
        <v>36</v>
      </c>
      <c r="J465" s="200" t="s">
        <v>37</v>
      </c>
      <c r="K465" s="200" t="s">
        <v>39</v>
      </c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</row>
    <row r="466" spans="1:28" ht="14.25" customHeight="1" x14ac:dyDescent="0.25">
      <c r="A466" s="55"/>
      <c r="B466" s="195" t="s">
        <v>454</v>
      </c>
      <c r="C466" s="196" t="s">
        <v>2091</v>
      </c>
      <c r="D466" s="195" t="s">
        <v>121</v>
      </c>
      <c r="E466" s="195" t="s">
        <v>2092</v>
      </c>
      <c r="F466" s="310" t="s">
        <v>458</v>
      </c>
      <c r="G466" s="310"/>
      <c r="H466" s="197" t="s">
        <v>55</v>
      </c>
      <c r="I466" s="202">
        <v>1</v>
      </c>
      <c r="J466" s="198"/>
      <c r="K466" s="198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</row>
    <row r="467" spans="1:28" ht="14.25" customHeight="1" x14ac:dyDescent="0.25">
      <c r="A467" s="55"/>
      <c r="B467" s="211" t="s">
        <v>472</v>
      </c>
      <c r="C467" s="212" t="s">
        <v>2159</v>
      </c>
      <c r="D467" s="211" t="s">
        <v>121</v>
      </c>
      <c r="E467" s="211" t="s">
        <v>2270</v>
      </c>
      <c r="F467" s="306" t="s">
        <v>2123</v>
      </c>
      <c r="G467" s="306"/>
      <c r="H467" s="213" t="s">
        <v>55</v>
      </c>
      <c r="I467" s="214">
        <v>1</v>
      </c>
      <c r="J467" s="215"/>
      <c r="K467" s="215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</row>
    <row r="468" spans="1:28" ht="14.25" customHeight="1" x14ac:dyDescent="0.25">
      <c r="A468" s="55"/>
      <c r="B468" s="208"/>
      <c r="C468" s="208"/>
      <c r="D468" s="208"/>
      <c r="E468" s="208"/>
      <c r="F468" s="208" t="s">
        <v>463</v>
      </c>
      <c r="G468" s="209"/>
      <c r="H468" s="208" t="s">
        <v>464</v>
      </c>
      <c r="I468" s="209">
        <v>0</v>
      </c>
      <c r="J468" s="208" t="s">
        <v>465</v>
      </c>
      <c r="K468" s="209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</row>
    <row r="469" spans="1:28" ht="14.25" customHeight="1" thickBot="1" x14ac:dyDescent="0.3">
      <c r="A469" s="55"/>
      <c r="B469" s="208"/>
      <c r="C469" s="208"/>
      <c r="D469" s="208"/>
      <c r="E469" s="208"/>
      <c r="F469" s="208" t="s">
        <v>466</v>
      </c>
      <c r="G469" s="209"/>
      <c r="H469" s="208"/>
      <c r="I469" s="307" t="s">
        <v>467</v>
      </c>
      <c r="J469" s="307"/>
      <c r="K469" s="209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</row>
    <row r="470" spans="1:28" ht="14.25" customHeight="1" thickTop="1" x14ac:dyDescent="0.25">
      <c r="A470" s="55"/>
      <c r="B470" s="210"/>
      <c r="C470" s="210"/>
      <c r="D470" s="210"/>
      <c r="E470" s="210"/>
      <c r="F470" s="210"/>
      <c r="G470" s="210"/>
      <c r="H470" s="210"/>
      <c r="I470" s="210"/>
      <c r="J470" s="210"/>
      <c r="K470" s="210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</row>
    <row r="471" spans="1:28" ht="14.25" customHeight="1" x14ac:dyDescent="0.25">
      <c r="A471" s="55"/>
      <c r="B471" s="199" t="s">
        <v>2090</v>
      </c>
      <c r="C471" s="200" t="s">
        <v>32</v>
      </c>
      <c r="D471" s="199" t="s">
        <v>33</v>
      </c>
      <c r="E471" s="199" t="s">
        <v>34</v>
      </c>
      <c r="F471" s="309" t="s">
        <v>453</v>
      </c>
      <c r="G471" s="309"/>
      <c r="H471" s="201" t="s">
        <v>35</v>
      </c>
      <c r="I471" s="200" t="s">
        <v>36</v>
      </c>
      <c r="J471" s="200" t="s">
        <v>37</v>
      </c>
      <c r="K471" s="200" t="s">
        <v>39</v>
      </c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</row>
    <row r="472" spans="1:28" ht="14.25" customHeight="1" x14ac:dyDescent="0.25">
      <c r="A472" s="55"/>
      <c r="B472" s="195" t="s">
        <v>454</v>
      </c>
      <c r="C472" s="196" t="s">
        <v>2093</v>
      </c>
      <c r="D472" s="195" t="s">
        <v>121</v>
      </c>
      <c r="E472" s="195" t="s">
        <v>2094</v>
      </c>
      <c r="F472" s="310" t="s">
        <v>458</v>
      </c>
      <c r="G472" s="310"/>
      <c r="H472" s="197" t="s">
        <v>55</v>
      </c>
      <c r="I472" s="202">
        <v>1</v>
      </c>
      <c r="J472" s="198"/>
      <c r="K472" s="198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</row>
    <row r="473" spans="1:28" ht="14.25" customHeight="1" x14ac:dyDescent="0.25">
      <c r="A473" s="55"/>
      <c r="B473" s="211" t="s">
        <v>472</v>
      </c>
      <c r="C473" s="212" t="s">
        <v>2160</v>
      </c>
      <c r="D473" s="211" t="s">
        <v>121</v>
      </c>
      <c r="E473" s="211" t="s">
        <v>2271</v>
      </c>
      <c r="F473" s="306" t="s">
        <v>2123</v>
      </c>
      <c r="G473" s="306"/>
      <c r="H473" s="213" t="s">
        <v>55</v>
      </c>
      <c r="I473" s="214">
        <v>1</v>
      </c>
      <c r="J473" s="215"/>
      <c r="K473" s="215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</row>
    <row r="474" spans="1:28" ht="14.25" customHeight="1" x14ac:dyDescent="0.25">
      <c r="A474" s="55"/>
      <c r="B474" s="208"/>
      <c r="C474" s="208"/>
      <c r="D474" s="208"/>
      <c r="E474" s="208"/>
      <c r="F474" s="208" t="s">
        <v>463</v>
      </c>
      <c r="G474" s="209"/>
      <c r="H474" s="208" t="s">
        <v>464</v>
      </c>
      <c r="I474" s="209">
        <v>0</v>
      </c>
      <c r="J474" s="208" t="s">
        <v>465</v>
      </c>
      <c r="K474" s="209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</row>
    <row r="475" spans="1:28" ht="14.25" customHeight="1" thickBot="1" x14ac:dyDescent="0.3">
      <c r="A475" s="55"/>
      <c r="B475" s="208"/>
      <c r="C475" s="208"/>
      <c r="D475" s="208"/>
      <c r="E475" s="208"/>
      <c r="F475" s="208" t="s">
        <v>466</v>
      </c>
      <c r="G475" s="209"/>
      <c r="H475" s="208"/>
      <c r="I475" s="307" t="s">
        <v>467</v>
      </c>
      <c r="J475" s="307"/>
      <c r="K475" s="209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</row>
    <row r="476" spans="1:28" ht="14.25" customHeight="1" thickTop="1" x14ac:dyDescent="0.25">
      <c r="A476" s="55"/>
      <c r="B476" s="210"/>
      <c r="C476" s="210"/>
      <c r="D476" s="210"/>
      <c r="E476" s="210"/>
      <c r="F476" s="210"/>
      <c r="G476" s="210"/>
      <c r="H476" s="210"/>
      <c r="I476" s="210"/>
      <c r="J476" s="210"/>
      <c r="K476" s="210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</row>
    <row r="477" spans="1:28" ht="14.25" customHeight="1" x14ac:dyDescent="0.25">
      <c r="A477" s="55"/>
      <c r="B477" s="199" t="s">
        <v>2311</v>
      </c>
      <c r="C477" s="200" t="s">
        <v>32</v>
      </c>
      <c r="D477" s="199" t="s">
        <v>33</v>
      </c>
      <c r="E477" s="199" t="s">
        <v>34</v>
      </c>
      <c r="F477" s="309" t="s">
        <v>453</v>
      </c>
      <c r="G477" s="309"/>
      <c r="H477" s="201" t="s">
        <v>35</v>
      </c>
      <c r="I477" s="200" t="s">
        <v>36</v>
      </c>
      <c r="J477" s="200" t="s">
        <v>37</v>
      </c>
      <c r="K477" s="200" t="s">
        <v>39</v>
      </c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</row>
    <row r="478" spans="1:28" ht="14.25" customHeight="1" x14ac:dyDescent="0.25">
      <c r="A478" s="55"/>
      <c r="B478" s="195" t="s">
        <v>454</v>
      </c>
      <c r="C478" s="196" t="s">
        <v>2095</v>
      </c>
      <c r="D478" s="195" t="s">
        <v>121</v>
      </c>
      <c r="E478" s="195" t="s">
        <v>2096</v>
      </c>
      <c r="F478" s="310" t="s">
        <v>458</v>
      </c>
      <c r="G478" s="310"/>
      <c r="H478" s="197" t="s">
        <v>55</v>
      </c>
      <c r="I478" s="202">
        <v>1</v>
      </c>
      <c r="J478" s="198"/>
      <c r="K478" s="198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</row>
    <row r="479" spans="1:28" ht="14.25" customHeight="1" x14ac:dyDescent="0.25">
      <c r="A479" s="55"/>
      <c r="B479" s="211" t="s">
        <v>472</v>
      </c>
      <c r="C479" s="212" t="s">
        <v>2161</v>
      </c>
      <c r="D479" s="211" t="s">
        <v>121</v>
      </c>
      <c r="E479" s="211" t="s">
        <v>2272</v>
      </c>
      <c r="F479" s="306" t="s">
        <v>2123</v>
      </c>
      <c r="G479" s="306"/>
      <c r="H479" s="213" t="s">
        <v>55</v>
      </c>
      <c r="I479" s="214">
        <v>1</v>
      </c>
      <c r="J479" s="215"/>
      <c r="K479" s="215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</row>
    <row r="480" spans="1:28" ht="14.25" customHeight="1" x14ac:dyDescent="0.25">
      <c r="A480" s="55"/>
      <c r="B480" s="208"/>
      <c r="C480" s="208"/>
      <c r="D480" s="208"/>
      <c r="E480" s="208"/>
      <c r="F480" s="208" t="s">
        <v>463</v>
      </c>
      <c r="G480" s="209"/>
      <c r="H480" s="208" t="s">
        <v>464</v>
      </c>
      <c r="I480" s="209">
        <v>0</v>
      </c>
      <c r="J480" s="208" t="s">
        <v>465</v>
      </c>
      <c r="K480" s="209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</row>
    <row r="481" spans="1:28" ht="14.25" customHeight="1" x14ac:dyDescent="0.25">
      <c r="A481" s="55"/>
      <c r="B481" s="208"/>
      <c r="C481" s="208"/>
      <c r="D481" s="208"/>
      <c r="E481" s="208"/>
      <c r="F481" s="208" t="s">
        <v>466</v>
      </c>
      <c r="G481" s="209"/>
      <c r="H481" s="208"/>
      <c r="I481" s="307" t="s">
        <v>467</v>
      </c>
      <c r="J481" s="307"/>
      <c r="K481" s="209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</row>
    <row r="482" spans="1:28" ht="15" customHeight="1" x14ac:dyDescent="0.25">
      <c r="B482" s="257"/>
      <c r="C482" s="257"/>
      <c r="D482" s="257"/>
      <c r="E482" s="257"/>
      <c r="F482" s="257"/>
      <c r="G482" s="209"/>
      <c r="H482" s="257"/>
      <c r="I482" s="257"/>
      <c r="J482" s="257"/>
      <c r="K482" s="257"/>
    </row>
    <row r="483" spans="1:28" ht="15" customHeight="1" x14ac:dyDescent="0.25">
      <c r="G483" s="209"/>
    </row>
    <row r="484" spans="1:28" ht="15" customHeight="1" x14ac:dyDescent="0.25">
      <c r="G484" s="209"/>
    </row>
    <row r="485" spans="1:28" ht="15" customHeight="1" x14ac:dyDescent="0.25">
      <c r="G485" s="209"/>
    </row>
    <row r="486" spans="1:28" ht="15" customHeight="1" x14ac:dyDescent="0.25">
      <c r="G486" s="209"/>
    </row>
    <row r="487" spans="1:28" ht="15" customHeight="1" x14ac:dyDescent="0.25">
      <c r="G487" s="209"/>
    </row>
    <row r="488" spans="1:28" ht="15" customHeight="1" x14ac:dyDescent="0.25">
      <c r="G488" s="209"/>
    </row>
    <row r="489" spans="1:28" ht="15" customHeight="1" x14ac:dyDescent="0.25">
      <c r="G489" s="209"/>
    </row>
    <row r="490" spans="1:28" ht="15" customHeight="1" x14ac:dyDescent="0.25">
      <c r="G490" s="209"/>
    </row>
    <row r="491" spans="1:28" ht="15" customHeight="1" x14ac:dyDescent="0.25">
      <c r="G491" s="209"/>
    </row>
    <row r="492" spans="1:28" ht="15" customHeight="1" x14ac:dyDescent="0.25">
      <c r="G492" s="209"/>
    </row>
    <row r="493" spans="1:28" ht="15" customHeight="1" x14ac:dyDescent="0.25">
      <c r="G493" s="209"/>
    </row>
    <row r="494" spans="1:28" ht="15" customHeight="1" x14ac:dyDescent="0.25">
      <c r="G494" s="209"/>
    </row>
    <row r="495" spans="1:28" ht="15" customHeight="1" x14ac:dyDescent="0.25">
      <c r="G495" s="209"/>
    </row>
    <row r="496" spans="1:28" ht="15" customHeight="1" x14ac:dyDescent="0.25">
      <c r="G496" s="209"/>
    </row>
    <row r="497" spans="7:7" ht="15" customHeight="1" x14ac:dyDescent="0.25">
      <c r="G497" s="209"/>
    </row>
    <row r="498" spans="7:7" ht="15" customHeight="1" x14ac:dyDescent="0.25">
      <c r="G498" s="209"/>
    </row>
    <row r="499" spans="7:7" ht="15" customHeight="1" x14ac:dyDescent="0.25">
      <c r="G499" s="209"/>
    </row>
    <row r="500" spans="7:7" ht="15" customHeight="1" x14ac:dyDescent="0.25">
      <c r="G500" s="209"/>
    </row>
    <row r="501" spans="7:7" ht="15" customHeight="1" x14ac:dyDescent="0.25">
      <c r="G501" s="209"/>
    </row>
    <row r="502" spans="7:7" ht="15" customHeight="1" x14ac:dyDescent="0.25">
      <c r="G502" s="209"/>
    </row>
    <row r="503" spans="7:7" ht="15" customHeight="1" x14ac:dyDescent="0.25">
      <c r="G503" s="209"/>
    </row>
    <row r="504" spans="7:7" ht="15" customHeight="1" x14ac:dyDescent="0.25">
      <c r="G504" s="209"/>
    </row>
    <row r="505" spans="7:7" ht="15" customHeight="1" x14ac:dyDescent="0.25">
      <c r="G505" s="209"/>
    </row>
    <row r="506" spans="7:7" ht="15" customHeight="1" x14ac:dyDescent="0.25">
      <c r="G506" s="209"/>
    </row>
    <row r="507" spans="7:7" ht="15" customHeight="1" x14ac:dyDescent="0.25">
      <c r="G507" s="209"/>
    </row>
    <row r="508" spans="7:7" ht="15" customHeight="1" x14ac:dyDescent="0.25">
      <c r="G508" s="209"/>
    </row>
    <row r="509" spans="7:7" ht="15" customHeight="1" x14ac:dyDescent="0.25">
      <c r="G509" s="209"/>
    </row>
    <row r="510" spans="7:7" ht="15" customHeight="1" x14ac:dyDescent="0.25">
      <c r="G510" s="209"/>
    </row>
    <row r="511" spans="7:7" ht="15" customHeight="1" x14ac:dyDescent="0.25">
      <c r="G511" s="209"/>
    </row>
    <row r="512" spans="7:7" ht="15" customHeight="1" x14ac:dyDescent="0.25">
      <c r="G512" s="209"/>
    </row>
    <row r="513" spans="7:7" ht="15" customHeight="1" x14ac:dyDescent="0.25">
      <c r="G513" s="209"/>
    </row>
    <row r="514" spans="7:7" ht="15" customHeight="1" x14ac:dyDescent="0.25">
      <c r="G514" s="209"/>
    </row>
    <row r="515" spans="7:7" ht="15" customHeight="1" x14ac:dyDescent="0.25">
      <c r="G515" s="209"/>
    </row>
    <row r="516" spans="7:7" ht="15" customHeight="1" x14ac:dyDescent="0.25">
      <c r="G516" s="209"/>
    </row>
    <row r="517" spans="7:7" ht="15" customHeight="1" x14ac:dyDescent="0.25">
      <c r="G517" s="209"/>
    </row>
    <row r="518" spans="7:7" ht="15" customHeight="1" x14ac:dyDescent="0.25">
      <c r="G518" s="209"/>
    </row>
    <row r="519" spans="7:7" ht="15" customHeight="1" x14ac:dyDescent="0.25">
      <c r="G519" s="209"/>
    </row>
    <row r="520" spans="7:7" ht="15" customHeight="1" x14ac:dyDescent="0.25">
      <c r="G520" s="209"/>
    </row>
    <row r="521" spans="7:7" ht="15" customHeight="1" x14ac:dyDescent="0.25">
      <c r="G521" s="209"/>
    </row>
    <row r="522" spans="7:7" ht="15" customHeight="1" x14ac:dyDescent="0.25">
      <c r="G522" s="209"/>
    </row>
    <row r="523" spans="7:7" ht="15" customHeight="1" x14ac:dyDescent="0.25">
      <c r="G523" s="209"/>
    </row>
    <row r="524" spans="7:7" ht="15" customHeight="1" x14ac:dyDescent="0.25">
      <c r="G524" s="209"/>
    </row>
    <row r="525" spans="7:7" ht="15" customHeight="1" x14ac:dyDescent="0.25">
      <c r="G525" s="209"/>
    </row>
    <row r="526" spans="7:7" ht="15" customHeight="1" x14ac:dyDescent="0.25">
      <c r="G526" s="209"/>
    </row>
    <row r="527" spans="7:7" ht="15" customHeight="1" x14ac:dyDescent="0.25">
      <c r="G527" s="209"/>
    </row>
    <row r="528" spans="7:7" ht="15" customHeight="1" x14ac:dyDescent="0.25">
      <c r="G528" s="209"/>
    </row>
    <row r="529" spans="7:7" ht="15" customHeight="1" x14ac:dyDescent="0.25">
      <c r="G529" s="209"/>
    </row>
    <row r="530" spans="7:7" ht="15" customHeight="1" x14ac:dyDescent="0.25">
      <c r="G530" s="209"/>
    </row>
    <row r="531" spans="7:7" ht="15" customHeight="1" x14ac:dyDescent="0.25">
      <c r="G531" s="209"/>
    </row>
    <row r="532" spans="7:7" ht="15" customHeight="1" x14ac:dyDescent="0.25">
      <c r="G532" s="209"/>
    </row>
    <row r="533" spans="7:7" ht="15" customHeight="1" x14ac:dyDescent="0.25">
      <c r="G533" s="209"/>
    </row>
    <row r="534" spans="7:7" ht="15" customHeight="1" x14ac:dyDescent="0.25">
      <c r="G534" s="209"/>
    </row>
    <row r="535" spans="7:7" ht="15" customHeight="1" x14ac:dyDescent="0.25">
      <c r="G535" s="209"/>
    </row>
    <row r="536" spans="7:7" ht="15" customHeight="1" x14ac:dyDescent="0.25">
      <c r="G536" s="209"/>
    </row>
    <row r="537" spans="7:7" ht="15" customHeight="1" x14ac:dyDescent="0.25">
      <c r="G537" s="209"/>
    </row>
    <row r="538" spans="7:7" ht="15" customHeight="1" x14ac:dyDescent="0.25">
      <c r="G538" s="209"/>
    </row>
    <row r="539" spans="7:7" ht="15" customHeight="1" x14ac:dyDescent="0.25">
      <c r="G539" s="209"/>
    </row>
    <row r="540" spans="7:7" ht="15" customHeight="1" x14ac:dyDescent="0.25">
      <c r="G540" s="209"/>
    </row>
    <row r="541" spans="7:7" ht="15" customHeight="1" x14ac:dyDescent="0.25">
      <c r="G541" s="209"/>
    </row>
    <row r="542" spans="7:7" ht="15" customHeight="1" x14ac:dyDescent="0.25">
      <c r="G542" s="209"/>
    </row>
    <row r="543" spans="7:7" ht="15" customHeight="1" x14ac:dyDescent="0.25">
      <c r="G543" s="209"/>
    </row>
    <row r="544" spans="7:7" ht="15" customHeight="1" x14ac:dyDescent="0.25">
      <c r="G544" s="209"/>
    </row>
    <row r="545" spans="7:7" ht="15" customHeight="1" x14ac:dyDescent="0.25">
      <c r="G545" s="209"/>
    </row>
    <row r="546" spans="7:7" ht="15" customHeight="1" x14ac:dyDescent="0.25">
      <c r="G546" s="209"/>
    </row>
    <row r="547" spans="7:7" ht="15" customHeight="1" x14ac:dyDescent="0.25">
      <c r="G547" s="209"/>
    </row>
    <row r="548" spans="7:7" ht="15" customHeight="1" x14ac:dyDescent="0.25">
      <c r="G548" s="209"/>
    </row>
    <row r="549" spans="7:7" ht="15" customHeight="1" x14ac:dyDescent="0.25">
      <c r="G549" s="209"/>
    </row>
    <row r="550" spans="7:7" ht="15" customHeight="1" x14ac:dyDescent="0.25">
      <c r="G550" s="209"/>
    </row>
    <row r="551" spans="7:7" ht="15" customHeight="1" x14ac:dyDescent="0.25">
      <c r="G551" s="209"/>
    </row>
    <row r="552" spans="7:7" ht="15" customHeight="1" x14ac:dyDescent="0.25">
      <c r="G552" s="209"/>
    </row>
    <row r="553" spans="7:7" ht="15" customHeight="1" x14ac:dyDescent="0.25">
      <c r="G553" s="209"/>
    </row>
    <row r="554" spans="7:7" ht="15" customHeight="1" x14ac:dyDescent="0.25">
      <c r="G554" s="209"/>
    </row>
    <row r="555" spans="7:7" ht="15" customHeight="1" x14ac:dyDescent="0.25">
      <c r="G555" s="209"/>
    </row>
    <row r="556" spans="7:7" ht="15" customHeight="1" x14ac:dyDescent="0.25">
      <c r="G556" s="209"/>
    </row>
    <row r="557" spans="7:7" ht="15" customHeight="1" x14ac:dyDescent="0.25">
      <c r="G557" s="209"/>
    </row>
    <row r="558" spans="7:7" ht="15" customHeight="1" x14ac:dyDescent="0.25">
      <c r="G558" s="209"/>
    </row>
    <row r="559" spans="7:7" ht="15" customHeight="1" x14ac:dyDescent="0.25">
      <c r="G559" s="209"/>
    </row>
    <row r="560" spans="7:7" ht="15" customHeight="1" x14ac:dyDescent="0.25">
      <c r="G560" s="209"/>
    </row>
    <row r="561" spans="7:7" ht="15" customHeight="1" x14ac:dyDescent="0.25">
      <c r="G561" s="209"/>
    </row>
    <row r="562" spans="7:7" ht="15" customHeight="1" x14ac:dyDescent="0.25">
      <c r="G562" s="209"/>
    </row>
    <row r="563" spans="7:7" ht="15" customHeight="1" x14ac:dyDescent="0.25">
      <c r="G563" s="209"/>
    </row>
    <row r="564" spans="7:7" ht="15" customHeight="1" x14ac:dyDescent="0.25">
      <c r="G564" s="209"/>
    </row>
    <row r="565" spans="7:7" ht="15" customHeight="1" x14ac:dyDescent="0.25">
      <c r="G565" s="209"/>
    </row>
    <row r="566" spans="7:7" ht="15" customHeight="1" x14ac:dyDescent="0.25">
      <c r="G566" s="209"/>
    </row>
    <row r="567" spans="7:7" ht="15" customHeight="1" x14ac:dyDescent="0.25">
      <c r="G567" s="209"/>
    </row>
    <row r="568" spans="7:7" ht="15" customHeight="1" x14ac:dyDescent="0.25">
      <c r="G568" s="209"/>
    </row>
    <row r="569" spans="7:7" ht="15" customHeight="1" x14ac:dyDescent="0.25">
      <c r="G569" s="209"/>
    </row>
    <row r="570" spans="7:7" ht="15" customHeight="1" x14ac:dyDescent="0.25">
      <c r="G570" s="209"/>
    </row>
    <row r="571" spans="7:7" ht="15" customHeight="1" x14ac:dyDescent="0.25">
      <c r="G571" s="209"/>
    </row>
    <row r="572" spans="7:7" ht="15" customHeight="1" x14ac:dyDescent="0.25">
      <c r="G572" s="209"/>
    </row>
    <row r="573" spans="7:7" ht="15" customHeight="1" x14ac:dyDescent="0.25">
      <c r="G573" s="209"/>
    </row>
    <row r="574" spans="7:7" ht="15" customHeight="1" x14ac:dyDescent="0.25">
      <c r="G574" s="209"/>
    </row>
    <row r="575" spans="7:7" ht="15" customHeight="1" x14ac:dyDescent="0.25">
      <c r="G575" s="209"/>
    </row>
    <row r="576" spans="7:7" ht="15" customHeight="1" x14ac:dyDescent="0.25">
      <c r="G576" s="209"/>
    </row>
    <row r="577" spans="7:7" ht="15" customHeight="1" x14ac:dyDescent="0.25">
      <c r="G577" s="209"/>
    </row>
    <row r="578" spans="7:7" ht="15" customHeight="1" x14ac:dyDescent="0.25">
      <c r="G578" s="209"/>
    </row>
    <row r="579" spans="7:7" ht="15" customHeight="1" x14ac:dyDescent="0.25">
      <c r="G579" s="209"/>
    </row>
    <row r="580" spans="7:7" ht="15" customHeight="1" x14ac:dyDescent="0.25">
      <c r="G580" s="209"/>
    </row>
    <row r="581" spans="7:7" ht="15" customHeight="1" x14ac:dyDescent="0.25">
      <c r="G581" s="209"/>
    </row>
    <row r="582" spans="7:7" ht="15" customHeight="1" x14ac:dyDescent="0.25">
      <c r="G582" s="209"/>
    </row>
    <row r="583" spans="7:7" ht="15" customHeight="1" x14ac:dyDescent="0.25">
      <c r="G583" s="209"/>
    </row>
    <row r="584" spans="7:7" ht="15" customHeight="1" x14ac:dyDescent="0.25">
      <c r="G584" s="209"/>
    </row>
    <row r="585" spans="7:7" ht="15" customHeight="1" x14ac:dyDescent="0.25">
      <c r="G585" s="209"/>
    </row>
    <row r="586" spans="7:7" ht="15" customHeight="1" x14ac:dyDescent="0.25">
      <c r="G586" s="209"/>
    </row>
    <row r="587" spans="7:7" ht="15" customHeight="1" x14ac:dyDescent="0.25">
      <c r="G587" s="209"/>
    </row>
    <row r="588" spans="7:7" ht="15" customHeight="1" x14ac:dyDescent="0.25">
      <c r="G588" s="209"/>
    </row>
    <row r="589" spans="7:7" ht="15" customHeight="1" x14ac:dyDescent="0.25">
      <c r="G589" s="209"/>
    </row>
    <row r="590" spans="7:7" ht="15" customHeight="1" x14ac:dyDescent="0.25">
      <c r="G590" s="209"/>
    </row>
    <row r="591" spans="7:7" ht="15" customHeight="1" x14ac:dyDescent="0.25">
      <c r="G591" s="209"/>
    </row>
    <row r="592" spans="7:7" ht="15" customHeight="1" x14ac:dyDescent="0.25">
      <c r="G592" s="209"/>
    </row>
    <row r="593" spans="7:7" ht="15" customHeight="1" x14ac:dyDescent="0.25">
      <c r="G593" s="209"/>
    </row>
    <row r="594" spans="7:7" ht="15" customHeight="1" x14ac:dyDescent="0.25">
      <c r="G594" s="209"/>
    </row>
    <row r="595" spans="7:7" ht="15" customHeight="1" x14ac:dyDescent="0.25">
      <c r="G595" s="209"/>
    </row>
    <row r="596" spans="7:7" ht="15" customHeight="1" x14ac:dyDescent="0.25">
      <c r="G596" s="209"/>
    </row>
    <row r="597" spans="7:7" ht="15" customHeight="1" x14ac:dyDescent="0.25">
      <c r="G597" s="209"/>
    </row>
    <row r="598" spans="7:7" ht="15" customHeight="1" x14ac:dyDescent="0.25">
      <c r="G598" s="209"/>
    </row>
    <row r="599" spans="7:7" ht="15" customHeight="1" x14ac:dyDescent="0.25">
      <c r="G599" s="209"/>
    </row>
    <row r="600" spans="7:7" ht="15" customHeight="1" x14ac:dyDescent="0.25">
      <c r="G600" s="209"/>
    </row>
    <row r="601" spans="7:7" ht="15" customHeight="1" x14ac:dyDescent="0.25">
      <c r="G601" s="209"/>
    </row>
    <row r="602" spans="7:7" ht="15" customHeight="1" x14ac:dyDescent="0.25">
      <c r="G602" s="209"/>
    </row>
    <row r="603" spans="7:7" ht="15" customHeight="1" x14ac:dyDescent="0.25">
      <c r="G603" s="209"/>
    </row>
    <row r="604" spans="7:7" ht="15" customHeight="1" x14ac:dyDescent="0.25">
      <c r="G604" s="209"/>
    </row>
    <row r="605" spans="7:7" ht="15" customHeight="1" x14ac:dyDescent="0.25">
      <c r="G605" s="209"/>
    </row>
    <row r="606" spans="7:7" ht="15" customHeight="1" x14ac:dyDescent="0.25">
      <c r="G606" s="209"/>
    </row>
    <row r="607" spans="7:7" ht="15" customHeight="1" x14ac:dyDescent="0.25">
      <c r="G607" s="209"/>
    </row>
    <row r="608" spans="7:7" ht="15" customHeight="1" x14ac:dyDescent="0.25">
      <c r="G608" s="209"/>
    </row>
    <row r="609" spans="7:7" ht="15" customHeight="1" x14ac:dyDescent="0.25">
      <c r="G609" s="209"/>
    </row>
    <row r="610" spans="7:7" ht="15" customHeight="1" x14ac:dyDescent="0.25">
      <c r="G610" s="209"/>
    </row>
    <row r="611" spans="7:7" ht="15" customHeight="1" x14ac:dyDescent="0.25">
      <c r="G611" s="209"/>
    </row>
  </sheetData>
  <autoFilter ref="A16:AB481" xr:uid="{00000000-0001-0000-0400-000000000000}"/>
  <mergeCells count="349">
    <mergeCell ref="B2:K6"/>
    <mergeCell ref="B17:K17"/>
    <mergeCell ref="F407:G407"/>
    <mergeCell ref="F411:G411"/>
    <mergeCell ref="F412:G412"/>
    <mergeCell ref="F413:G413"/>
    <mergeCell ref="F371:G371"/>
    <mergeCell ref="F375:G375"/>
    <mergeCell ref="F376:G376"/>
    <mergeCell ref="F377:G377"/>
    <mergeCell ref="F383:G383"/>
    <mergeCell ref="F387:G387"/>
    <mergeCell ref="F369:G369"/>
    <mergeCell ref="F370:G370"/>
    <mergeCell ref="F335:G335"/>
    <mergeCell ref="F58:G58"/>
    <mergeCell ref="F59:G59"/>
    <mergeCell ref="F92:G92"/>
    <mergeCell ref="F93:G93"/>
    <mergeCell ref="F113:G113"/>
    <mergeCell ref="F114:G114"/>
    <mergeCell ref="F115:G115"/>
    <mergeCell ref="F116:G116"/>
    <mergeCell ref="F117:G117"/>
    <mergeCell ref="F118:G118"/>
    <mergeCell ref="F119:G119"/>
    <mergeCell ref="F162:G162"/>
    <mergeCell ref="F163:G163"/>
    <mergeCell ref="F97:G97"/>
    <mergeCell ref="F98:G98"/>
    <mergeCell ref="F99:G99"/>
    <mergeCell ref="F100:G100"/>
    <mergeCell ref="F101:G101"/>
    <mergeCell ref="F105:G105"/>
    <mergeCell ref="F106:G106"/>
    <mergeCell ref="F107:G107"/>
    <mergeCell ref="F108:G108"/>
    <mergeCell ref="F109:G109"/>
    <mergeCell ref="F120:G120"/>
    <mergeCell ref="F121:G121"/>
    <mergeCell ref="F122:G122"/>
    <mergeCell ref="F123:G123"/>
    <mergeCell ref="F124:G124"/>
    <mergeCell ref="F125:G125"/>
    <mergeCell ref="F227:G227"/>
    <mergeCell ref="F228:G228"/>
    <mergeCell ref="F229:G229"/>
    <mergeCell ref="F230:G230"/>
    <mergeCell ref="F231:G231"/>
    <mergeCell ref="F164:G164"/>
    <mergeCell ref="F165:G165"/>
    <mergeCell ref="F200:G200"/>
    <mergeCell ref="F201:G201"/>
    <mergeCell ref="F205:G205"/>
    <mergeCell ref="F206:G206"/>
    <mergeCell ref="F207:G207"/>
    <mergeCell ref="F208:G208"/>
    <mergeCell ref="F214:G214"/>
    <mergeCell ref="F215:G215"/>
    <mergeCell ref="F166:G166"/>
    <mergeCell ref="F341:G341"/>
    <mergeCell ref="F345:G345"/>
    <mergeCell ref="F346:G346"/>
    <mergeCell ref="F334:G334"/>
    <mergeCell ref="F267:G267"/>
    <mergeCell ref="F235:G235"/>
    <mergeCell ref="F287:G287"/>
    <mergeCell ref="F239:G239"/>
    <mergeCell ref="F240:G240"/>
    <mergeCell ref="F241:G241"/>
    <mergeCell ref="F245:G245"/>
    <mergeCell ref="F246:G246"/>
    <mergeCell ref="F247:G247"/>
    <mergeCell ref="F248:G248"/>
    <mergeCell ref="F249:G249"/>
    <mergeCell ref="F250:G250"/>
    <mergeCell ref="F251:G251"/>
    <mergeCell ref="F255:G255"/>
    <mergeCell ref="F256:G256"/>
    <mergeCell ref="F257:G257"/>
    <mergeCell ref="F261:G261"/>
    <mergeCell ref="F268:G268"/>
    <mergeCell ref="F269:G269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262:G262"/>
    <mergeCell ref="F168:G168"/>
    <mergeCell ref="F169:G169"/>
    <mergeCell ref="F170:G170"/>
    <mergeCell ref="F171:G171"/>
    <mergeCell ref="F175:G175"/>
    <mergeCell ref="F176:G176"/>
    <mergeCell ref="F177:G177"/>
    <mergeCell ref="F178:G178"/>
    <mergeCell ref="F179:G179"/>
    <mergeCell ref="F180:G180"/>
    <mergeCell ref="F219:G219"/>
    <mergeCell ref="F220:G220"/>
    <mergeCell ref="F221:G221"/>
    <mergeCell ref="F225:G225"/>
    <mergeCell ref="F226:G226"/>
    <mergeCell ref="F126:G126"/>
    <mergeCell ref="F127:G127"/>
    <mergeCell ref="F147:G147"/>
    <mergeCell ref="F148:G148"/>
    <mergeCell ref="F149:G149"/>
    <mergeCell ref="F37:G37"/>
    <mergeCell ref="F38:G38"/>
    <mergeCell ref="F39:G39"/>
    <mergeCell ref="F40:G40"/>
    <mergeCell ref="F41:G41"/>
    <mergeCell ref="F42:G42"/>
    <mergeCell ref="F131:G131"/>
    <mergeCell ref="F132:G132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81:G81"/>
    <mergeCell ref="F82:G82"/>
    <mergeCell ref="F83:G83"/>
    <mergeCell ref="F84:G84"/>
    <mergeCell ref="F85:G85"/>
    <mergeCell ref="F89:G89"/>
    <mergeCell ref="F90:G90"/>
    <mergeCell ref="F18:G18"/>
    <mergeCell ref="F19:G19"/>
    <mergeCell ref="F20:G20"/>
    <mergeCell ref="F21:G21"/>
    <mergeCell ref="F27:G27"/>
    <mergeCell ref="F28:G28"/>
    <mergeCell ref="F29:G29"/>
    <mergeCell ref="F30:G30"/>
    <mergeCell ref="F31:G31"/>
    <mergeCell ref="F35:G35"/>
    <mergeCell ref="F36:G36"/>
    <mergeCell ref="F60:G60"/>
    <mergeCell ref="F61:G61"/>
    <mergeCell ref="F65:G65"/>
    <mergeCell ref="F66:G66"/>
    <mergeCell ref="F67:G67"/>
    <mergeCell ref="F68:G68"/>
    <mergeCell ref="F217:G217"/>
    <mergeCell ref="F218:G218"/>
    <mergeCell ref="F347:G347"/>
    <mergeCell ref="F327:G327"/>
    <mergeCell ref="F328:G328"/>
    <mergeCell ref="F329:G329"/>
    <mergeCell ref="F333:G333"/>
    <mergeCell ref="F291:G291"/>
    <mergeCell ref="F292:G292"/>
    <mergeCell ref="F293:G293"/>
    <mergeCell ref="F297:G297"/>
    <mergeCell ref="F298:G298"/>
    <mergeCell ref="F299:G299"/>
    <mergeCell ref="F303:G303"/>
    <mergeCell ref="F273:G273"/>
    <mergeCell ref="F274:G274"/>
    <mergeCell ref="F275:G275"/>
    <mergeCell ref="F279:G279"/>
    <mergeCell ref="F280:G280"/>
    <mergeCell ref="F281:G281"/>
    <mergeCell ref="F263:G263"/>
    <mergeCell ref="F309:G309"/>
    <mergeCell ref="F310:G310"/>
    <mergeCell ref="F311:G311"/>
    <mergeCell ref="F388:G388"/>
    <mergeCell ref="F393:G393"/>
    <mergeCell ref="F394:G394"/>
    <mergeCell ref="F395:G395"/>
    <mergeCell ref="F399:G399"/>
    <mergeCell ref="F400:G400"/>
    <mergeCell ref="F401:G401"/>
    <mergeCell ref="F304:G304"/>
    <mergeCell ref="F305:G305"/>
    <mergeCell ref="F351:G351"/>
    <mergeCell ref="F352:G352"/>
    <mergeCell ref="F353:G353"/>
    <mergeCell ref="F357:G357"/>
    <mergeCell ref="F358:G358"/>
    <mergeCell ref="F359:G359"/>
    <mergeCell ref="F363:G363"/>
    <mergeCell ref="F315:G315"/>
    <mergeCell ref="F316:G316"/>
    <mergeCell ref="F317:G317"/>
    <mergeCell ref="F321:G321"/>
    <mergeCell ref="F322:G322"/>
    <mergeCell ref="F323:G323"/>
    <mergeCell ref="F339:G339"/>
    <mergeCell ref="F340:G340"/>
    <mergeCell ref="F467:G467"/>
    <mergeCell ref="F471:G471"/>
    <mergeCell ref="F472:G472"/>
    <mergeCell ref="F473:G473"/>
    <mergeCell ref="F479:G479"/>
    <mergeCell ref="F453:G453"/>
    <mergeCell ref="F454:G454"/>
    <mergeCell ref="F455:G455"/>
    <mergeCell ref="F459:G459"/>
    <mergeCell ref="F460:G460"/>
    <mergeCell ref="F461:G461"/>
    <mergeCell ref="I87:J87"/>
    <mergeCell ref="F102:G102"/>
    <mergeCell ref="F103:G103"/>
    <mergeCell ref="F104:G104"/>
    <mergeCell ref="F133:G133"/>
    <mergeCell ref="F134:G134"/>
    <mergeCell ref="F135:G135"/>
    <mergeCell ref="F209:G209"/>
    <mergeCell ref="F210:G210"/>
    <mergeCell ref="F199:G199"/>
    <mergeCell ref="F161:G161"/>
    <mergeCell ref="F181:G181"/>
    <mergeCell ref="F182:G182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7:G197"/>
    <mergeCell ref="F198:G198"/>
    <mergeCell ref="F91:G91"/>
    <mergeCell ref="I475:J475"/>
    <mergeCell ref="F477:G477"/>
    <mergeCell ref="F478:G478"/>
    <mergeCell ref="I325:J325"/>
    <mergeCell ref="F365:G365"/>
    <mergeCell ref="F381:G381"/>
    <mergeCell ref="F382:G382"/>
    <mergeCell ref="I343:J343"/>
    <mergeCell ref="I349:J349"/>
    <mergeCell ref="I355:J355"/>
    <mergeCell ref="I361:J361"/>
    <mergeCell ref="I367:J367"/>
    <mergeCell ref="I373:J373"/>
    <mergeCell ref="I379:J379"/>
    <mergeCell ref="I385:J385"/>
    <mergeCell ref="F389:G389"/>
    <mergeCell ref="I391:J391"/>
    <mergeCell ref="I397:J397"/>
    <mergeCell ref="I403:J403"/>
    <mergeCell ref="I409:J409"/>
    <mergeCell ref="I415:J415"/>
    <mergeCell ref="I463:J463"/>
    <mergeCell ref="F435:G435"/>
    <mergeCell ref="F436:G436"/>
    <mergeCell ref="I95:J95"/>
    <mergeCell ref="I111:J111"/>
    <mergeCell ref="I129:J129"/>
    <mergeCell ref="I151:J151"/>
    <mergeCell ref="F167:G167"/>
    <mergeCell ref="I173:J173"/>
    <mergeCell ref="I184:J184"/>
    <mergeCell ref="I195:J195"/>
    <mergeCell ref="F430:G430"/>
    <mergeCell ref="F236:G236"/>
    <mergeCell ref="F237:G237"/>
    <mergeCell ref="F238:G238"/>
    <mergeCell ref="I277:J277"/>
    <mergeCell ref="I283:J283"/>
    <mergeCell ref="F285:G285"/>
    <mergeCell ref="F286:G286"/>
    <mergeCell ref="I301:J301"/>
    <mergeCell ref="F405:G405"/>
    <mergeCell ref="F406:G406"/>
    <mergeCell ref="F419:G419"/>
    <mergeCell ref="F423:G423"/>
    <mergeCell ref="F424:G424"/>
    <mergeCell ref="F425:G425"/>
    <mergeCell ref="F364:G364"/>
    <mergeCell ref="I23:J23"/>
    <mergeCell ref="F25:G25"/>
    <mergeCell ref="F26:G26"/>
    <mergeCell ref="I33:J33"/>
    <mergeCell ref="I44:J44"/>
    <mergeCell ref="I55:J55"/>
    <mergeCell ref="I63:J63"/>
    <mergeCell ref="I71:J71"/>
    <mergeCell ref="I79:J79"/>
    <mergeCell ref="F73:G73"/>
    <mergeCell ref="F75:G75"/>
    <mergeCell ref="F76:G76"/>
    <mergeCell ref="F77:G77"/>
    <mergeCell ref="F69:G69"/>
    <mergeCell ref="F74:G74"/>
    <mergeCell ref="F46:G46"/>
    <mergeCell ref="F47:G47"/>
    <mergeCell ref="F48:G48"/>
    <mergeCell ref="F49:G49"/>
    <mergeCell ref="F50:G50"/>
    <mergeCell ref="F51:G51"/>
    <mergeCell ref="F52:G52"/>
    <mergeCell ref="F53:G53"/>
    <mergeCell ref="F57:G57"/>
    <mergeCell ref="F449:G449"/>
    <mergeCell ref="I451:J451"/>
    <mergeCell ref="I457:J457"/>
    <mergeCell ref="F465:G465"/>
    <mergeCell ref="F466:G466"/>
    <mergeCell ref="I469:J469"/>
    <mergeCell ref="I481:J481"/>
    <mergeCell ref="I203:J203"/>
    <mergeCell ref="I212:J212"/>
    <mergeCell ref="F216:G216"/>
    <mergeCell ref="I223:J223"/>
    <mergeCell ref="I233:J233"/>
    <mergeCell ref="I243:J243"/>
    <mergeCell ref="I253:J253"/>
    <mergeCell ref="I259:J259"/>
    <mergeCell ref="I265:J265"/>
    <mergeCell ref="I271:J271"/>
    <mergeCell ref="I289:J289"/>
    <mergeCell ref="I295:J295"/>
    <mergeCell ref="I307:J307"/>
    <mergeCell ref="I313:J313"/>
    <mergeCell ref="I319:J319"/>
    <mergeCell ref="I331:J331"/>
    <mergeCell ref="I337:J337"/>
    <mergeCell ref="F417:G417"/>
    <mergeCell ref="F418:G418"/>
    <mergeCell ref="I421:J421"/>
    <mergeCell ref="I427:J427"/>
    <mergeCell ref="F429:G429"/>
    <mergeCell ref="I433:J433"/>
    <mergeCell ref="I439:J439"/>
    <mergeCell ref="I445:J445"/>
    <mergeCell ref="F448:G448"/>
    <mergeCell ref="F441:G441"/>
    <mergeCell ref="F442:G442"/>
    <mergeCell ref="F443:G443"/>
    <mergeCell ref="F431:G431"/>
    <mergeCell ref="F437:G437"/>
    <mergeCell ref="F447:G447"/>
  </mergeCells>
  <printOptions horizontalCentered="1"/>
  <pageMargins left="0.7" right="0.7" top="0.75" bottom="0.75" header="0.3" footer="0.3"/>
  <pageSetup paperSize="9" scale="35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8D8D8"/>
    <pageSetUpPr fitToPage="1"/>
  </sheetPr>
  <dimension ref="A1:Z1007"/>
  <sheetViews>
    <sheetView showGridLines="0" topLeftCell="A22" zoomScale="70" zoomScaleNormal="70" workbookViewId="0">
      <selection activeCell="C22" sqref="C22:C23"/>
    </sheetView>
  </sheetViews>
  <sheetFormatPr defaultColWidth="12.59765625" defaultRowHeight="15" customHeight="1" x14ac:dyDescent="0.25"/>
  <cols>
    <col min="1" max="1" width="3.19921875" customWidth="1"/>
    <col min="2" max="2" width="18.59765625" customWidth="1"/>
    <col min="3" max="3" width="63.09765625" customWidth="1"/>
    <col min="4" max="4" width="18.59765625" customWidth="1"/>
    <col min="5" max="6" width="33.09765625" customWidth="1"/>
    <col min="7" max="7" width="3.19921875" customWidth="1"/>
    <col min="8" max="26" width="13" customWidth="1"/>
  </cols>
  <sheetData>
    <row r="1" spans="1:26" ht="20.25" customHeight="1" x14ac:dyDescent="0.25">
      <c r="A1" s="149"/>
      <c r="B1" s="4"/>
      <c r="C1" s="4"/>
      <c r="D1" s="4"/>
      <c r="E1" s="4"/>
      <c r="F1" s="4"/>
      <c r="G1" s="4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</row>
    <row r="2" spans="1:26" ht="18.75" customHeight="1" x14ac:dyDescent="0.25">
      <c r="A2" s="46"/>
      <c r="B2" s="262" t="s">
        <v>588</v>
      </c>
      <c r="C2" s="263"/>
      <c r="D2" s="263"/>
      <c r="E2" s="263"/>
      <c r="F2" s="264"/>
      <c r="G2" s="46"/>
      <c r="H2" s="47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4"/>
      <c r="W2" s="44"/>
      <c r="X2" s="44"/>
      <c r="Y2" s="44"/>
      <c r="Z2" s="1"/>
    </row>
    <row r="3" spans="1:26" ht="18.75" customHeight="1" x14ac:dyDescent="0.25">
      <c r="A3" s="46"/>
      <c r="B3" s="265"/>
      <c r="C3" s="266"/>
      <c r="D3" s="266"/>
      <c r="E3" s="266"/>
      <c r="F3" s="267"/>
      <c r="G3" s="46"/>
      <c r="H3" s="47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4"/>
      <c r="W3" s="44"/>
      <c r="X3" s="44"/>
      <c r="Y3" s="44"/>
      <c r="Z3" s="1"/>
    </row>
    <row r="4" spans="1:26" ht="18.75" customHeight="1" x14ac:dyDescent="0.25">
      <c r="A4" s="46"/>
      <c r="B4" s="265"/>
      <c r="C4" s="266"/>
      <c r="D4" s="266"/>
      <c r="E4" s="266"/>
      <c r="F4" s="267"/>
      <c r="G4" s="46"/>
      <c r="H4" s="47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4"/>
      <c r="W4" s="44"/>
      <c r="X4" s="44"/>
      <c r="Y4" s="44"/>
      <c r="Z4" s="1"/>
    </row>
    <row r="5" spans="1:26" ht="18.75" customHeight="1" x14ac:dyDescent="0.25">
      <c r="A5" s="46"/>
      <c r="B5" s="265"/>
      <c r="C5" s="266"/>
      <c r="D5" s="266"/>
      <c r="E5" s="266"/>
      <c r="F5" s="267"/>
      <c r="G5" s="46"/>
      <c r="H5" s="47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4"/>
      <c r="W5" s="44"/>
      <c r="X5" s="44"/>
      <c r="Y5" s="44"/>
      <c r="Z5" s="1"/>
    </row>
    <row r="6" spans="1:26" ht="18.75" customHeight="1" x14ac:dyDescent="0.25">
      <c r="A6" s="46"/>
      <c r="B6" s="268"/>
      <c r="C6" s="269"/>
      <c r="D6" s="269"/>
      <c r="E6" s="269"/>
      <c r="F6" s="270"/>
      <c r="G6" s="46"/>
      <c r="H6" s="47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4"/>
      <c r="W6" s="44"/>
      <c r="X6" s="44"/>
      <c r="Y6" s="44"/>
      <c r="Z6" s="1"/>
    </row>
    <row r="7" spans="1:26" ht="15" customHeight="1" x14ac:dyDescent="0.25">
      <c r="A7" s="48"/>
      <c r="B7" s="4"/>
      <c r="C7" s="4"/>
      <c r="D7" s="4"/>
      <c r="E7" s="4"/>
      <c r="F7" s="4"/>
      <c r="G7" s="48"/>
      <c r="H7" s="49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1"/>
    </row>
    <row r="8" spans="1:26" ht="15" customHeight="1" x14ac:dyDescent="0.25">
      <c r="A8" s="48"/>
      <c r="B8" s="50" t="str">
        <f>'DADOS GERAIS'!B8</f>
        <v>Secretaria de Atenção Especializada à Saúde</v>
      </c>
      <c r="C8" s="51"/>
      <c r="D8" s="52" t="s">
        <v>20</v>
      </c>
      <c r="E8" s="52" t="s">
        <v>21</v>
      </c>
      <c r="F8" s="53" t="str">
        <f>'DADOS GERAIS'!$B$22</f>
        <v>Data:</v>
      </c>
      <c r="G8" s="48"/>
      <c r="H8" s="49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1"/>
    </row>
    <row r="9" spans="1:26" ht="15" customHeight="1" x14ac:dyDescent="0.25">
      <c r="A9" s="48"/>
      <c r="B9" s="54" t="str">
        <f>'DADOS GERAIS'!B9</f>
        <v>Policlínica - Área Construída: 3.213,00 m²</v>
      </c>
      <c r="C9" s="55"/>
      <c r="D9" s="56">
        <f>'DADOS GERAIS'!C19</f>
        <v>0.24875249461101823</v>
      </c>
      <c r="E9" s="56">
        <f>'ENCARGOS SOCIAIS'!F56</f>
        <v>0.47570000000000001</v>
      </c>
      <c r="F9" s="57" t="str">
        <f>'DADOS GERAIS'!$C$22</f>
        <v>09/05/2024</v>
      </c>
      <c r="G9" s="48"/>
      <c r="H9" s="49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1"/>
    </row>
    <row r="10" spans="1:26" ht="15" customHeight="1" x14ac:dyDescent="0.25">
      <c r="A10" s="48"/>
      <c r="B10" s="58"/>
      <c r="C10" s="55"/>
      <c r="D10" s="1"/>
      <c r="E10" s="1"/>
      <c r="F10" s="59"/>
      <c r="G10" s="48"/>
      <c r="H10" s="49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1"/>
    </row>
    <row r="11" spans="1:26" ht="15" customHeight="1" x14ac:dyDescent="0.25">
      <c r="A11" s="48"/>
      <c r="B11" s="60" t="str">
        <f>'DADOS GERAIS'!B11</f>
        <v>Bancos:</v>
      </c>
      <c r="C11" s="55"/>
      <c r="D11" s="61" t="s">
        <v>22</v>
      </c>
      <c r="E11" s="61" t="s">
        <v>23</v>
      </c>
      <c r="F11" s="59" t="str">
        <f>'DADOS GERAIS'!$B$23</f>
        <v>Revisão:</v>
      </c>
      <c r="G11" s="48"/>
      <c r="H11" s="49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1"/>
    </row>
    <row r="12" spans="1:26" ht="15" customHeight="1" x14ac:dyDescent="0.25">
      <c r="A12" s="48"/>
      <c r="B12" s="281" t="str">
        <f>'DADOS GERAIS'!B12</f>
        <v>SINAPI (11/2023) - CPOS/CDHU (11/2023) - SBC (11/2023) - ORSE (11/2023) - SEINFRA (028) - IOPES (11/2023) - CAERN (11/2023) - EMOP (11/2023)</v>
      </c>
      <c r="C12" s="282"/>
      <c r="D12" s="56">
        <f>'DADOS GERAIS'!C20</f>
        <v>0.16857590555253088</v>
      </c>
      <c r="E12" s="56">
        <f>'ENCARGOS SOCIAIS'!E56</f>
        <v>0.85555179999999986</v>
      </c>
      <c r="F12" s="62" t="str">
        <f>'DADOS GERAIS'!$C$23</f>
        <v>03</v>
      </c>
      <c r="G12" s="48"/>
      <c r="H12" s="49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1"/>
    </row>
    <row r="13" spans="1:26" ht="15" customHeight="1" x14ac:dyDescent="0.25">
      <c r="A13" s="48"/>
      <c r="B13" s="283"/>
      <c r="C13" s="284"/>
      <c r="D13" s="63"/>
      <c r="E13" s="63"/>
      <c r="F13" s="64"/>
      <c r="G13" s="48"/>
      <c r="H13" s="49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1"/>
    </row>
    <row r="14" spans="1:26" ht="15" customHeight="1" x14ac:dyDescent="0.25">
      <c r="A14" s="48"/>
      <c r="B14" s="4"/>
      <c r="C14" s="4"/>
      <c r="D14" s="4"/>
      <c r="E14" s="4"/>
      <c r="F14" s="4"/>
      <c r="G14" s="48"/>
      <c r="H14" s="49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1"/>
    </row>
    <row r="15" spans="1:26" ht="20.25" customHeight="1" x14ac:dyDescent="0.25">
      <c r="A15" s="4"/>
      <c r="B15" s="150" t="s">
        <v>589</v>
      </c>
      <c r="C15" s="151"/>
      <c r="D15" s="151"/>
      <c r="E15" s="151"/>
      <c r="F15" s="152"/>
      <c r="G15" s="4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</row>
    <row r="16" spans="1:26" ht="20.25" customHeight="1" x14ac:dyDescent="0.25">
      <c r="A16" s="4"/>
      <c r="B16" s="153"/>
      <c r="C16" s="154"/>
      <c r="D16" s="154"/>
      <c r="E16" s="154"/>
      <c r="F16" s="155"/>
      <c r="G16" s="4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</row>
    <row r="17" spans="1:26" ht="20.25" customHeight="1" x14ac:dyDescent="0.25">
      <c r="A17" s="4"/>
      <c r="B17" s="153"/>
      <c r="C17" s="154"/>
      <c r="D17" s="154"/>
      <c r="E17" s="154"/>
      <c r="F17" s="155"/>
      <c r="G17" s="4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</row>
    <row r="18" spans="1:26" ht="20.25" customHeight="1" x14ac:dyDescent="0.25">
      <c r="A18" s="4"/>
      <c r="B18" s="153"/>
      <c r="C18" s="154"/>
      <c r="D18" s="154"/>
      <c r="E18" s="154"/>
      <c r="F18" s="155"/>
      <c r="G18" s="4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</row>
    <row r="19" spans="1:26" ht="20.25" customHeight="1" x14ac:dyDescent="0.25">
      <c r="A19" s="4"/>
      <c r="B19" s="153"/>
      <c r="C19" s="154"/>
      <c r="D19" s="154"/>
      <c r="E19" s="154"/>
      <c r="F19" s="155"/>
      <c r="G19" s="4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</row>
    <row r="20" spans="1:26" ht="20.25" customHeight="1" x14ac:dyDescent="0.25">
      <c r="A20" s="4"/>
      <c r="B20" s="156"/>
      <c r="C20" s="157"/>
      <c r="D20" s="157"/>
      <c r="E20" s="157"/>
      <c r="F20" s="158"/>
      <c r="G20" s="4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</row>
    <row r="21" spans="1:26" ht="15" customHeight="1" x14ac:dyDescent="0.25">
      <c r="A21" s="48"/>
      <c r="B21" s="4"/>
      <c r="C21" s="4"/>
      <c r="D21" s="4"/>
      <c r="E21" s="4"/>
      <c r="F21" s="4"/>
      <c r="G21" s="48"/>
      <c r="H21" s="49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1"/>
    </row>
    <row r="22" spans="1:26" ht="20.25" customHeight="1" x14ac:dyDescent="0.25">
      <c r="A22" s="4"/>
      <c r="B22" s="318" t="s">
        <v>24</v>
      </c>
      <c r="C22" s="318" t="s">
        <v>25</v>
      </c>
      <c r="D22" s="318" t="s">
        <v>590</v>
      </c>
      <c r="E22" s="320" t="s">
        <v>591</v>
      </c>
      <c r="F22" s="320" t="s">
        <v>592</v>
      </c>
      <c r="G22" s="4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</row>
    <row r="23" spans="1:26" ht="20.25" customHeight="1" x14ac:dyDescent="0.25">
      <c r="A23" s="4"/>
      <c r="B23" s="319"/>
      <c r="C23" s="319"/>
      <c r="D23" s="319"/>
      <c r="E23" s="319"/>
      <c r="F23" s="319"/>
      <c r="G23" s="4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</row>
    <row r="24" spans="1:26" ht="15" customHeight="1" x14ac:dyDescent="0.25">
      <c r="A24" s="48"/>
      <c r="B24" s="4"/>
      <c r="C24" s="4"/>
      <c r="D24" s="4"/>
      <c r="E24" s="4"/>
      <c r="F24" s="4"/>
      <c r="G24" s="48"/>
      <c r="H24" s="49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1"/>
    </row>
    <row r="25" spans="1:26" ht="20.25" customHeight="1" x14ac:dyDescent="0.25">
      <c r="A25" s="4"/>
      <c r="B25" s="159">
        <v>1</v>
      </c>
      <c r="C25" s="160" t="s">
        <v>593</v>
      </c>
      <c r="D25" s="159" t="s">
        <v>594</v>
      </c>
      <c r="E25" s="256">
        <v>0.03</v>
      </c>
      <c r="F25" s="256">
        <v>1.4999999999999999E-2</v>
      </c>
      <c r="G25" s="4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</row>
    <row r="26" spans="1:26" ht="20.25" customHeight="1" x14ac:dyDescent="0.25">
      <c r="A26" s="4"/>
      <c r="B26" s="161">
        <v>2</v>
      </c>
      <c r="C26" s="162" t="s">
        <v>595</v>
      </c>
      <c r="D26" s="161" t="s">
        <v>596</v>
      </c>
      <c r="E26" s="163">
        <v>1.2699999999999999E-2</v>
      </c>
      <c r="F26" s="163">
        <v>8.5000000000000006E-3</v>
      </c>
      <c r="G26" s="4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</row>
    <row r="27" spans="1:26" ht="20.25" customHeight="1" x14ac:dyDescent="0.25">
      <c r="A27" s="4"/>
      <c r="B27" s="161">
        <v>3</v>
      </c>
      <c r="C27" s="162" t="s">
        <v>597</v>
      </c>
      <c r="D27" s="161" t="s">
        <v>598</v>
      </c>
      <c r="E27" s="163">
        <v>8.0000000000000002E-3</v>
      </c>
      <c r="F27" s="163">
        <v>4.7999999999999996E-3</v>
      </c>
      <c r="G27" s="4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</row>
    <row r="28" spans="1:26" ht="20.25" customHeight="1" x14ac:dyDescent="0.25">
      <c r="A28" s="4"/>
      <c r="B28" s="161">
        <v>4</v>
      </c>
      <c r="C28" s="162" t="s">
        <v>599</v>
      </c>
      <c r="D28" s="161" t="s">
        <v>600</v>
      </c>
      <c r="E28" s="163">
        <v>5.8999999999999999E-3</v>
      </c>
      <c r="F28" s="163">
        <v>8.5000000000000006E-3</v>
      </c>
      <c r="G28" s="4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</row>
    <row r="29" spans="1:26" ht="20.25" customHeight="1" x14ac:dyDescent="0.25">
      <c r="A29" s="4"/>
      <c r="B29" s="161">
        <v>5</v>
      </c>
      <c r="C29" s="162" t="s">
        <v>601</v>
      </c>
      <c r="D29" s="161" t="s">
        <v>497</v>
      </c>
      <c r="E29" s="163">
        <v>6.1600000000000002E-2</v>
      </c>
      <c r="F29" s="163">
        <v>3.5000000000000003E-2</v>
      </c>
      <c r="G29" s="4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</row>
    <row r="30" spans="1:26" ht="20.25" customHeight="1" x14ac:dyDescent="0.25">
      <c r="A30" s="4"/>
      <c r="B30" s="161">
        <v>6</v>
      </c>
      <c r="C30" s="162" t="s">
        <v>602</v>
      </c>
      <c r="D30" s="161" t="s">
        <v>603</v>
      </c>
      <c r="E30" s="163">
        <f t="shared" ref="E30:F30" si="0">SUM(E31:E34)</f>
        <v>0.10149999999999999</v>
      </c>
      <c r="F30" s="163">
        <f t="shared" si="0"/>
        <v>8.1499999999999989E-2</v>
      </c>
      <c r="G30" s="4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</row>
    <row r="31" spans="1:26" ht="20.25" customHeight="1" x14ac:dyDescent="0.25">
      <c r="A31" s="4"/>
      <c r="B31" s="161" t="s">
        <v>604</v>
      </c>
      <c r="C31" s="162" t="s">
        <v>605</v>
      </c>
      <c r="D31" s="162"/>
      <c r="E31" s="163">
        <v>6.4999999999999997E-3</v>
      </c>
      <c r="F31" s="163">
        <v>6.4999999999999997E-3</v>
      </c>
      <c r="G31" s="4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</row>
    <row r="32" spans="1:26" ht="20.25" customHeight="1" x14ac:dyDescent="0.25">
      <c r="A32" s="4"/>
      <c r="B32" s="161" t="s">
        <v>606</v>
      </c>
      <c r="C32" s="162" t="s">
        <v>607</v>
      </c>
      <c r="D32" s="162"/>
      <c r="E32" s="163">
        <v>0.03</v>
      </c>
      <c r="F32" s="163">
        <v>0.03</v>
      </c>
      <c r="G32" s="4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</row>
    <row r="33" spans="1:26" ht="20.25" customHeight="1" x14ac:dyDescent="0.25">
      <c r="A33" s="4"/>
      <c r="B33" s="161" t="s">
        <v>608</v>
      </c>
      <c r="C33" s="162" t="s">
        <v>609</v>
      </c>
      <c r="D33" s="162"/>
      <c r="E33" s="163">
        <v>0.02</v>
      </c>
      <c r="F33" s="163">
        <v>0</v>
      </c>
      <c r="G33" s="4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</row>
    <row r="34" spans="1:26" ht="20.25" customHeight="1" x14ac:dyDescent="0.25">
      <c r="A34" s="4"/>
      <c r="B34" s="161" t="s">
        <v>610</v>
      </c>
      <c r="C34" s="162" t="s">
        <v>611</v>
      </c>
      <c r="D34" s="162"/>
      <c r="E34" s="163">
        <v>4.4999999999999998E-2</v>
      </c>
      <c r="F34" s="163">
        <v>4.4999999999999998E-2</v>
      </c>
      <c r="G34" s="4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</row>
    <row r="35" spans="1:26" ht="20.25" customHeight="1" x14ac:dyDescent="0.25">
      <c r="A35" s="4"/>
      <c r="B35" s="164"/>
      <c r="C35" s="165"/>
      <c r="D35" s="165"/>
      <c r="E35" s="163"/>
      <c r="F35" s="163"/>
      <c r="G35" s="4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</row>
    <row r="36" spans="1:26" ht="20.25" customHeight="1" x14ac:dyDescent="0.25">
      <c r="A36" s="4"/>
      <c r="B36" s="277" t="s">
        <v>612</v>
      </c>
      <c r="C36" s="272"/>
      <c r="D36" s="273"/>
      <c r="E36" s="70">
        <f t="shared" ref="E36:F36" si="1">((1+E25+E26+E27)*(1+E28)*(1+E29)/(1-E30))-1</f>
        <v>0.24875249461101823</v>
      </c>
      <c r="F36" s="70">
        <f t="shared" si="1"/>
        <v>0.16857590555253088</v>
      </c>
      <c r="G36" s="4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</row>
    <row r="37" spans="1:26" ht="6" customHeight="1" x14ac:dyDescent="0.25">
      <c r="A37" s="4"/>
      <c r="B37" s="65"/>
      <c r="C37" s="65"/>
      <c r="D37" s="65"/>
      <c r="E37" s="166"/>
      <c r="F37" s="166"/>
      <c r="G37" s="4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</row>
    <row r="38" spans="1:26" ht="6" customHeight="1" x14ac:dyDescent="0.25">
      <c r="A38" s="4"/>
      <c r="B38" s="65"/>
      <c r="C38" s="65"/>
      <c r="D38" s="65"/>
      <c r="E38" s="166"/>
      <c r="F38" s="166"/>
      <c r="G38" s="4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</row>
    <row r="39" spans="1:26" ht="20.25" customHeight="1" x14ac:dyDescent="0.25">
      <c r="A39" s="4"/>
      <c r="B39" s="66" t="s">
        <v>613</v>
      </c>
      <c r="C39" s="48"/>
      <c r="D39" s="48"/>
      <c r="E39" s="48"/>
      <c r="F39" s="48"/>
      <c r="G39" s="4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</row>
    <row r="40" spans="1:26" ht="20.25" customHeight="1" x14ac:dyDescent="0.25">
      <c r="A40" s="4"/>
      <c r="B40" s="32" t="s">
        <v>614</v>
      </c>
      <c r="C40" s="321" t="s">
        <v>615</v>
      </c>
      <c r="D40" s="266"/>
      <c r="E40" s="266"/>
      <c r="F40" s="266"/>
      <c r="G40" s="4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</row>
    <row r="41" spans="1:26" ht="20.25" customHeight="1" x14ac:dyDescent="0.25">
      <c r="A41" s="4"/>
      <c r="B41" s="32" t="s">
        <v>616</v>
      </c>
      <c r="C41" s="321" t="s">
        <v>617</v>
      </c>
      <c r="D41" s="266"/>
      <c r="E41" s="266"/>
      <c r="F41" s="266"/>
      <c r="G41" s="4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</row>
    <row r="42" spans="1:26" ht="66" customHeight="1" x14ac:dyDescent="0.25">
      <c r="A42" s="4"/>
      <c r="B42" s="32" t="s">
        <v>618</v>
      </c>
      <c r="C42" s="322" t="s">
        <v>1871</v>
      </c>
      <c r="D42" s="266"/>
      <c r="E42" s="266"/>
      <c r="F42" s="266"/>
      <c r="G42" s="4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</row>
    <row r="43" spans="1:26" ht="20.25" customHeight="1" x14ac:dyDescent="0.25">
      <c r="A43" s="4"/>
      <c r="B43" s="32"/>
      <c r="C43" s="48"/>
      <c r="D43" s="168"/>
      <c r="E43" s="168"/>
      <c r="F43" s="168"/>
      <c r="G43" s="4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</row>
    <row r="44" spans="1:26" ht="20.25" customHeight="1" x14ac:dyDescent="0.25">
      <c r="A44" s="4"/>
      <c r="B44" s="66" t="s">
        <v>619</v>
      </c>
      <c r="C44" s="48"/>
      <c r="D44" s="48"/>
      <c r="E44" s="48"/>
      <c r="F44" s="48"/>
      <c r="G44" s="4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</row>
    <row r="45" spans="1:26" ht="20.25" customHeight="1" x14ac:dyDescent="0.25">
      <c r="A45" s="4"/>
      <c r="B45" s="32" t="s">
        <v>614</v>
      </c>
      <c r="C45" s="321" t="s">
        <v>620</v>
      </c>
      <c r="D45" s="266"/>
      <c r="E45" s="266"/>
      <c r="F45" s="266"/>
      <c r="G45" s="4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</row>
    <row r="46" spans="1:26" ht="20.25" customHeight="1" x14ac:dyDescent="0.25">
      <c r="A46" s="4"/>
      <c r="B46" s="32" t="s">
        <v>616</v>
      </c>
      <c r="C46" s="321" t="s">
        <v>621</v>
      </c>
      <c r="D46" s="266"/>
      <c r="E46" s="266"/>
      <c r="F46" s="266"/>
      <c r="G46" s="4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</row>
    <row r="47" spans="1:26" ht="20.25" customHeight="1" x14ac:dyDescent="0.25">
      <c r="A47" s="4"/>
      <c r="B47" s="4"/>
      <c r="C47" s="4"/>
      <c r="D47" s="4"/>
      <c r="E47" s="4"/>
      <c r="F47" s="169"/>
      <c r="G47" s="4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</row>
    <row r="48" spans="1:26" ht="20.25" customHeight="1" x14ac:dyDescent="0.25">
      <c r="A48" s="4"/>
      <c r="B48" s="316" t="s">
        <v>18</v>
      </c>
      <c r="C48" s="263"/>
      <c r="D48" s="263"/>
      <c r="E48" s="263"/>
      <c r="F48" s="264"/>
      <c r="G48" s="4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</row>
    <row r="49" spans="1:26" ht="20.25" customHeight="1" x14ac:dyDescent="0.25">
      <c r="A49" s="4"/>
      <c r="B49" s="265"/>
      <c r="C49" s="266"/>
      <c r="D49" s="266"/>
      <c r="E49" s="266"/>
      <c r="F49" s="267"/>
      <c r="G49" s="4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</row>
    <row r="50" spans="1:26" ht="20.25" customHeight="1" x14ac:dyDescent="0.25">
      <c r="A50" s="4"/>
      <c r="B50" s="265"/>
      <c r="C50" s="266"/>
      <c r="D50" s="266"/>
      <c r="E50" s="266"/>
      <c r="F50" s="267"/>
      <c r="G50" s="4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</row>
    <row r="51" spans="1:26" ht="20.25" customHeight="1" x14ac:dyDescent="0.25">
      <c r="A51" s="4"/>
      <c r="B51" s="265"/>
      <c r="C51" s="266"/>
      <c r="D51" s="266"/>
      <c r="E51" s="266"/>
      <c r="F51" s="267"/>
      <c r="G51" s="4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</row>
    <row r="52" spans="1:26" ht="20.25" customHeight="1" x14ac:dyDescent="0.3">
      <c r="A52" s="4"/>
      <c r="B52" s="275" t="str">
        <f>'DADOS GERAIS'!C24</f>
        <v>Thaís Ferreira Pellaquim</v>
      </c>
      <c r="C52" s="266"/>
      <c r="D52" s="266"/>
      <c r="E52" s="266"/>
      <c r="F52" s="267"/>
      <c r="G52" s="4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</row>
    <row r="53" spans="1:26" ht="20.25" customHeight="1" x14ac:dyDescent="0.25">
      <c r="A53" s="4"/>
      <c r="B53" s="317" t="str">
        <f>'DADOS GERAIS'!C25</f>
        <v>Engenheira Civil  - CREA MG 247749/D</v>
      </c>
      <c r="C53" s="266"/>
      <c r="D53" s="266"/>
      <c r="E53" s="266"/>
      <c r="F53" s="267"/>
      <c r="G53" s="4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</row>
    <row r="54" spans="1:26" ht="20.25" customHeight="1" x14ac:dyDescent="0.25">
      <c r="A54" s="4"/>
      <c r="B54" s="170"/>
      <c r="C54" s="171"/>
      <c r="D54" s="171"/>
      <c r="E54" s="171"/>
      <c r="F54" s="172"/>
      <c r="G54" s="4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</row>
    <row r="55" spans="1:26" ht="15.75" customHeight="1" x14ac:dyDescent="0.25">
      <c r="A55" s="4"/>
      <c r="B55" s="93"/>
      <c r="C55" s="42"/>
      <c r="D55" s="42"/>
      <c r="E55" s="42"/>
      <c r="F55" s="43"/>
      <c r="G55" s="4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</row>
    <row r="56" spans="1:26" ht="20.25" customHeight="1" x14ac:dyDescent="0.25">
      <c r="A56" s="4"/>
      <c r="B56" s="4"/>
      <c r="C56" s="4"/>
      <c r="D56" s="4"/>
      <c r="E56" s="4"/>
      <c r="F56" s="4"/>
      <c r="G56" s="4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</row>
    <row r="57" spans="1:26" ht="15.75" customHeight="1" x14ac:dyDescent="0.25">
      <c r="A57" s="149"/>
      <c r="B57" s="149"/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</row>
    <row r="58" spans="1:26" ht="15.75" customHeight="1" x14ac:dyDescent="0.25">
      <c r="A58" s="149"/>
      <c r="B58" s="149"/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</row>
    <row r="59" spans="1:26" ht="15.75" customHeight="1" x14ac:dyDescent="0.25">
      <c r="A59" s="149"/>
      <c r="B59" s="149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</row>
    <row r="60" spans="1:26" ht="15.75" customHeight="1" x14ac:dyDescent="0.25">
      <c r="A60" s="149"/>
      <c r="B60" s="149"/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</row>
    <row r="61" spans="1:26" ht="15.75" customHeight="1" x14ac:dyDescent="0.25">
      <c r="A61" s="149"/>
      <c r="B61" s="149"/>
      <c r="C61" s="149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</row>
    <row r="62" spans="1:26" ht="15.75" customHeight="1" x14ac:dyDescent="0.25">
      <c r="A62" s="149"/>
      <c r="B62" s="149"/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</row>
    <row r="63" spans="1:26" ht="15.75" customHeight="1" x14ac:dyDescent="0.25">
      <c r="A63" s="149"/>
      <c r="B63" s="149"/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</row>
    <row r="64" spans="1:26" ht="15.75" customHeight="1" x14ac:dyDescent="0.25">
      <c r="A64" s="149"/>
      <c r="B64" s="149"/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</row>
    <row r="65" spans="1:26" ht="15.75" customHeight="1" x14ac:dyDescent="0.25">
      <c r="A65" s="149"/>
      <c r="B65" s="149"/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</row>
    <row r="66" spans="1:26" ht="15.75" customHeight="1" x14ac:dyDescent="0.25">
      <c r="A66" s="149"/>
      <c r="B66" s="149"/>
      <c r="C66" s="149"/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</row>
    <row r="67" spans="1:26" ht="15.75" customHeight="1" x14ac:dyDescent="0.25">
      <c r="A67" s="149"/>
      <c r="B67" s="149"/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</row>
    <row r="68" spans="1:26" ht="15.75" customHeight="1" x14ac:dyDescent="0.25">
      <c r="A68" s="149"/>
      <c r="B68" s="149"/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</row>
    <row r="69" spans="1:26" ht="15.75" customHeight="1" x14ac:dyDescent="0.25">
      <c r="A69" s="149"/>
      <c r="B69" s="149"/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</row>
    <row r="70" spans="1:26" ht="15.75" customHeight="1" x14ac:dyDescent="0.25">
      <c r="A70" s="149"/>
      <c r="B70" s="149"/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</row>
    <row r="71" spans="1:26" ht="15.75" customHeight="1" x14ac:dyDescent="0.25">
      <c r="A71" s="149"/>
      <c r="B71" s="149"/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</row>
    <row r="72" spans="1:26" ht="15.75" customHeight="1" x14ac:dyDescent="0.25">
      <c r="A72" s="149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</row>
    <row r="73" spans="1:26" ht="15.75" customHeight="1" x14ac:dyDescent="0.25">
      <c r="A73" s="149"/>
      <c r="B73" s="149"/>
      <c r="C73" s="149"/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</row>
    <row r="74" spans="1:26" ht="15.75" customHeight="1" x14ac:dyDescent="0.25">
      <c r="A74" s="149"/>
      <c r="B74" s="149"/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</row>
    <row r="75" spans="1:26" ht="15.75" customHeight="1" x14ac:dyDescent="0.25">
      <c r="A75" s="149"/>
      <c r="B75" s="149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</row>
    <row r="76" spans="1:26" ht="15.75" customHeight="1" x14ac:dyDescent="0.25">
      <c r="A76" s="149"/>
      <c r="B76" s="149"/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</row>
    <row r="77" spans="1:26" ht="15.75" customHeight="1" x14ac:dyDescent="0.25">
      <c r="A77" s="149"/>
      <c r="B77" s="149"/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</row>
    <row r="78" spans="1:26" ht="15.75" customHeight="1" x14ac:dyDescent="0.25">
      <c r="A78" s="149"/>
      <c r="B78" s="149"/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</row>
    <row r="79" spans="1:26" ht="15.75" customHeight="1" x14ac:dyDescent="0.25">
      <c r="A79" s="149"/>
      <c r="B79" s="149"/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</row>
    <row r="80" spans="1:26" ht="15.75" customHeight="1" x14ac:dyDescent="0.25">
      <c r="A80" s="149"/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</row>
    <row r="81" spans="1:26" ht="15.75" customHeight="1" x14ac:dyDescent="0.25">
      <c r="A81" s="149"/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</row>
    <row r="82" spans="1:26" ht="15.75" customHeight="1" x14ac:dyDescent="0.25">
      <c r="A82" s="149"/>
      <c r="B82" s="149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</row>
    <row r="83" spans="1:26" ht="15.75" customHeight="1" x14ac:dyDescent="0.25">
      <c r="A83" s="149"/>
      <c r="B83" s="149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</row>
    <row r="84" spans="1:26" ht="15.75" customHeight="1" x14ac:dyDescent="0.25">
      <c r="A84" s="149"/>
      <c r="B84" s="149"/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</row>
    <row r="85" spans="1:26" ht="15.75" customHeight="1" x14ac:dyDescent="0.25">
      <c r="A85" s="149"/>
      <c r="B85" s="149"/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</row>
    <row r="86" spans="1:26" ht="15.75" customHeight="1" x14ac:dyDescent="0.25">
      <c r="A86" s="149"/>
      <c r="B86" s="149"/>
      <c r="C86" s="149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</row>
    <row r="87" spans="1:26" ht="15.75" customHeight="1" x14ac:dyDescent="0.25">
      <c r="A87" s="149"/>
      <c r="B87" s="149"/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</row>
    <row r="88" spans="1:26" ht="15.75" customHeight="1" x14ac:dyDescent="0.25">
      <c r="A88" s="149"/>
      <c r="B88" s="149"/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</row>
    <row r="89" spans="1:26" ht="15.75" customHeight="1" x14ac:dyDescent="0.25">
      <c r="A89" s="149"/>
      <c r="B89" s="149"/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</row>
    <row r="90" spans="1:26" ht="15.75" customHeight="1" x14ac:dyDescent="0.25">
      <c r="A90" s="149"/>
      <c r="B90" s="149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</row>
    <row r="91" spans="1:26" ht="15.75" customHeight="1" x14ac:dyDescent="0.25">
      <c r="A91" s="149"/>
      <c r="B91" s="149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</row>
    <row r="92" spans="1:26" ht="15.75" customHeight="1" x14ac:dyDescent="0.25">
      <c r="A92" s="149"/>
      <c r="B92" s="149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</row>
    <row r="93" spans="1:26" ht="15.75" customHeight="1" x14ac:dyDescent="0.25">
      <c r="A93" s="149"/>
      <c r="B93" s="149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</row>
    <row r="94" spans="1:26" ht="15.75" customHeight="1" x14ac:dyDescent="0.25">
      <c r="A94" s="149"/>
      <c r="B94" s="149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</row>
    <row r="95" spans="1:26" ht="15.75" customHeight="1" x14ac:dyDescent="0.25">
      <c r="A95" s="149"/>
      <c r="B95" s="149"/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</row>
    <row r="96" spans="1:26" ht="15.75" customHeight="1" x14ac:dyDescent="0.25">
      <c r="A96" s="149"/>
      <c r="B96" s="149"/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</row>
    <row r="97" spans="1:26" ht="15.75" customHeight="1" x14ac:dyDescent="0.25">
      <c r="A97" s="149"/>
      <c r="B97" s="149"/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</row>
    <row r="98" spans="1:26" ht="15.75" customHeight="1" x14ac:dyDescent="0.25">
      <c r="A98" s="149"/>
      <c r="B98" s="149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</row>
    <row r="99" spans="1:26" ht="15.75" customHeight="1" x14ac:dyDescent="0.25">
      <c r="A99" s="149"/>
      <c r="B99" s="149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</row>
    <row r="100" spans="1:26" ht="15.75" customHeight="1" x14ac:dyDescent="0.25">
      <c r="A100" s="149"/>
      <c r="B100" s="149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</row>
    <row r="101" spans="1:26" ht="15.75" customHeight="1" x14ac:dyDescent="0.25">
      <c r="A101" s="149"/>
      <c r="B101" s="149"/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</row>
    <row r="102" spans="1:26" ht="15.75" customHeight="1" x14ac:dyDescent="0.25">
      <c r="A102" s="149"/>
      <c r="B102" s="149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</row>
    <row r="103" spans="1:26" ht="15.75" customHeight="1" x14ac:dyDescent="0.25">
      <c r="A103" s="149"/>
      <c r="B103" s="149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</row>
    <row r="104" spans="1:26" ht="15.75" customHeight="1" x14ac:dyDescent="0.25">
      <c r="A104" s="149"/>
      <c r="B104" s="149"/>
      <c r="C104" s="149"/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</row>
    <row r="105" spans="1:26" ht="15.75" customHeight="1" x14ac:dyDescent="0.25">
      <c r="A105" s="149"/>
      <c r="B105" s="149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</row>
    <row r="106" spans="1:26" ht="15.75" customHeight="1" x14ac:dyDescent="0.25">
      <c r="A106" s="149"/>
      <c r="B106" s="149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</row>
    <row r="107" spans="1:26" ht="15.75" customHeight="1" x14ac:dyDescent="0.25">
      <c r="A107" s="149"/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</row>
    <row r="108" spans="1:26" ht="15.75" customHeight="1" x14ac:dyDescent="0.25">
      <c r="A108" s="149"/>
      <c r="B108" s="149"/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</row>
    <row r="109" spans="1:26" ht="15.75" customHeight="1" x14ac:dyDescent="0.25">
      <c r="A109" s="149"/>
      <c r="B109" s="149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</row>
    <row r="110" spans="1:26" ht="15.75" customHeight="1" x14ac:dyDescent="0.25">
      <c r="A110" s="149"/>
      <c r="B110" s="149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</row>
    <row r="111" spans="1:26" ht="15.75" customHeight="1" x14ac:dyDescent="0.25">
      <c r="A111" s="149"/>
      <c r="B111" s="149"/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</row>
    <row r="112" spans="1:26" ht="15.75" customHeight="1" x14ac:dyDescent="0.25">
      <c r="A112" s="149"/>
      <c r="B112" s="149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</row>
    <row r="113" spans="1:26" ht="15.75" customHeight="1" x14ac:dyDescent="0.25">
      <c r="A113" s="149"/>
      <c r="B113" s="149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</row>
    <row r="114" spans="1:26" ht="15.75" customHeight="1" x14ac:dyDescent="0.25">
      <c r="A114" s="149"/>
      <c r="B114" s="149"/>
      <c r="C114" s="149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</row>
    <row r="115" spans="1:26" ht="15.75" customHeight="1" x14ac:dyDescent="0.25">
      <c r="A115" s="149"/>
      <c r="B115" s="149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</row>
    <row r="116" spans="1:26" ht="15.75" customHeight="1" x14ac:dyDescent="0.25">
      <c r="A116" s="149"/>
      <c r="B116" s="149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</row>
    <row r="117" spans="1:26" ht="15.75" customHeight="1" x14ac:dyDescent="0.25">
      <c r="A117" s="149"/>
      <c r="B117" s="149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</row>
    <row r="118" spans="1:26" ht="15.75" customHeight="1" x14ac:dyDescent="0.25">
      <c r="A118" s="149"/>
      <c r="B118" s="149"/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</row>
    <row r="119" spans="1:26" ht="15.75" customHeight="1" x14ac:dyDescent="0.25">
      <c r="A119" s="149"/>
      <c r="B119" s="149"/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</row>
    <row r="120" spans="1:26" ht="15.75" customHeight="1" x14ac:dyDescent="0.25">
      <c r="A120" s="149"/>
      <c r="B120" s="149"/>
      <c r="C120" s="149"/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</row>
    <row r="121" spans="1:26" ht="15.75" customHeight="1" x14ac:dyDescent="0.25">
      <c r="A121" s="149"/>
      <c r="B121" s="149"/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</row>
    <row r="122" spans="1:26" ht="15.75" customHeight="1" x14ac:dyDescent="0.25">
      <c r="A122" s="149"/>
      <c r="B122" s="149"/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</row>
    <row r="123" spans="1:26" ht="15.75" customHeight="1" x14ac:dyDescent="0.25">
      <c r="A123" s="149"/>
      <c r="B123" s="149"/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</row>
    <row r="124" spans="1:26" ht="15.75" customHeight="1" x14ac:dyDescent="0.25">
      <c r="A124" s="149"/>
      <c r="B124" s="149"/>
      <c r="C124" s="149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</row>
    <row r="125" spans="1:26" ht="15.75" customHeight="1" x14ac:dyDescent="0.25">
      <c r="A125" s="149"/>
      <c r="B125" s="149"/>
      <c r="C125" s="149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</row>
    <row r="126" spans="1:26" ht="15.75" customHeight="1" x14ac:dyDescent="0.25">
      <c r="A126" s="149"/>
      <c r="B126" s="149"/>
      <c r="C126" s="149"/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</row>
    <row r="127" spans="1:26" ht="15.75" customHeight="1" x14ac:dyDescent="0.25">
      <c r="A127" s="149"/>
      <c r="B127" s="149"/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</row>
    <row r="128" spans="1:26" ht="15.75" customHeight="1" x14ac:dyDescent="0.25">
      <c r="A128" s="149"/>
      <c r="B128" s="149"/>
      <c r="C128" s="149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</row>
    <row r="129" spans="1:26" ht="15.75" customHeight="1" x14ac:dyDescent="0.25">
      <c r="A129" s="149"/>
      <c r="B129" s="149"/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</row>
    <row r="130" spans="1:26" ht="15.75" customHeight="1" x14ac:dyDescent="0.25">
      <c r="A130" s="149"/>
      <c r="B130" s="149"/>
      <c r="C130" s="149"/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</row>
    <row r="131" spans="1:26" ht="15.75" customHeight="1" x14ac:dyDescent="0.25">
      <c r="A131" s="149"/>
      <c r="B131" s="149"/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</row>
    <row r="132" spans="1:26" ht="15.75" customHeight="1" x14ac:dyDescent="0.25">
      <c r="A132" s="149"/>
      <c r="B132" s="149"/>
      <c r="C132" s="149"/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</row>
    <row r="133" spans="1:26" ht="15.75" customHeight="1" x14ac:dyDescent="0.25">
      <c r="A133" s="149"/>
      <c r="B133" s="149"/>
      <c r="C133" s="149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</row>
    <row r="134" spans="1:26" ht="15.75" customHeight="1" x14ac:dyDescent="0.25">
      <c r="A134" s="149"/>
      <c r="B134" s="149"/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</row>
    <row r="135" spans="1:26" ht="15.75" customHeight="1" x14ac:dyDescent="0.25">
      <c r="A135" s="149"/>
      <c r="B135" s="149"/>
      <c r="C135" s="149"/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</row>
    <row r="136" spans="1:26" ht="15.75" customHeight="1" x14ac:dyDescent="0.25">
      <c r="A136" s="149"/>
      <c r="B136" s="149"/>
      <c r="C136" s="149"/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</row>
    <row r="137" spans="1:26" ht="15.75" customHeight="1" x14ac:dyDescent="0.25">
      <c r="A137" s="149"/>
      <c r="B137" s="149"/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</row>
    <row r="138" spans="1:26" ht="15.75" customHeight="1" x14ac:dyDescent="0.25">
      <c r="A138" s="149"/>
      <c r="B138" s="149"/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</row>
    <row r="139" spans="1:26" ht="15.75" customHeight="1" x14ac:dyDescent="0.25">
      <c r="A139" s="149"/>
      <c r="B139" s="149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</row>
    <row r="140" spans="1:26" ht="15.75" customHeight="1" x14ac:dyDescent="0.25">
      <c r="A140" s="149"/>
      <c r="B140" s="149"/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</row>
    <row r="141" spans="1:26" ht="15.75" customHeight="1" x14ac:dyDescent="0.25">
      <c r="A141" s="149"/>
      <c r="B141" s="149"/>
      <c r="C141" s="149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</row>
    <row r="142" spans="1:26" ht="15.75" customHeight="1" x14ac:dyDescent="0.25">
      <c r="A142" s="149"/>
      <c r="B142" s="149"/>
      <c r="C142" s="149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</row>
    <row r="143" spans="1:26" ht="15.75" customHeight="1" x14ac:dyDescent="0.25">
      <c r="A143" s="149"/>
      <c r="B143" s="149"/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</row>
    <row r="144" spans="1:26" ht="15.75" customHeight="1" x14ac:dyDescent="0.25">
      <c r="A144" s="149"/>
      <c r="B144" s="149"/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</row>
    <row r="145" spans="1:26" ht="15.75" customHeight="1" x14ac:dyDescent="0.25">
      <c r="A145" s="149"/>
      <c r="B145" s="149"/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</row>
    <row r="146" spans="1:26" ht="15.75" customHeight="1" x14ac:dyDescent="0.25">
      <c r="A146" s="149"/>
      <c r="B146" s="149"/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</row>
    <row r="147" spans="1:26" ht="15.75" customHeight="1" x14ac:dyDescent="0.25">
      <c r="A147" s="149"/>
      <c r="B147" s="149"/>
      <c r="C147" s="149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</row>
    <row r="148" spans="1:26" ht="15.75" customHeight="1" x14ac:dyDescent="0.25">
      <c r="A148" s="149"/>
      <c r="B148" s="149"/>
      <c r="C148" s="149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</row>
    <row r="149" spans="1:26" ht="15.75" customHeight="1" x14ac:dyDescent="0.25">
      <c r="A149" s="149"/>
      <c r="B149" s="149"/>
      <c r="C149" s="149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</row>
    <row r="150" spans="1:26" ht="15.75" customHeight="1" x14ac:dyDescent="0.25">
      <c r="A150" s="149"/>
      <c r="B150" s="149"/>
      <c r="C150" s="149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</row>
    <row r="151" spans="1:26" ht="15.75" customHeight="1" x14ac:dyDescent="0.25">
      <c r="A151" s="149"/>
      <c r="B151" s="149"/>
      <c r="C151" s="149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</row>
    <row r="152" spans="1:26" ht="15.75" customHeight="1" x14ac:dyDescent="0.25">
      <c r="A152" s="149"/>
      <c r="B152" s="149"/>
      <c r="C152" s="149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</row>
    <row r="153" spans="1:26" ht="15.75" customHeight="1" x14ac:dyDescent="0.25">
      <c r="A153" s="149"/>
      <c r="B153" s="149"/>
      <c r="C153" s="149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</row>
    <row r="154" spans="1:26" ht="15.75" customHeight="1" x14ac:dyDescent="0.25">
      <c r="A154" s="149"/>
      <c r="B154" s="149"/>
      <c r="C154" s="149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</row>
    <row r="155" spans="1:26" ht="15.75" customHeight="1" x14ac:dyDescent="0.25">
      <c r="A155" s="149"/>
      <c r="B155" s="149"/>
      <c r="C155" s="149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</row>
    <row r="156" spans="1:26" ht="15.75" customHeight="1" x14ac:dyDescent="0.25">
      <c r="A156" s="149"/>
      <c r="B156" s="149"/>
      <c r="C156" s="149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</row>
    <row r="157" spans="1:26" ht="15.75" customHeight="1" x14ac:dyDescent="0.25">
      <c r="A157" s="149"/>
      <c r="B157" s="149"/>
      <c r="C157" s="149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</row>
    <row r="158" spans="1:26" ht="15.75" customHeight="1" x14ac:dyDescent="0.25">
      <c r="A158" s="149"/>
      <c r="B158" s="149"/>
      <c r="C158" s="149"/>
      <c r="D158" s="149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</row>
    <row r="159" spans="1:26" ht="15.75" customHeight="1" x14ac:dyDescent="0.25">
      <c r="A159" s="149"/>
      <c r="B159" s="149"/>
      <c r="C159" s="149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</row>
    <row r="160" spans="1:26" ht="15.75" customHeight="1" x14ac:dyDescent="0.25">
      <c r="A160" s="149"/>
      <c r="B160" s="149"/>
      <c r="C160" s="149"/>
      <c r="D160" s="149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</row>
    <row r="161" spans="1:26" ht="15.75" customHeight="1" x14ac:dyDescent="0.25">
      <c r="A161" s="149"/>
      <c r="B161" s="149"/>
      <c r="C161" s="149"/>
      <c r="D161" s="149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</row>
    <row r="162" spans="1:26" ht="15.75" customHeight="1" x14ac:dyDescent="0.25">
      <c r="A162" s="149"/>
      <c r="B162" s="149"/>
      <c r="C162" s="149"/>
      <c r="D162" s="149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</row>
    <row r="163" spans="1:26" ht="15.75" customHeight="1" x14ac:dyDescent="0.25">
      <c r="A163" s="149"/>
      <c r="B163" s="149"/>
      <c r="C163" s="149"/>
      <c r="D163" s="149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</row>
    <row r="164" spans="1:26" ht="15.75" customHeight="1" x14ac:dyDescent="0.25">
      <c r="A164" s="149"/>
      <c r="B164" s="149"/>
      <c r="C164" s="149"/>
      <c r="D164" s="149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</row>
    <row r="165" spans="1:26" ht="15.75" customHeight="1" x14ac:dyDescent="0.25">
      <c r="A165" s="149"/>
      <c r="B165" s="149"/>
      <c r="C165" s="149"/>
      <c r="D165" s="149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</row>
    <row r="166" spans="1:26" ht="15.75" customHeight="1" x14ac:dyDescent="0.25">
      <c r="A166" s="149"/>
      <c r="B166" s="149"/>
      <c r="C166" s="149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</row>
    <row r="167" spans="1:26" ht="15.75" customHeight="1" x14ac:dyDescent="0.25">
      <c r="A167" s="149"/>
      <c r="B167" s="149"/>
      <c r="C167" s="149"/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</row>
    <row r="168" spans="1:26" ht="15.75" customHeight="1" x14ac:dyDescent="0.25">
      <c r="A168" s="149"/>
      <c r="B168" s="149"/>
      <c r="C168" s="149"/>
      <c r="D168" s="149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</row>
    <row r="169" spans="1:26" ht="15.75" customHeight="1" x14ac:dyDescent="0.25">
      <c r="A169" s="149"/>
      <c r="B169" s="149"/>
      <c r="C169" s="149"/>
      <c r="D169" s="149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</row>
    <row r="170" spans="1:26" ht="15.75" customHeight="1" x14ac:dyDescent="0.25">
      <c r="A170" s="149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</row>
    <row r="171" spans="1:26" ht="15.75" customHeight="1" x14ac:dyDescent="0.25">
      <c r="A171" s="149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</row>
    <row r="172" spans="1:26" ht="15.75" customHeight="1" x14ac:dyDescent="0.25">
      <c r="A172" s="149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</row>
    <row r="173" spans="1:26" ht="15.75" customHeight="1" x14ac:dyDescent="0.25">
      <c r="A173" s="149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</row>
    <row r="174" spans="1:26" ht="15.75" customHeight="1" x14ac:dyDescent="0.25">
      <c r="A174" s="149"/>
      <c r="B174" s="149"/>
      <c r="C174" s="149"/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</row>
    <row r="175" spans="1:26" ht="15.75" customHeight="1" x14ac:dyDescent="0.25">
      <c r="A175" s="149"/>
      <c r="B175" s="149"/>
      <c r="C175" s="149"/>
      <c r="D175" s="149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</row>
    <row r="176" spans="1:26" ht="15.75" customHeight="1" x14ac:dyDescent="0.25">
      <c r="A176" s="149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</row>
    <row r="177" spans="1:26" ht="15.75" customHeight="1" x14ac:dyDescent="0.25">
      <c r="A177" s="149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</row>
    <row r="178" spans="1:26" ht="15.75" customHeight="1" x14ac:dyDescent="0.25">
      <c r="A178" s="149"/>
      <c r="B178" s="149"/>
      <c r="C178" s="149"/>
      <c r="D178" s="149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</row>
    <row r="179" spans="1:26" ht="15.75" customHeight="1" x14ac:dyDescent="0.25">
      <c r="A179" s="149"/>
      <c r="B179" s="149"/>
      <c r="C179" s="149"/>
      <c r="D179" s="149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</row>
    <row r="180" spans="1:26" ht="15.75" customHeight="1" x14ac:dyDescent="0.25">
      <c r="A180" s="149"/>
      <c r="B180" s="149"/>
      <c r="C180" s="149"/>
      <c r="D180" s="149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</row>
    <row r="181" spans="1:26" ht="15.75" customHeight="1" x14ac:dyDescent="0.25">
      <c r="A181" s="149"/>
      <c r="B181" s="149"/>
      <c r="C181" s="149"/>
      <c r="D181" s="149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</row>
    <row r="182" spans="1:26" ht="15.75" customHeight="1" x14ac:dyDescent="0.25">
      <c r="A182" s="149"/>
      <c r="B182" s="149"/>
      <c r="C182" s="149"/>
      <c r="D182" s="149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</row>
    <row r="183" spans="1:26" ht="15.75" customHeight="1" x14ac:dyDescent="0.25">
      <c r="A183" s="149"/>
      <c r="B183" s="149"/>
      <c r="C183" s="149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</row>
    <row r="184" spans="1:26" ht="15.75" customHeight="1" x14ac:dyDescent="0.25">
      <c r="A184" s="149"/>
      <c r="B184" s="149"/>
      <c r="C184" s="149"/>
      <c r="D184" s="149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</row>
    <row r="185" spans="1:26" ht="15.75" customHeight="1" x14ac:dyDescent="0.25">
      <c r="A185" s="149"/>
      <c r="B185" s="149"/>
      <c r="C185" s="149"/>
      <c r="D185" s="149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</row>
    <row r="186" spans="1:26" ht="15.75" customHeight="1" x14ac:dyDescent="0.25">
      <c r="A186" s="149"/>
      <c r="B186" s="149"/>
      <c r="C186" s="149"/>
      <c r="D186" s="149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</row>
    <row r="187" spans="1:26" ht="15.75" customHeight="1" x14ac:dyDescent="0.25">
      <c r="A187" s="149"/>
      <c r="B187" s="149"/>
      <c r="C187" s="149"/>
      <c r="D187" s="149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</row>
    <row r="188" spans="1:26" ht="15.75" customHeight="1" x14ac:dyDescent="0.25">
      <c r="A188" s="149"/>
      <c r="B188" s="149"/>
      <c r="C188" s="149"/>
      <c r="D188" s="149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</row>
    <row r="189" spans="1:26" ht="15.75" customHeight="1" x14ac:dyDescent="0.25">
      <c r="A189" s="149"/>
      <c r="B189" s="149"/>
      <c r="C189" s="149"/>
      <c r="D189" s="149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</row>
    <row r="190" spans="1:26" ht="15.75" customHeight="1" x14ac:dyDescent="0.25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</row>
    <row r="191" spans="1:26" ht="15.75" customHeight="1" x14ac:dyDescent="0.25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</row>
    <row r="192" spans="1:26" ht="15.75" customHeight="1" x14ac:dyDescent="0.25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</row>
    <row r="193" spans="1:26" ht="15.75" customHeight="1" x14ac:dyDescent="0.25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</row>
    <row r="194" spans="1:26" ht="15.75" customHeight="1" x14ac:dyDescent="0.25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</row>
    <row r="195" spans="1:26" ht="15.75" customHeight="1" x14ac:dyDescent="0.25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</row>
    <row r="196" spans="1:26" ht="15.75" customHeight="1" x14ac:dyDescent="0.25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</row>
    <row r="197" spans="1:26" ht="15.75" customHeight="1" x14ac:dyDescent="0.25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</row>
    <row r="198" spans="1:26" ht="15.75" customHeight="1" x14ac:dyDescent="0.25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</row>
    <row r="199" spans="1:26" ht="15.75" customHeight="1" x14ac:dyDescent="0.25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</row>
    <row r="200" spans="1:26" ht="15.75" customHeight="1" x14ac:dyDescent="0.25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</row>
    <row r="201" spans="1:26" ht="15.75" customHeight="1" x14ac:dyDescent="0.25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</row>
    <row r="202" spans="1:26" ht="15.75" customHeight="1" x14ac:dyDescent="0.25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</row>
    <row r="203" spans="1:26" ht="15.75" customHeight="1" x14ac:dyDescent="0.25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</row>
    <row r="204" spans="1:26" ht="15.75" customHeight="1" x14ac:dyDescent="0.25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</row>
    <row r="205" spans="1:26" ht="15.75" customHeight="1" x14ac:dyDescent="0.25">
      <c r="A205" s="149"/>
      <c r="B205" s="149"/>
      <c r="C205" s="149"/>
      <c r="D205" s="149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</row>
    <row r="206" spans="1:26" ht="15.75" customHeight="1" x14ac:dyDescent="0.25">
      <c r="A206" s="149"/>
      <c r="B206" s="149"/>
      <c r="C206" s="149"/>
      <c r="D206" s="149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</row>
    <row r="207" spans="1:26" ht="15.75" customHeight="1" x14ac:dyDescent="0.25">
      <c r="A207" s="149"/>
      <c r="B207" s="149"/>
      <c r="C207" s="149"/>
      <c r="D207" s="149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</row>
    <row r="208" spans="1:26" ht="15.75" customHeight="1" x14ac:dyDescent="0.25">
      <c r="A208" s="149"/>
      <c r="B208" s="149"/>
      <c r="C208" s="149"/>
      <c r="D208" s="149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</row>
    <row r="209" spans="1:26" ht="15.75" customHeight="1" x14ac:dyDescent="0.25">
      <c r="A209" s="149"/>
      <c r="B209" s="149"/>
      <c r="C209" s="149"/>
      <c r="D209" s="149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</row>
    <row r="210" spans="1:26" ht="15.75" customHeight="1" x14ac:dyDescent="0.25">
      <c r="A210" s="149"/>
      <c r="B210" s="149"/>
      <c r="C210" s="149"/>
      <c r="D210" s="149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</row>
    <row r="211" spans="1:26" ht="15.75" customHeight="1" x14ac:dyDescent="0.25">
      <c r="A211" s="149"/>
      <c r="B211" s="149"/>
      <c r="C211" s="149"/>
      <c r="D211" s="149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</row>
    <row r="212" spans="1:26" ht="15.75" customHeight="1" x14ac:dyDescent="0.25">
      <c r="A212" s="149"/>
      <c r="B212" s="149"/>
      <c r="C212" s="149"/>
      <c r="D212" s="149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</row>
    <row r="213" spans="1:26" ht="15.75" customHeight="1" x14ac:dyDescent="0.25">
      <c r="A213" s="149"/>
      <c r="B213" s="149"/>
      <c r="C213" s="149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</row>
    <row r="214" spans="1:26" ht="15.75" customHeight="1" x14ac:dyDescent="0.25">
      <c r="A214" s="149"/>
      <c r="B214" s="149"/>
      <c r="C214" s="149"/>
      <c r="D214" s="149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</row>
    <row r="215" spans="1:26" ht="15.75" customHeight="1" x14ac:dyDescent="0.25">
      <c r="A215" s="149"/>
      <c r="B215" s="149"/>
      <c r="C215" s="149"/>
      <c r="D215" s="149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</row>
    <row r="216" spans="1:26" ht="15.75" customHeight="1" x14ac:dyDescent="0.25">
      <c r="A216" s="149"/>
      <c r="B216" s="149"/>
      <c r="C216" s="149"/>
      <c r="D216" s="149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</row>
    <row r="217" spans="1:26" ht="15.75" customHeight="1" x14ac:dyDescent="0.25">
      <c r="A217" s="149"/>
      <c r="B217" s="149"/>
      <c r="C217" s="149"/>
      <c r="D217" s="149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</row>
    <row r="218" spans="1:26" ht="15.75" customHeight="1" x14ac:dyDescent="0.25">
      <c r="A218" s="149"/>
      <c r="B218" s="149"/>
      <c r="C218" s="149"/>
      <c r="D218" s="149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</row>
    <row r="219" spans="1:26" ht="15.75" customHeight="1" x14ac:dyDescent="0.25">
      <c r="A219" s="149"/>
      <c r="B219" s="149"/>
      <c r="C219" s="149"/>
      <c r="D219" s="149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</row>
    <row r="220" spans="1:26" ht="15.75" customHeight="1" x14ac:dyDescent="0.25">
      <c r="A220" s="149"/>
      <c r="B220" s="149"/>
      <c r="C220" s="149"/>
      <c r="D220" s="149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</row>
    <row r="221" spans="1:26" ht="15.75" customHeight="1" x14ac:dyDescent="0.25">
      <c r="A221" s="149"/>
      <c r="B221" s="149"/>
      <c r="C221" s="149"/>
      <c r="D221" s="149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</row>
    <row r="222" spans="1:26" ht="15.75" customHeight="1" x14ac:dyDescent="0.25">
      <c r="A222" s="149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</row>
    <row r="223" spans="1:26" ht="15.75" customHeight="1" x14ac:dyDescent="0.25">
      <c r="A223" s="149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</row>
    <row r="224" spans="1:26" ht="15.75" customHeight="1" x14ac:dyDescent="0.25">
      <c r="A224" s="149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</row>
    <row r="225" spans="1:26" ht="15.75" customHeight="1" x14ac:dyDescent="0.25">
      <c r="A225" s="149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</row>
    <row r="226" spans="1:26" ht="15.75" customHeight="1" x14ac:dyDescent="0.25">
      <c r="A226" s="149"/>
      <c r="B226" s="149"/>
      <c r="C226" s="149"/>
      <c r="D226" s="149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</row>
    <row r="227" spans="1:26" ht="15.75" customHeight="1" x14ac:dyDescent="0.25">
      <c r="A227" s="149"/>
      <c r="B227" s="149"/>
      <c r="C227" s="149"/>
      <c r="D227" s="149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</row>
    <row r="228" spans="1:26" ht="15.75" customHeight="1" x14ac:dyDescent="0.25">
      <c r="A228" s="149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</row>
    <row r="229" spans="1:26" ht="15.75" customHeight="1" x14ac:dyDescent="0.25">
      <c r="A229" s="149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</row>
    <row r="230" spans="1:26" ht="15.75" customHeight="1" x14ac:dyDescent="0.25">
      <c r="A230" s="149"/>
      <c r="B230" s="149"/>
      <c r="C230" s="149"/>
      <c r="D230" s="149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</row>
    <row r="231" spans="1:26" ht="15.75" customHeight="1" x14ac:dyDescent="0.25">
      <c r="A231" s="149"/>
      <c r="B231" s="149"/>
      <c r="C231" s="149"/>
      <c r="D231" s="149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</row>
    <row r="232" spans="1:26" ht="15.75" customHeight="1" x14ac:dyDescent="0.25">
      <c r="A232" s="149"/>
      <c r="B232" s="149"/>
      <c r="C232" s="149"/>
      <c r="D232" s="149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</row>
    <row r="233" spans="1:26" ht="15.75" customHeight="1" x14ac:dyDescent="0.25">
      <c r="A233" s="149"/>
      <c r="B233" s="149"/>
      <c r="C233" s="149"/>
      <c r="D233" s="149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</row>
    <row r="234" spans="1:26" ht="15.75" customHeight="1" x14ac:dyDescent="0.25">
      <c r="A234" s="149"/>
      <c r="B234" s="149"/>
      <c r="C234" s="149"/>
      <c r="D234" s="149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</row>
    <row r="235" spans="1:26" ht="15.75" customHeight="1" x14ac:dyDescent="0.25">
      <c r="A235" s="149"/>
      <c r="B235" s="149"/>
      <c r="C235" s="149"/>
      <c r="D235" s="149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</row>
    <row r="236" spans="1:26" ht="15.75" customHeight="1" x14ac:dyDescent="0.25">
      <c r="A236" s="149"/>
      <c r="B236" s="149"/>
      <c r="C236" s="149"/>
      <c r="D236" s="149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</row>
    <row r="237" spans="1:26" ht="15.75" customHeight="1" x14ac:dyDescent="0.25">
      <c r="A237" s="149"/>
      <c r="B237" s="149"/>
      <c r="C237" s="149"/>
      <c r="D237" s="149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</row>
    <row r="238" spans="1:26" ht="15.75" customHeight="1" x14ac:dyDescent="0.25">
      <c r="A238" s="149"/>
      <c r="B238" s="149"/>
      <c r="C238" s="149"/>
      <c r="D238" s="149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</row>
    <row r="239" spans="1:26" ht="15.75" customHeight="1" x14ac:dyDescent="0.25">
      <c r="A239" s="149"/>
      <c r="B239" s="149"/>
      <c r="C239" s="149"/>
      <c r="D239" s="149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</row>
    <row r="240" spans="1:26" ht="15.75" customHeight="1" x14ac:dyDescent="0.25">
      <c r="A240" s="149"/>
      <c r="B240" s="149"/>
      <c r="C240" s="149"/>
      <c r="D240" s="149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</row>
    <row r="241" spans="1:26" ht="15.75" customHeight="1" x14ac:dyDescent="0.25">
      <c r="A241" s="149"/>
      <c r="B241" s="149"/>
      <c r="C241" s="149"/>
      <c r="D241" s="149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</row>
    <row r="242" spans="1:26" ht="15.75" customHeight="1" x14ac:dyDescent="0.25">
      <c r="A242" s="149"/>
      <c r="B242" s="149"/>
      <c r="C242" s="149"/>
      <c r="D242" s="149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</row>
    <row r="243" spans="1:26" ht="15.75" customHeight="1" x14ac:dyDescent="0.25">
      <c r="A243" s="149"/>
      <c r="B243" s="149"/>
      <c r="C243" s="149"/>
      <c r="D243" s="149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</row>
    <row r="244" spans="1:26" ht="15.75" customHeight="1" x14ac:dyDescent="0.25">
      <c r="A244" s="149"/>
      <c r="B244" s="149"/>
      <c r="C244" s="149"/>
      <c r="D244" s="149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</row>
    <row r="245" spans="1:26" ht="15.75" customHeight="1" x14ac:dyDescent="0.25">
      <c r="A245" s="149"/>
      <c r="B245" s="149"/>
      <c r="C245" s="149"/>
      <c r="D245" s="149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</row>
    <row r="246" spans="1:26" ht="15.75" customHeight="1" x14ac:dyDescent="0.25">
      <c r="A246" s="149"/>
      <c r="B246" s="149"/>
      <c r="C246" s="149"/>
      <c r="D246" s="149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</row>
    <row r="247" spans="1:26" ht="15.75" customHeight="1" x14ac:dyDescent="0.25">
      <c r="A247" s="149"/>
      <c r="B247" s="149"/>
      <c r="C247" s="149"/>
      <c r="D247" s="149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</row>
    <row r="248" spans="1:26" ht="15.75" customHeight="1" x14ac:dyDescent="0.25">
      <c r="A248" s="149"/>
      <c r="B248" s="149"/>
      <c r="C248" s="149"/>
      <c r="D248" s="149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</row>
    <row r="249" spans="1:26" ht="15.75" customHeight="1" x14ac:dyDescent="0.25">
      <c r="A249" s="149"/>
      <c r="B249" s="149"/>
      <c r="C249" s="149"/>
      <c r="D249" s="149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</row>
    <row r="250" spans="1:26" ht="15.75" customHeight="1" x14ac:dyDescent="0.25">
      <c r="A250" s="149"/>
      <c r="B250" s="149"/>
      <c r="C250" s="149"/>
      <c r="D250" s="149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</row>
    <row r="251" spans="1:26" ht="15.75" customHeight="1" x14ac:dyDescent="0.25">
      <c r="A251" s="149"/>
      <c r="B251" s="149"/>
      <c r="C251" s="149"/>
      <c r="D251" s="149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</row>
    <row r="252" spans="1:26" ht="15.75" customHeight="1" x14ac:dyDescent="0.25">
      <c r="A252" s="149"/>
      <c r="B252" s="149"/>
      <c r="C252" s="149"/>
      <c r="D252" s="149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</row>
    <row r="253" spans="1:26" ht="15.75" customHeight="1" x14ac:dyDescent="0.25">
      <c r="A253" s="149"/>
      <c r="B253" s="149"/>
      <c r="C253" s="149"/>
      <c r="D253" s="149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</row>
    <row r="254" spans="1:26" ht="15.75" customHeight="1" x14ac:dyDescent="0.25">
      <c r="A254" s="149"/>
      <c r="B254" s="149"/>
      <c r="C254" s="149"/>
      <c r="D254" s="149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</row>
    <row r="255" spans="1:26" ht="15.75" customHeight="1" x14ac:dyDescent="0.25">
      <c r="A255" s="149"/>
      <c r="B255" s="149"/>
      <c r="C255" s="149"/>
      <c r="D255" s="149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</row>
    <row r="256" spans="1:26" ht="15.75" customHeight="1" x14ac:dyDescent="0.25">
      <c r="A256" s="149"/>
      <c r="B256" s="149"/>
      <c r="C256" s="149"/>
      <c r="D256" s="149"/>
      <c r="E256" s="14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</row>
    <row r="257" spans="1:26" ht="15.75" customHeight="1" x14ac:dyDescent="0.25">
      <c r="A257" s="149"/>
      <c r="B257" s="149"/>
      <c r="C257" s="149"/>
      <c r="D257" s="149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</row>
    <row r="258" spans="1:26" ht="15.75" customHeight="1" x14ac:dyDescent="0.25">
      <c r="A258" s="149"/>
      <c r="B258" s="149"/>
      <c r="C258" s="149"/>
      <c r="D258" s="149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</row>
    <row r="259" spans="1:26" ht="15.75" customHeight="1" x14ac:dyDescent="0.25">
      <c r="A259" s="149"/>
      <c r="B259" s="149"/>
      <c r="C259" s="149"/>
      <c r="D259" s="149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</row>
    <row r="260" spans="1:26" ht="15.75" customHeight="1" x14ac:dyDescent="0.25">
      <c r="A260" s="149"/>
      <c r="B260" s="149"/>
      <c r="C260" s="149"/>
      <c r="D260" s="149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</row>
    <row r="261" spans="1:26" ht="15.75" customHeight="1" x14ac:dyDescent="0.25">
      <c r="A261" s="149"/>
      <c r="B261" s="149"/>
      <c r="C261" s="149"/>
      <c r="D261" s="149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</row>
    <row r="262" spans="1:26" ht="15.75" customHeight="1" x14ac:dyDescent="0.25">
      <c r="A262" s="149"/>
      <c r="B262" s="149"/>
      <c r="C262" s="149"/>
      <c r="D262" s="149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</row>
    <row r="263" spans="1:26" ht="15.75" customHeight="1" x14ac:dyDescent="0.25">
      <c r="A263" s="149"/>
      <c r="B263" s="149"/>
      <c r="C263" s="149"/>
      <c r="D263" s="149"/>
      <c r="E263" s="14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</row>
    <row r="264" spans="1:26" ht="15.75" customHeight="1" x14ac:dyDescent="0.25">
      <c r="A264" s="149"/>
      <c r="B264" s="149"/>
      <c r="C264" s="149"/>
      <c r="D264" s="149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</row>
    <row r="265" spans="1:26" ht="15.75" customHeight="1" x14ac:dyDescent="0.25">
      <c r="A265" s="149"/>
      <c r="B265" s="149"/>
      <c r="C265" s="149"/>
      <c r="D265" s="149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</row>
    <row r="266" spans="1:26" ht="15.75" customHeight="1" x14ac:dyDescent="0.25">
      <c r="A266" s="149"/>
      <c r="B266" s="149"/>
      <c r="C266" s="149"/>
      <c r="D266" s="149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</row>
    <row r="267" spans="1:26" ht="15.75" customHeight="1" x14ac:dyDescent="0.25">
      <c r="A267" s="149"/>
      <c r="B267" s="149"/>
      <c r="C267" s="149"/>
      <c r="D267" s="149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</row>
    <row r="268" spans="1:26" ht="15.75" customHeight="1" x14ac:dyDescent="0.25">
      <c r="A268" s="149"/>
      <c r="B268" s="149"/>
      <c r="C268" s="149"/>
      <c r="D268" s="149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</row>
    <row r="269" spans="1:26" ht="15.75" customHeight="1" x14ac:dyDescent="0.25">
      <c r="A269" s="149"/>
      <c r="B269" s="149"/>
      <c r="C269" s="149"/>
      <c r="D269" s="149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</row>
    <row r="270" spans="1:26" ht="15.75" customHeight="1" x14ac:dyDescent="0.25">
      <c r="A270" s="149"/>
      <c r="B270" s="149"/>
      <c r="C270" s="149"/>
      <c r="D270" s="149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</row>
    <row r="271" spans="1:26" ht="15.75" customHeight="1" x14ac:dyDescent="0.25">
      <c r="A271" s="149"/>
      <c r="B271" s="149"/>
      <c r="C271" s="149"/>
      <c r="D271" s="149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</row>
    <row r="272" spans="1:26" ht="15.75" customHeight="1" x14ac:dyDescent="0.25">
      <c r="A272" s="149"/>
      <c r="B272" s="149"/>
      <c r="C272" s="149"/>
      <c r="D272" s="149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</row>
    <row r="273" spans="1:26" ht="15.75" customHeight="1" x14ac:dyDescent="0.25">
      <c r="A273" s="149"/>
      <c r="B273" s="149"/>
      <c r="C273" s="149"/>
      <c r="D273" s="149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</row>
    <row r="274" spans="1:26" ht="15.75" customHeight="1" x14ac:dyDescent="0.25">
      <c r="A274" s="149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</row>
    <row r="275" spans="1:26" ht="15.75" customHeight="1" x14ac:dyDescent="0.25">
      <c r="A275" s="149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</row>
    <row r="276" spans="1:26" ht="15.75" customHeight="1" x14ac:dyDescent="0.25">
      <c r="A276" s="149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</row>
    <row r="277" spans="1:26" ht="15.75" customHeight="1" x14ac:dyDescent="0.25">
      <c r="A277" s="149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</row>
    <row r="278" spans="1:26" ht="15.75" customHeight="1" x14ac:dyDescent="0.25">
      <c r="A278" s="149"/>
      <c r="B278" s="149"/>
      <c r="C278" s="149"/>
      <c r="D278" s="149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</row>
    <row r="279" spans="1:26" ht="15.75" customHeight="1" x14ac:dyDescent="0.25">
      <c r="A279" s="149"/>
      <c r="B279" s="149"/>
      <c r="C279" s="149"/>
      <c r="D279" s="149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</row>
    <row r="280" spans="1:26" ht="15.75" customHeight="1" x14ac:dyDescent="0.25">
      <c r="A280" s="149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</row>
    <row r="281" spans="1:26" ht="15.75" customHeight="1" x14ac:dyDescent="0.25">
      <c r="A281" s="149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</row>
    <row r="282" spans="1:26" ht="15.75" customHeight="1" x14ac:dyDescent="0.25">
      <c r="A282" s="149"/>
      <c r="B282" s="149"/>
      <c r="C282" s="149"/>
      <c r="D282" s="149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</row>
    <row r="283" spans="1:26" ht="15.75" customHeight="1" x14ac:dyDescent="0.25">
      <c r="A283" s="149"/>
      <c r="B283" s="149"/>
      <c r="C283" s="149"/>
      <c r="D283" s="149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</row>
    <row r="284" spans="1:26" ht="15.75" customHeight="1" x14ac:dyDescent="0.25">
      <c r="A284" s="149"/>
      <c r="B284" s="149"/>
      <c r="C284" s="149"/>
      <c r="D284" s="149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</row>
    <row r="285" spans="1:26" ht="15.75" customHeight="1" x14ac:dyDescent="0.25">
      <c r="A285" s="149"/>
      <c r="B285" s="149"/>
      <c r="C285" s="149"/>
      <c r="D285" s="149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</row>
    <row r="286" spans="1:26" ht="15.75" customHeight="1" x14ac:dyDescent="0.25">
      <c r="A286" s="149"/>
      <c r="B286" s="149"/>
      <c r="C286" s="149"/>
      <c r="D286" s="149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</row>
    <row r="287" spans="1:26" ht="15.75" customHeight="1" x14ac:dyDescent="0.25">
      <c r="A287" s="149"/>
      <c r="B287" s="149"/>
      <c r="C287" s="149"/>
      <c r="D287" s="149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</row>
    <row r="288" spans="1:26" ht="15.75" customHeight="1" x14ac:dyDescent="0.25">
      <c r="A288" s="149"/>
      <c r="B288" s="149"/>
      <c r="C288" s="149"/>
      <c r="D288" s="149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</row>
    <row r="289" spans="1:26" ht="15.75" customHeight="1" x14ac:dyDescent="0.25">
      <c r="A289" s="149"/>
      <c r="B289" s="149"/>
      <c r="C289" s="149"/>
      <c r="D289" s="149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</row>
    <row r="290" spans="1:26" ht="15.75" customHeight="1" x14ac:dyDescent="0.25">
      <c r="A290" s="149"/>
      <c r="B290" s="149"/>
      <c r="C290" s="149"/>
      <c r="D290" s="149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</row>
    <row r="291" spans="1:26" ht="15.75" customHeight="1" x14ac:dyDescent="0.25">
      <c r="A291" s="149"/>
      <c r="B291" s="149"/>
      <c r="C291" s="149"/>
      <c r="D291" s="149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</row>
    <row r="292" spans="1:26" ht="15.75" customHeight="1" x14ac:dyDescent="0.25">
      <c r="A292" s="149"/>
      <c r="B292" s="149"/>
      <c r="C292" s="149"/>
      <c r="D292" s="149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</row>
    <row r="293" spans="1:26" ht="15.75" customHeight="1" x14ac:dyDescent="0.25">
      <c r="A293" s="149"/>
      <c r="B293" s="149"/>
      <c r="C293" s="149"/>
      <c r="D293" s="149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</row>
    <row r="294" spans="1:26" ht="15.75" customHeight="1" x14ac:dyDescent="0.25">
      <c r="A294" s="149"/>
      <c r="B294" s="149"/>
      <c r="C294" s="149"/>
      <c r="D294" s="149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</row>
    <row r="295" spans="1:26" ht="15.75" customHeight="1" x14ac:dyDescent="0.25">
      <c r="A295" s="149"/>
      <c r="B295" s="149"/>
      <c r="C295" s="149"/>
      <c r="D295" s="149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</row>
    <row r="296" spans="1:26" ht="15.75" customHeight="1" x14ac:dyDescent="0.25">
      <c r="A296" s="149"/>
      <c r="B296" s="149"/>
      <c r="C296" s="149"/>
      <c r="D296" s="149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</row>
    <row r="297" spans="1:26" ht="15.75" customHeight="1" x14ac:dyDescent="0.25">
      <c r="A297" s="149"/>
      <c r="B297" s="149"/>
      <c r="C297" s="149"/>
      <c r="D297" s="149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</row>
    <row r="298" spans="1:26" ht="15.75" customHeight="1" x14ac:dyDescent="0.25">
      <c r="A298" s="149"/>
      <c r="B298" s="149"/>
      <c r="C298" s="149"/>
      <c r="D298" s="149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</row>
    <row r="299" spans="1:26" ht="15.75" customHeight="1" x14ac:dyDescent="0.25">
      <c r="A299" s="149"/>
      <c r="B299" s="149"/>
      <c r="C299" s="149"/>
      <c r="D299" s="149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</row>
    <row r="300" spans="1:26" ht="15.75" customHeight="1" x14ac:dyDescent="0.25">
      <c r="A300" s="149"/>
      <c r="B300" s="149"/>
      <c r="C300" s="149"/>
      <c r="D300" s="149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</row>
    <row r="301" spans="1:26" ht="15.75" customHeight="1" x14ac:dyDescent="0.25">
      <c r="A301" s="149"/>
      <c r="B301" s="149"/>
      <c r="C301" s="149"/>
      <c r="D301" s="149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</row>
    <row r="302" spans="1:26" ht="15.75" customHeight="1" x14ac:dyDescent="0.25">
      <c r="A302" s="149"/>
      <c r="B302" s="149"/>
      <c r="C302" s="149"/>
      <c r="D302" s="149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</row>
    <row r="303" spans="1:26" ht="15.75" customHeight="1" x14ac:dyDescent="0.25">
      <c r="A303" s="149"/>
      <c r="B303" s="149"/>
      <c r="C303" s="149"/>
      <c r="D303" s="149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</row>
    <row r="304" spans="1:26" ht="15.75" customHeight="1" x14ac:dyDescent="0.25">
      <c r="A304" s="149"/>
      <c r="B304" s="149"/>
      <c r="C304" s="149"/>
      <c r="D304" s="149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</row>
    <row r="305" spans="1:26" ht="15.75" customHeight="1" x14ac:dyDescent="0.25">
      <c r="A305" s="149"/>
      <c r="B305" s="149"/>
      <c r="C305" s="149"/>
      <c r="D305" s="149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</row>
    <row r="306" spans="1:26" ht="15.75" customHeight="1" x14ac:dyDescent="0.25">
      <c r="A306" s="149"/>
      <c r="B306" s="149"/>
      <c r="C306" s="149"/>
      <c r="D306" s="149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</row>
    <row r="307" spans="1:26" ht="15.75" customHeight="1" x14ac:dyDescent="0.25">
      <c r="A307" s="149"/>
      <c r="B307" s="149"/>
      <c r="C307" s="149"/>
      <c r="D307" s="149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</row>
    <row r="308" spans="1:26" ht="15.75" customHeight="1" x14ac:dyDescent="0.25">
      <c r="A308" s="149"/>
      <c r="B308" s="149"/>
      <c r="C308" s="149"/>
      <c r="D308" s="149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</row>
    <row r="309" spans="1:26" ht="15.75" customHeight="1" x14ac:dyDescent="0.25">
      <c r="A309" s="149"/>
      <c r="B309" s="149"/>
      <c r="C309" s="149"/>
      <c r="D309" s="149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</row>
    <row r="310" spans="1:26" ht="15.75" customHeight="1" x14ac:dyDescent="0.25">
      <c r="A310" s="149"/>
      <c r="B310" s="149"/>
      <c r="C310" s="149"/>
      <c r="D310" s="149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</row>
    <row r="311" spans="1:26" ht="15.75" customHeight="1" x14ac:dyDescent="0.25">
      <c r="A311" s="149"/>
      <c r="B311" s="149"/>
      <c r="C311" s="149"/>
      <c r="D311" s="149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</row>
    <row r="312" spans="1:26" ht="15.75" customHeight="1" x14ac:dyDescent="0.25">
      <c r="A312" s="149"/>
      <c r="B312" s="149"/>
      <c r="C312" s="149"/>
      <c r="D312" s="149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</row>
    <row r="313" spans="1:26" ht="15.75" customHeight="1" x14ac:dyDescent="0.25">
      <c r="A313" s="149"/>
      <c r="B313" s="149"/>
      <c r="C313" s="149"/>
      <c r="D313" s="149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</row>
    <row r="314" spans="1:26" ht="15.75" customHeight="1" x14ac:dyDescent="0.25">
      <c r="A314" s="149"/>
      <c r="B314" s="149"/>
      <c r="C314" s="149"/>
      <c r="D314" s="149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</row>
    <row r="315" spans="1:26" ht="15.75" customHeight="1" x14ac:dyDescent="0.25">
      <c r="A315" s="149"/>
      <c r="B315" s="149"/>
      <c r="C315" s="149"/>
      <c r="D315" s="149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</row>
    <row r="316" spans="1:26" ht="15.75" customHeight="1" x14ac:dyDescent="0.25">
      <c r="A316" s="149"/>
      <c r="B316" s="149"/>
      <c r="C316" s="149"/>
      <c r="D316" s="149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</row>
    <row r="317" spans="1:26" ht="15.75" customHeight="1" x14ac:dyDescent="0.25">
      <c r="A317" s="149"/>
      <c r="B317" s="149"/>
      <c r="C317" s="149"/>
      <c r="D317" s="149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</row>
    <row r="318" spans="1:26" ht="15.75" customHeight="1" x14ac:dyDescent="0.25">
      <c r="A318" s="149"/>
      <c r="B318" s="149"/>
      <c r="C318" s="149"/>
      <c r="D318" s="149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</row>
    <row r="319" spans="1:26" ht="15.75" customHeight="1" x14ac:dyDescent="0.25">
      <c r="A319" s="149"/>
      <c r="B319" s="149"/>
      <c r="C319" s="149"/>
      <c r="D319" s="149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</row>
    <row r="320" spans="1:26" ht="15.75" customHeight="1" x14ac:dyDescent="0.25">
      <c r="A320" s="149"/>
      <c r="B320" s="149"/>
      <c r="C320" s="149"/>
      <c r="D320" s="149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</row>
    <row r="321" spans="1:26" ht="15.75" customHeight="1" x14ac:dyDescent="0.25">
      <c r="A321" s="149"/>
      <c r="B321" s="149"/>
      <c r="C321" s="149"/>
      <c r="D321" s="149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</row>
    <row r="322" spans="1:26" ht="15.75" customHeight="1" x14ac:dyDescent="0.25">
      <c r="A322" s="149"/>
      <c r="B322" s="149"/>
      <c r="C322" s="149"/>
      <c r="D322" s="149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</row>
    <row r="323" spans="1:26" ht="15.75" customHeight="1" x14ac:dyDescent="0.25">
      <c r="A323" s="149"/>
      <c r="B323" s="149"/>
      <c r="C323" s="149"/>
      <c r="D323" s="149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</row>
    <row r="324" spans="1:26" ht="15.75" customHeight="1" x14ac:dyDescent="0.25">
      <c r="A324" s="149"/>
      <c r="B324" s="149"/>
      <c r="C324" s="149"/>
      <c r="D324" s="149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</row>
    <row r="325" spans="1:26" ht="15.75" customHeight="1" x14ac:dyDescent="0.25">
      <c r="A325" s="149"/>
      <c r="B325" s="149"/>
      <c r="C325" s="149"/>
      <c r="D325" s="149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</row>
    <row r="326" spans="1:26" ht="15.75" customHeight="1" x14ac:dyDescent="0.25">
      <c r="A326" s="149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</row>
    <row r="327" spans="1:26" ht="15.75" customHeight="1" x14ac:dyDescent="0.25">
      <c r="A327" s="149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</row>
    <row r="328" spans="1:26" ht="15.75" customHeight="1" x14ac:dyDescent="0.25">
      <c r="A328" s="149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</row>
    <row r="329" spans="1:26" ht="15.75" customHeight="1" x14ac:dyDescent="0.25">
      <c r="A329" s="149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</row>
    <row r="330" spans="1:26" ht="15.75" customHeight="1" x14ac:dyDescent="0.25">
      <c r="A330" s="149"/>
      <c r="B330" s="149"/>
      <c r="C330" s="149"/>
      <c r="D330" s="149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</row>
    <row r="331" spans="1:26" ht="15.75" customHeight="1" x14ac:dyDescent="0.25">
      <c r="A331" s="149"/>
      <c r="B331" s="149"/>
      <c r="C331" s="149"/>
      <c r="D331" s="149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</row>
    <row r="332" spans="1:26" ht="15.75" customHeight="1" x14ac:dyDescent="0.25">
      <c r="A332" s="149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</row>
    <row r="333" spans="1:26" ht="15.75" customHeight="1" x14ac:dyDescent="0.25">
      <c r="A333" s="149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</row>
    <row r="334" spans="1:26" ht="15.75" customHeight="1" x14ac:dyDescent="0.25">
      <c r="A334" s="149"/>
      <c r="B334" s="149"/>
      <c r="C334" s="149"/>
      <c r="D334" s="149"/>
      <c r="E334" s="14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</row>
    <row r="335" spans="1:26" ht="15.75" customHeight="1" x14ac:dyDescent="0.25">
      <c r="A335" s="149"/>
      <c r="B335" s="149"/>
      <c r="C335" s="149"/>
      <c r="D335" s="149"/>
      <c r="E335" s="14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</row>
    <row r="336" spans="1:26" ht="15.75" customHeight="1" x14ac:dyDescent="0.25">
      <c r="A336" s="149"/>
      <c r="B336" s="149"/>
      <c r="C336" s="149"/>
      <c r="D336" s="149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</row>
    <row r="337" spans="1:26" ht="15.75" customHeight="1" x14ac:dyDescent="0.25">
      <c r="A337" s="149"/>
      <c r="B337" s="149"/>
      <c r="C337" s="149"/>
      <c r="D337" s="149"/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</row>
    <row r="338" spans="1:26" ht="15.75" customHeight="1" x14ac:dyDescent="0.25">
      <c r="A338" s="149"/>
      <c r="B338" s="149"/>
      <c r="C338" s="149"/>
      <c r="D338" s="149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</row>
    <row r="339" spans="1:26" ht="15.75" customHeight="1" x14ac:dyDescent="0.25">
      <c r="A339" s="149"/>
      <c r="B339" s="149"/>
      <c r="C339" s="149"/>
      <c r="D339" s="149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</row>
    <row r="340" spans="1:26" ht="15.75" customHeight="1" x14ac:dyDescent="0.25">
      <c r="A340" s="149"/>
      <c r="B340" s="149"/>
      <c r="C340" s="149"/>
      <c r="D340" s="149"/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</row>
    <row r="341" spans="1:26" ht="15.75" customHeight="1" x14ac:dyDescent="0.25">
      <c r="A341" s="149"/>
      <c r="B341" s="149"/>
      <c r="C341" s="149"/>
      <c r="D341" s="149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</row>
    <row r="342" spans="1:26" ht="15.75" customHeight="1" x14ac:dyDescent="0.25">
      <c r="A342" s="149"/>
      <c r="B342" s="149"/>
      <c r="C342" s="149"/>
      <c r="D342" s="149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</row>
    <row r="343" spans="1:26" ht="15.75" customHeight="1" x14ac:dyDescent="0.25">
      <c r="A343" s="149"/>
      <c r="B343" s="149"/>
      <c r="C343" s="149"/>
      <c r="D343" s="149"/>
      <c r="E343" s="14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</row>
    <row r="344" spans="1:26" ht="15.75" customHeight="1" x14ac:dyDescent="0.25">
      <c r="A344" s="149"/>
      <c r="B344" s="149"/>
      <c r="C344" s="149"/>
      <c r="D344" s="149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</row>
    <row r="345" spans="1:26" ht="15.75" customHeight="1" x14ac:dyDescent="0.25">
      <c r="A345" s="149"/>
      <c r="B345" s="149"/>
      <c r="C345" s="149"/>
      <c r="D345" s="149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</row>
    <row r="346" spans="1:26" ht="15.75" customHeight="1" x14ac:dyDescent="0.25">
      <c r="A346" s="149"/>
      <c r="B346" s="149"/>
      <c r="C346" s="149"/>
      <c r="D346" s="149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</row>
    <row r="347" spans="1:26" ht="15.75" customHeight="1" x14ac:dyDescent="0.25">
      <c r="A347" s="149"/>
      <c r="B347" s="149"/>
      <c r="C347" s="149"/>
      <c r="D347" s="149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</row>
    <row r="348" spans="1:26" ht="15.75" customHeight="1" x14ac:dyDescent="0.25">
      <c r="A348" s="149"/>
      <c r="B348" s="149"/>
      <c r="C348" s="149"/>
      <c r="D348" s="149"/>
      <c r="E348" s="14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</row>
    <row r="349" spans="1:26" ht="15.75" customHeight="1" x14ac:dyDescent="0.25">
      <c r="A349" s="149"/>
      <c r="B349" s="149"/>
      <c r="C349" s="149"/>
      <c r="D349" s="149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</row>
    <row r="350" spans="1:26" ht="15.75" customHeight="1" x14ac:dyDescent="0.25">
      <c r="A350" s="149"/>
      <c r="B350" s="149"/>
      <c r="C350" s="149"/>
      <c r="D350" s="149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</row>
    <row r="351" spans="1:26" ht="15.75" customHeight="1" x14ac:dyDescent="0.25">
      <c r="A351" s="149"/>
      <c r="B351" s="149"/>
      <c r="C351" s="149"/>
      <c r="D351" s="149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</row>
    <row r="352" spans="1:26" ht="15.75" customHeight="1" x14ac:dyDescent="0.25">
      <c r="A352" s="149"/>
      <c r="B352" s="149"/>
      <c r="C352" s="149"/>
      <c r="D352" s="149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</row>
    <row r="353" spans="1:26" ht="15.75" customHeight="1" x14ac:dyDescent="0.25">
      <c r="A353" s="149"/>
      <c r="B353" s="149"/>
      <c r="C353" s="149"/>
      <c r="D353" s="149"/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</row>
    <row r="354" spans="1:26" ht="15.75" customHeight="1" x14ac:dyDescent="0.25">
      <c r="A354" s="149"/>
      <c r="B354" s="149"/>
      <c r="C354" s="149"/>
      <c r="D354" s="149"/>
      <c r="E354" s="14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</row>
    <row r="355" spans="1:26" ht="15.75" customHeight="1" x14ac:dyDescent="0.25">
      <c r="A355" s="149"/>
      <c r="B355" s="149"/>
      <c r="C355" s="149"/>
      <c r="D355" s="149"/>
      <c r="E355" s="14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</row>
    <row r="356" spans="1:26" ht="15.75" customHeight="1" x14ac:dyDescent="0.25">
      <c r="A356" s="149"/>
      <c r="B356" s="149"/>
      <c r="C356" s="149"/>
      <c r="D356" s="149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</row>
    <row r="357" spans="1:26" ht="15.75" customHeight="1" x14ac:dyDescent="0.25">
      <c r="A357" s="149"/>
      <c r="B357" s="149"/>
      <c r="C357" s="149"/>
      <c r="D357" s="149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</row>
    <row r="358" spans="1:26" ht="15.75" customHeight="1" x14ac:dyDescent="0.25">
      <c r="A358" s="149"/>
      <c r="B358" s="149"/>
      <c r="C358" s="149"/>
      <c r="D358" s="149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</row>
    <row r="359" spans="1:26" ht="15.75" customHeight="1" x14ac:dyDescent="0.25">
      <c r="A359" s="149"/>
      <c r="B359" s="149"/>
      <c r="C359" s="149"/>
      <c r="D359" s="149"/>
      <c r="E359" s="14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</row>
    <row r="360" spans="1:26" ht="15.75" customHeight="1" x14ac:dyDescent="0.25">
      <c r="A360" s="149"/>
      <c r="B360" s="149"/>
      <c r="C360" s="149"/>
      <c r="D360" s="149"/>
      <c r="E360" s="14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</row>
    <row r="361" spans="1:26" ht="15.75" customHeight="1" x14ac:dyDescent="0.25">
      <c r="A361" s="149"/>
      <c r="B361" s="149"/>
      <c r="C361" s="149"/>
      <c r="D361" s="149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</row>
    <row r="362" spans="1:26" ht="15.75" customHeight="1" x14ac:dyDescent="0.25">
      <c r="A362" s="149"/>
      <c r="B362" s="149"/>
      <c r="C362" s="149"/>
      <c r="D362" s="149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</row>
    <row r="363" spans="1:26" ht="15.75" customHeight="1" x14ac:dyDescent="0.25">
      <c r="A363" s="149"/>
      <c r="B363" s="149"/>
      <c r="C363" s="149"/>
      <c r="D363" s="149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</row>
    <row r="364" spans="1:26" ht="15.75" customHeight="1" x14ac:dyDescent="0.25">
      <c r="A364" s="149"/>
      <c r="B364" s="149"/>
      <c r="C364" s="149"/>
      <c r="D364" s="149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</row>
    <row r="365" spans="1:26" ht="15.75" customHeight="1" x14ac:dyDescent="0.25">
      <c r="A365" s="149"/>
      <c r="B365" s="149"/>
      <c r="C365" s="149"/>
      <c r="D365" s="149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</row>
    <row r="366" spans="1:26" ht="15.75" customHeight="1" x14ac:dyDescent="0.25">
      <c r="A366" s="149"/>
      <c r="B366" s="149"/>
      <c r="C366" s="149"/>
      <c r="D366" s="149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</row>
    <row r="367" spans="1:26" ht="15.75" customHeight="1" x14ac:dyDescent="0.25">
      <c r="A367" s="149"/>
      <c r="B367" s="149"/>
      <c r="C367" s="149"/>
      <c r="D367" s="149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</row>
    <row r="368" spans="1:26" ht="15.75" customHeight="1" x14ac:dyDescent="0.25">
      <c r="A368" s="149"/>
      <c r="B368" s="149"/>
      <c r="C368" s="149"/>
      <c r="D368" s="149"/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</row>
    <row r="369" spans="1:26" ht="15.75" customHeight="1" x14ac:dyDescent="0.25">
      <c r="A369" s="149"/>
      <c r="B369" s="149"/>
      <c r="C369" s="149"/>
      <c r="D369" s="149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</row>
    <row r="370" spans="1:26" ht="15.75" customHeight="1" x14ac:dyDescent="0.25">
      <c r="A370" s="149"/>
      <c r="B370" s="149"/>
      <c r="C370" s="149"/>
      <c r="D370" s="149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</row>
    <row r="371" spans="1:26" ht="15.75" customHeight="1" x14ac:dyDescent="0.25">
      <c r="A371" s="149"/>
      <c r="B371" s="149"/>
      <c r="C371" s="149"/>
      <c r="D371" s="149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</row>
    <row r="372" spans="1:26" ht="15.75" customHeight="1" x14ac:dyDescent="0.25">
      <c r="A372" s="149"/>
      <c r="B372" s="149"/>
      <c r="C372" s="149"/>
      <c r="D372" s="149"/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</row>
    <row r="373" spans="1:26" ht="15.75" customHeight="1" x14ac:dyDescent="0.25">
      <c r="A373" s="149"/>
      <c r="B373" s="149"/>
      <c r="C373" s="149"/>
      <c r="D373" s="149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</row>
    <row r="374" spans="1:26" ht="15.75" customHeight="1" x14ac:dyDescent="0.25">
      <c r="A374" s="149"/>
      <c r="B374" s="149"/>
      <c r="C374" s="149"/>
      <c r="D374" s="149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</row>
    <row r="375" spans="1:26" ht="15.75" customHeight="1" x14ac:dyDescent="0.25">
      <c r="A375" s="149"/>
      <c r="B375" s="149"/>
      <c r="C375" s="149"/>
      <c r="D375" s="149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</row>
    <row r="376" spans="1:26" ht="15.75" customHeight="1" x14ac:dyDescent="0.25">
      <c r="A376" s="149"/>
      <c r="B376" s="149"/>
      <c r="C376" s="149"/>
      <c r="D376" s="149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</row>
    <row r="377" spans="1:26" ht="15.75" customHeight="1" x14ac:dyDescent="0.25">
      <c r="A377" s="149"/>
      <c r="B377" s="149"/>
      <c r="C377" s="149"/>
      <c r="D377" s="149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</row>
    <row r="378" spans="1:26" ht="15.75" customHeight="1" x14ac:dyDescent="0.25">
      <c r="A378" s="149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</row>
    <row r="379" spans="1:26" ht="15.75" customHeight="1" x14ac:dyDescent="0.25">
      <c r="A379" s="149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</row>
    <row r="380" spans="1:26" ht="15.75" customHeight="1" x14ac:dyDescent="0.25">
      <c r="A380" s="149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</row>
    <row r="381" spans="1:26" ht="15.75" customHeight="1" x14ac:dyDescent="0.25">
      <c r="A381" s="149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</row>
    <row r="382" spans="1:26" ht="15.75" customHeight="1" x14ac:dyDescent="0.25">
      <c r="A382" s="149"/>
      <c r="B382" s="149"/>
      <c r="C382" s="149"/>
      <c r="D382" s="149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</row>
    <row r="383" spans="1:26" ht="15.75" customHeight="1" x14ac:dyDescent="0.25">
      <c r="A383" s="149"/>
      <c r="B383" s="149"/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</row>
    <row r="384" spans="1:26" ht="15.75" customHeight="1" x14ac:dyDescent="0.25">
      <c r="A384" s="149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</row>
    <row r="385" spans="1:26" ht="15.75" customHeight="1" x14ac:dyDescent="0.25">
      <c r="A385" s="149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</row>
    <row r="386" spans="1:26" ht="15.75" customHeight="1" x14ac:dyDescent="0.25">
      <c r="A386" s="149"/>
      <c r="B386" s="149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</row>
    <row r="387" spans="1:26" ht="15.75" customHeight="1" x14ac:dyDescent="0.25">
      <c r="A387" s="149"/>
      <c r="B387" s="149"/>
      <c r="C387" s="149"/>
      <c r="D387" s="149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</row>
    <row r="388" spans="1:26" ht="15.75" customHeight="1" x14ac:dyDescent="0.25">
      <c r="A388" s="149"/>
      <c r="B388" s="149"/>
      <c r="C388" s="149"/>
      <c r="D388" s="149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</row>
    <row r="389" spans="1:26" ht="15.75" customHeight="1" x14ac:dyDescent="0.25">
      <c r="A389" s="149"/>
      <c r="B389" s="149"/>
      <c r="C389" s="149"/>
      <c r="D389" s="149"/>
      <c r="E389" s="149"/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</row>
    <row r="390" spans="1:26" ht="15.75" customHeight="1" x14ac:dyDescent="0.25">
      <c r="A390" s="149"/>
      <c r="B390" s="149"/>
      <c r="C390" s="149"/>
      <c r="D390" s="149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</row>
    <row r="391" spans="1:26" ht="15.75" customHeight="1" x14ac:dyDescent="0.25">
      <c r="A391" s="149"/>
      <c r="B391" s="149"/>
      <c r="C391" s="149"/>
      <c r="D391" s="149"/>
      <c r="E391" s="149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</row>
    <row r="392" spans="1:26" ht="15.75" customHeight="1" x14ac:dyDescent="0.25">
      <c r="A392" s="149"/>
      <c r="B392" s="149"/>
      <c r="C392" s="149"/>
      <c r="D392" s="149"/>
      <c r="E392" s="149"/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</row>
    <row r="393" spans="1:26" ht="15.75" customHeight="1" x14ac:dyDescent="0.25">
      <c r="A393" s="149"/>
      <c r="B393" s="149"/>
      <c r="C393" s="149"/>
      <c r="D393" s="149"/>
      <c r="E393" s="14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</row>
    <row r="394" spans="1:26" ht="15.75" customHeight="1" x14ac:dyDescent="0.25">
      <c r="A394" s="149"/>
      <c r="B394" s="149"/>
      <c r="C394" s="149"/>
      <c r="D394" s="149"/>
      <c r="E394" s="149"/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</row>
    <row r="395" spans="1:26" ht="15.75" customHeight="1" x14ac:dyDescent="0.25">
      <c r="A395" s="149"/>
      <c r="B395" s="149"/>
      <c r="C395" s="149"/>
      <c r="D395" s="149"/>
      <c r="E395" s="149"/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</row>
    <row r="396" spans="1:26" ht="15.75" customHeight="1" x14ac:dyDescent="0.25">
      <c r="A396" s="149"/>
      <c r="B396" s="149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</row>
    <row r="397" spans="1:26" ht="15.75" customHeight="1" x14ac:dyDescent="0.25">
      <c r="A397" s="149"/>
      <c r="B397" s="149"/>
      <c r="C397" s="149"/>
      <c r="D397" s="149"/>
      <c r="E397" s="149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</row>
    <row r="398" spans="1:26" ht="15.75" customHeight="1" x14ac:dyDescent="0.25">
      <c r="A398" s="149"/>
      <c r="B398" s="149"/>
      <c r="C398" s="149"/>
      <c r="D398" s="149"/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</row>
    <row r="399" spans="1:26" ht="15.75" customHeight="1" x14ac:dyDescent="0.25">
      <c r="A399" s="149"/>
      <c r="B399" s="149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</row>
    <row r="400" spans="1:26" ht="15.75" customHeight="1" x14ac:dyDescent="0.25">
      <c r="A400" s="149"/>
      <c r="B400" s="149"/>
      <c r="C400" s="149"/>
      <c r="D400" s="149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</row>
    <row r="401" spans="1:26" ht="15.75" customHeight="1" x14ac:dyDescent="0.25">
      <c r="A401" s="149"/>
      <c r="B401" s="149"/>
      <c r="C401" s="149"/>
      <c r="D401" s="149"/>
      <c r="E401" s="149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</row>
    <row r="402" spans="1:26" ht="15.75" customHeight="1" x14ac:dyDescent="0.25">
      <c r="A402" s="149"/>
      <c r="B402" s="149"/>
      <c r="C402" s="149"/>
      <c r="D402" s="149"/>
      <c r="E402" s="149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</row>
    <row r="403" spans="1:26" ht="15.75" customHeight="1" x14ac:dyDescent="0.25">
      <c r="A403" s="149"/>
      <c r="B403" s="149"/>
      <c r="C403" s="149"/>
      <c r="D403" s="149"/>
      <c r="E403" s="14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</row>
    <row r="404" spans="1:26" ht="15.75" customHeight="1" x14ac:dyDescent="0.25">
      <c r="A404" s="149"/>
      <c r="B404" s="149"/>
      <c r="C404" s="149"/>
      <c r="D404" s="149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</row>
    <row r="405" spans="1:26" ht="15.75" customHeight="1" x14ac:dyDescent="0.25">
      <c r="A405" s="149"/>
      <c r="B405" s="149"/>
      <c r="C405" s="149"/>
      <c r="D405" s="149"/>
      <c r="E405" s="149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</row>
    <row r="406" spans="1:26" ht="15.75" customHeight="1" x14ac:dyDescent="0.25">
      <c r="A406" s="149"/>
      <c r="B406" s="149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</row>
    <row r="407" spans="1:26" ht="15.75" customHeight="1" x14ac:dyDescent="0.25">
      <c r="A407" s="149"/>
      <c r="B407" s="149"/>
      <c r="C407" s="149"/>
      <c r="D407" s="149"/>
      <c r="E407" s="149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</row>
    <row r="408" spans="1:26" ht="15.75" customHeight="1" x14ac:dyDescent="0.25">
      <c r="A408" s="149"/>
      <c r="B408" s="149"/>
      <c r="C408" s="149"/>
      <c r="D408" s="149"/>
      <c r="E408" s="149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</row>
    <row r="409" spans="1:26" ht="15.75" customHeight="1" x14ac:dyDescent="0.25">
      <c r="A409" s="149"/>
      <c r="B409" s="149"/>
      <c r="C409" s="149"/>
      <c r="D409" s="149"/>
      <c r="E409" s="149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</row>
    <row r="410" spans="1:26" ht="15.75" customHeight="1" x14ac:dyDescent="0.25">
      <c r="A410" s="149"/>
      <c r="B410" s="149"/>
      <c r="C410" s="149"/>
      <c r="D410" s="149"/>
      <c r="E410" s="149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</row>
    <row r="411" spans="1:26" ht="15.75" customHeight="1" x14ac:dyDescent="0.25">
      <c r="A411" s="149"/>
      <c r="B411" s="149"/>
      <c r="C411" s="149"/>
      <c r="D411" s="149"/>
      <c r="E411" s="149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</row>
    <row r="412" spans="1:26" ht="15.75" customHeight="1" x14ac:dyDescent="0.25">
      <c r="A412" s="149"/>
      <c r="B412" s="149"/>
      <c r="C412" s="149"/>
      <c r="D412" s="149"/>
      <c r="E412" s="149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</row>
    <row r="413" spans="1:26" ht="15.75" customHeight="1" x14ac:dyDescent="0.25">
      <c r="A413" s="149"/>
      <c r="B413" s="149"/>
      <c r="C413" s="149"/>
      <c r="D413" s="149"/>
      <c r="E413" s="149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</row>
    <row r="414" spans="1:26" ht="15.75" customHeight="1" x14ac:dyDescent="0.25">
      <c r="A414" s="149"/>
      <c r="B414" s="149"/>
      <c r="C414" s="149"/>
      <c r="D414" s="149"/>
      <c r="E414" s="149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</row>
    <row r="415" spans="1:26" ht="15.75" customHeight="1" x14ac:dyDescent="0.25">
      <c r="A415" s="149"/>
      <c r="B415" s="149"/>
      <c r="C415" s="149"/>
      <c r="D415" s="149"/>
      <c r="E415" s="149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</row>
    <row r="416" spans="1:26" ht="15.75" customHeight="1" x14ac:dyDescent="0.25">
      <c r="A416" s="149"/>
      <c r="B416" s="149"/>
      <c r="C416" s="149"/>
      <c r="D416" s="149"/>
      <c r="E416" s="149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</row>
    <row r="417" spans="1:26" ht="15.75" customHeight="1" x14ac:dyDescent="0.25">
      <c r="A417" s="149"/>
      <c r="B417" s="149"/>
      <c r="C417" s="149"/>
      <c r="D417" s="149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</row>
    <row r="418" spans="1:26" ht="15.75" customHeight="1" x14ac:dyDescent="0.25">
      <c r="A418" s="149"/>
      <c r="B418" s="149"/>
      <c r="C418" s="149"/>
      <c r="D418" s="149"/>
      <c r="E418" s="149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</row>
    <row r="419" spans="1:26" ht="15.75" customHeight="1" x14ac:dyDescent="0.25">
      <c r="A419" s="149"/>
      <c r="B419" s="149"/>
      <c r="C419" s="149"/>
      <c r="D419" s="149"/>
      <c r="E419" s="149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</row>
    <row r="420" spans="1:26" ht="15.75" customHeight="1" x14ac:dyDescent="0.25">
      <c r="A420" s="149"/>
      <c r="B420" s="149"/>
      <c r="C420" s="149"/>
      <c r="D420" s="149"/>
      <c r="E420" s="149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</row>
    <row r="421" spans="1:26" ht="15.75" customHeight="1" x14ac:dyDescent="0.25">
      <c r="A421" s="149"/>
      <c r="B421" s="149"/>
      <c r="C421" s="149"/>
      <c r="D421" s="149"/>
      <c r="E421" s="149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</row>
    <row r="422" spans="1:26" ht="15.75" customHeight="1" x14ac:dyDescent="0.25">
      <c r="A422" s="149"/>
      <c r="B422" s="149"/>
      <c r="C422" s="149"/>
      <c r="D422" s="149"/>
      <c r="E422" s="149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</row>
    <row r="423" spans="1:26" ht="15.75" customHeight="1" x14ac:dyDescent="0.25">
      <c r="A423" s="149"/>
      <c r="B423" s="149"/>
      <c r="C423" s="149"/>
      <c r="D423" s="149"/>
      <c r="E423" s="149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</row>
    <row r="424" spans="1:26" ht="15.75" customHeight="1" x14ac:dyDescent="0.25">
      <c r="A424" s="149"/>
      <c r="B424" s="149"/>
      <c r="C424" s="149"/>
      <c r="D424" s="149"/>
      <c r="E424" s="149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</row>
    <row r="425" spans="1:26" ht="15.75" customHeight="1" x14ac:dyDescent="0.25">
      <c r="A425" s="149"/>
      <c r="B425" s="149"/>
      <c r="C425" s="149"/>
      <c r="D425" s="149"/>
      <c r="E425" s="149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</row>
    <row r="426" spans="1:26" ht="15.75" customHeight="1" x14ac:dyDescent="0.25">
      <c r="A426" s="149"/>
      <c r="B426" s="149"/>
      <c r="C426" s="149"/>
      <c r="D426" s="149"/>
      <c r="E426" s="149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</row>
    <row r="427" spans="1:26" ht="15.75" customHeight="1" x14ac:dyDescent="0.25">
      <c r="A427" s="149"/>
      <c r="B427" s="149"/>
      <c r="C427" s="149"/>
      <c r="D427" s="149"/>
      <c r="E427" s="14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</row>
    <row r="428" spans="1:26" ht="15.75" customHeight="1" x14ac:dyDescent="0.25">
      <c r="A428" s="149"/>
      <c r="B428" s="149"/>
      <c r="C428" s="149"/>
      <c r="D428" s="149"/>
      <c r="E428" s="14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</row>
    <row r="429" spans="1:26" ht="15.75" customHeight="1" x14ac:dyDescent="0.25">
      <c r="A429" s="149"/>
      <c r="B429" s="149"/>
      <c r="C429" s="149"/>
      <c r="D429" s="149"/>
      <c r="E429" s="14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</row>
    <row r="430" spans="1:26" ht="15.75" customHeight="1" x14ac:dyDescent="0.25">
      <c r="A430" s="149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</row>
    <row r="431" spans="1:26" ht="15.75" customHeight="1" x14ac:dyDescent="0.25">
      <c r="A431" s="149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</row>
    <row r="432" spans="1:26" ht="15.75" customHeight="1" x14ac:dyDescent="0.25">
      <c r="A432" s="149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</row>
    <row r="433" spans="1:26" ht="15.75" customHeight="1" x14ac:dyDescent="0.25">
      <c r="A433" s="149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</row>
    <row r="434" spans="1:26" ht="15.75" customHeight="1" x14ac:dyDescent="0.25">
      <c r="A434" s="149"/>
      <c r="B434" s="149"/>
      <c r="C434" s="149"/>
      <c r="D434" s="149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</row>
    <row r="435" spans="1:26" ht="15.75" customHeight="1" x14ac:dyDescent="0.25">
      <c r="A435" s="149"/>
      <c r="B435" s="149"/>
      <c r="C435" s="149"/>
      <c r="D435" s="149"/>
      <c r="E435" s="149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</row>
    <row r="436" spans="1:26" ht="15.75" customHeight="1" x14ac:dyDescent="0.25">
      <c r="A436" s="149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</row>
    <row r="437" spans="1:26" ht="15.75" customHeight="1" x14ac:dyDescent="0.25">
      <c r="A437" s="149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</row>
    <row r="438" spans="1:26" ht="15.75" customHeight="1" x14ac:dyDescent="0.25">
      <c r="A438" s="149"/>
      <c r="B438" s="149"/>
      <c r="C438" s="149"/>
      <c r="D438" s="149"/>
      <c r="E438" s="14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</row>
    <row r="439" spans="1:26" ht="15.75" customHeight="1" x14ac:dyDescent="0.25">
      <c r="A439" s="149"/>
      <c r="B439" s="149"/>
      <c r="C439" s="149"/>
      <c r="D439" s="149"/>
      <c r="E439" s="149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</row>
    <row r="440" spans="1:26" ht="15.75" customHeight="1" x14ac:dyDescent="0.25">
      <c r="A440" s="149"/>
      <c r="B440" s="149"/>
      <c r="C440" s="149"/>
      <c r="D440" s="149"/>
      <c r="E440" s="149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</row>
    <row r="441" spans="1:26" ht="15.75" customHeight="1" x14ac:dyDescent="0.25">
      <c r="A441" s="149"/>
      <c r="B441" s="149"/>
      <c r="C441" s="149"/>
      <c r="D441" s="149"/>
      <c r="E441" s="149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</row>
    <row r="442" spans="1:26" ht="15.75" customHeight="1" x14ac:dyDescent="0.25">
      <c r="A442" s="149"/>
      <c r="B442" s="149"/>
      <c r="C442" s="149"/>
      <c r="D442" s="149"/>
      <c r="E442" s="149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</row>
    <row r="443" spans="1:26" ht="15.75" customHeight="1" x14ac:dyDescent="0.25">
      <c r="A443" s="149"/>
      <c r="B443" s="149"/>
      <c r="C443" s="149"/>
      <c r="D443" s="149"/>
      <c r="E443" s="149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</row>
    <row r="444" spans="1:26" ht="15.75" customHeight="1" x14ac:dyDescent="0.25">
      <c r="A444" s="149"/>
      <c r="B444" s="149"/>
      <c r="C444" s="149"/>
      <c r="D444" s="149"/>
      <c r="E444" s="149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</row>
    <row r="445" spans="1:26" ht="15.75" customHeight="1" x14ac:dyDescent="0.25">
      <c r="A445" s="149"/>
      <c r="B445" s="149"/>
      <c r="C445" s="149"/>
      <c r="D445" s="149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</row>
    <row r="446" spans="1:26" ht="15.75" customHeight="1" x14ac:dyDescent="0.25">
      <c r="A446" s="149"/>
      <c r="B446" s="149"/>
      <c r="C446" s="149"/>
      <c r="D446" s="149"/>
      <c r="E446" s="149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</row>
    <row r="447" spans="1:26" ht="15.75" customHeight="1" x14ac:dyDescent="0.25">
      <c r="A447" s="149"/>
      <c r="B447" s="149"/>
      <c r="C447" s="149"/>
      <c r="D447" s="149"/>
      <c r="E447" s="149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</row>
    <row r="448" spans="1:26" ht="15.75" customHeight="1" x14ac:dyDescent="0.25">
      <c r="A448" s="149"/>
      <c r="B448" s="149"/>
      <c r="C448" s="149"/>
      <c r="D448" s="149"/>
      <c r="E448" s="149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</row>
    <row r="449" spans="1:26" ht="15.75" customHeight="1" x14ac:dyDescent="0.25">
      <c r="A449" s="149"/>
      <c r="B449" s="149"/>
      <c r="C449" s="149"/>
      <c r="D449" s="149"/>
      <c r="E449" s="149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</row>
    <row r="450" spans="1:26" ht="15.75" customHeight="1" x14ac:dyDescent="0.25">
      <c r="A450" s="149"/>
      <c r="B450" s="149"/>
      <c r="C450" s="149"/>
      <c r="D450" s="149"/>
      <c r="E450" s="14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</row>
    <row r="451" spans="1:26" ht="15.75" customHeight="1" x14ac:dyDescent="0.25">
      <c r="A451" s="149"/>
      <c r="B451" s="149"/>
      <c r="C451" s="149"/>
      <c r="D451" s="149"/>
      <c r="E451" s="149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</row>
    <row r="452" spans="1:26" ht="15.75" customHeight="1" x14ac:dyDescent="0.25">
      <c r="A452" s="149"/>
      <c r="B452" s="149"/>
      <c r="C452" s="149"/>
      <c r="D452" s="149"/>
      <c r="E452" s="149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</row>
    <row r="453" spans="1:26" ht="15.75" customHeight="1" x14ac:dyDescent="0.25">
      <c r="A453" s="149"/>
      <c r="B453" s="149"/>
      <c r="C453" s="149"/>
      <c r="D453" s="149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</row>
    <row r="454" spans="1:26" ht="15.75" customHeight="1" x14ac:dyDescent="0.25">
      <c r="A454" s="149"/>
      <c r="B454" s="149"/>
      <c r="C454" s="149"/>
      <c r="D454" s="149"/>
      <c r="E454" s="149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</row>
    <row r="455" spans="1:26" ht="15.75" customHeight="1" x14ac:dyDescent="0.25">
      <c r="A455" s="149"/>
      <c r="B455" s="149"/>
      <c r="C455" s="149"/>
      <c r="D455" s="149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</row>
    <row r="456" spans="1:26" ht="15.75" customHeight="1" x14ac:dyDescent="0.25">
      <c r="A456" s="149"/>
      <c r="B456" s="149"/>
      <c r="C456" s="149"/>
      <c r="D456" s="149"/>
      <c r="E456" s="149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</row>
    <row r="457" spans="1:26" ht="15.75" customHeight="1" x14ac:dyDescent="0.25">
      <c r="A457" s="149"/>
      <c r="B457" s="149"/>
      <c r="C457" s="149"/>
      <c r="D457" s="149"/>
      <c r="E457" s="149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</row>
    <row r="458" spans="1:26" ht="15.75" customHeight="1" x14ac:dyDescent="0.25">
      <c r="A458" s="149"/>
      <c r="B458" s="149"/>
      <c r="C458" s="149"/>
      <c r="D458" s="149"/>
      <c r="E458" s="149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</row>
    <row r="459" spans="1:26" ht="15.75" customHeight="1" x14ac:dyDescent="0.25">
      <c r="A459" s="149"/>
      <c r="B459" s="149"/>
      <c r="C459" s="149"/>
      <c r="D459" s="149"/>
      <c r="E459" s="149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</row>
    <row r="460" spans="1:26" ht="15.75" customHeight="1" x14ac:dyDescent="0.25">
      <c r="A460" s="149"/>
      <c r="B460" s="149"/>
      <c r="C460" s="149"/>
      <c r="D460" s="149"/>
      <c r="E460" s="149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</row>
    <row r="461" spans="1:26" ht="15.75" customHeight="1" x14ac:dyDescent="0.25">
      <c r="A461" s="149"/>
      <c r="B461" s="149"/>
      <c r="C461" s="149"/>
      <c r="D461" s="149"/>
      <c r="E461" s="149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</row>
    <row r="462" spans="1:26" ht="15.75" customHeight="1" x14ac:dyDescent="0.25">
      <c r="A462" s="149"/>
      <c r="B462" s="149"/>
      <c r="C462" s="149"/>
      <c r="D462" s="149"/>
      <c r="E462" s="149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</row>
    <row r="463" spans="1:26" ht="15.75" customHeight="1" x14ac:dyDescent="0.25">
      <c r="A463" s="149"/>
      <c r="B463" s="149"/>
      <c r="C463" s="149"/>
      <c r="D463" s="149"/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</row>
    <row r="464" spans="1:26" ht="15.75" customHeight="1" x14ac:dyDescent="0.25">
      <c r="A464" s="149"/>
      <c r="B464" s="149"/>
      <c r="C464" s="149"/>
      <c r="D464" s="149"/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</row>
    <row r="465" spans="1:26" ht="15.75" customHeight="1" x14ac:dyDescent="0.25">
      <c r="A465" s="149"/>
      <c r="B465" s="149"/>
      <c r="C465" s="149"/>
      <c r="D465" s="149"/>
      <c r="E465" s="149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</row>
    <row r="466" spans="1:26" ht="15.75" customHeight="1" x14ac:dyDescent="0.25">
      <c r="A466" s="149"/>
      <c r="B466" s="149"/>
      <c r="C466" s="149"/>
      <c r="D466" s="149"/>
      <c r="E466" s="149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</row>
    <row r="467" spans="1:26" ht="15.75" customHeight="1" x14ac:dyDescent="0.25">
      <c r="A467" s="149"/>
      <c r="B467" s="149"/>
      <c r="C467" s="149"/>
      <c r="D467" s="149"/>
      <c r="E467" s="14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</row>
    <row r="468" spans="1:26" ht="15.75" customHeight="1" x14ac:dyDescent="0.25">
      <c r="A468" s="149"/>
      <c r="B468" s="149"/>
      <c r="C468" s="149"/>
      <c r="D468" s="149"/>
      <c r="E468" s="149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</row>
    <row r="469" spans="1:26" ht="15.75" customHeight="1" x14ac:dyDescent="0.25">
      <c r="A469" s="149"/>
      <c r="B469" s="149"/>
      <c r="C469" s="149"/>
      <c r="D469" s="149"/>
      <c r="E469" s="149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</row>
    <row r="470" spans="1:26" ht="15.75" customHeight="1" x14ac:dyDescent="0.25">
      <c r="A470" s="149"/>
      <c r="B470" s="149"/>
      <c r="C470" s="149"/>
      <c r="D470" s="149"/>
      <c r="E470" s="149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</row>
    <row r="471" spans="1:26" ht="15.75" customHeight="1" x14ac:dyDescent="0.25">
      <c r="A471" s="149"/>
      <c r="B471" s="149"/>
      <c r="C471" s="149"/>
      <c r="D471" s="149"/>
      <c r="E471" s="149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</row>
    <row r="472" spans="1:26" ht="15.75" customHeight="1" x14ac:dyDescent="0.25">
      <c r="A472" s="149"/>
      <c r="B472" s="149"/>
      <c r="C472" s="149"/>
      <c r="D472" s="149"/>
      <c r="E472" s="149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</row>
    <row r="473" spans="1:26" ht="15.75" customHeight="1" x14ac:dyDescent="0.25">
      <c r="A473" s="149"/>
      <c r="B473" s="149"/>
      <c r="C473" s="149"/>
      <c r="D473" s="149"/>
      <c r="E473" s="149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</row>
    <row r="474" spans="1:26" ht="15.75" customHeight="1" x14ac:dyDescent="0.25">
      <c r="A474" s="149"/>
      <c r="B474" s="149"/>
      <c r="C474" s="149"/>
      <c r="D474" s="149"/>
      <c r="E474" s="149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</row>
    <row r="475" spans="1:26" ht="15.75" customHeight="1" x14ac:dyDescent="0.25">
      <c r="A475" s="149"/>
      <c r="B475" s="149"/>
      <c r="C475" s="149"/>
      <c r="D475" s="149"/>
      <c r="E475" s="149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</row>
    <row r="476" spans="1:26" ht="15.75" customHeight="1" x14ac:dyDescent="0.25">
      <c r="A476" s="149"/>
      <c r="B476" s="149"/>
      <c r="C476" s="149"/>
      <c r="D476" s="149"/>
      <c r="E476" s="149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</row>
    <row r="477" spans="1:26" ht="15.75" customHeight="1" x14ac:dyDescent="0.25">
      <c r="A477" s="149"/>
      <c r="B477" s="149"/>
      <c r="C477" s="149"/>
      <c r="D477" s="149"/>
      <c r="E477" s="149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</row>
    <row r="478" spans="1:26" ht="15.75" customHeight="1" x14ac:dyDescent="0.25">
      <c r="A478" s="149"/>
      <c r="B478" s="149"/>
      <c r="C478" s="149"/>
      <c r="D478" s="149"/>
      <c r="E478" s="149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</row>
    <row r="479" spans="1:26" ht="15.75" customHeight="1" x14ac:dyDescent="0.25">
      <c r="A479" s="149"/>
      <c r="B479" s="149"/>
      <c r="C479" s="149"/>
      <c r="D479" s="149"/>
      <c r="E479" s="149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</row>
    <row r="480" spans="1:26" ht="15.75" customHeight="1" x14ac:dyDescent="0.25">
      <c r="A480" s="149"/>
      <c r="B480" s="149"/>
      <c r="C480" s="149"/>
      <c r="D480" s="149"/>
      <c r="E480" s="14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</row>
    <row r="481" spans="1:26" ht="15.75" customHeight="1" x14ac:dyDescent="0.25">
      <c r="A481" s="149"/>
      <c r="B481" s="149"/>
      <c r="C481" s="149"/>
      <c r="D481" s="149"/>
      <c r="E481" s="14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</row>
    <row r="482" spans="1:26" ht="15.75" customHeight="1" x14ac:dyDescent="0.25">
      <c r="A482" s="149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</row>
    <row r="483" spans="1:26" ht="15.75" customHeight="1" x14ac:dyDescent="0.25">
      <c r="A483" s="149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</row>
    <row r="484" spans="1:26" ht="15.75" customHeight="1" x14ac:dyDescent="0.25">
      <c r="A484" s="149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</row>
    <row r="485" spans="1:26" ht="15.75" customHeight="1" x14ac:dyDescent="0.25">
      <c r="A485" s="149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</row>
    <row r="486" spans="1:26" ht="15.75" customHeight="1" x14ac:dyDescent="0.25">
      <c r="A486" s="149"/>
      <c r="B486" s="149"/>
      <c r="C486" s="149"/>
      <c r="D486" s="149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</row>
    <row r="487" spans="1:26" ht="15.75" customHeight="1" x14ac:dyDescent="0.25">
      <c r="A487" s="149"/>
      <c r="B487" s="149"/>
      <c r="C487" s="149"/>
      <c r="D487" s="149"/>
      <c r="E487" s="149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</row>
    <row r="488" spans="1:26" ht="15.75" customHeight="1" x14ac:dyDescent="0.25">
      <c r="A488" s="149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</row>
    <row r="489" spans="1:26" ht="15.75" customHeight="1" x14ac:dyDescent="0.25">
      <c r="A489" s="149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</row>
    <row r="490" spans="1:26" ht="15.75" customHeight="1" x14ac:dyDescent="0.25">
      <c r="A490" s="149"/>
      <c r="B490" s="149"/>
      <c r="C490" s="149"/>
      <c r="D490" s="149"/>
      <c r="E490" s="149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</row>
    <row r="491" spans="1:26" ht="15.75" customHeight="1" x14ac:dyDescent="0.25">
      <c r="A491" s="149"/>
      <c r="B491" s="149"/>
      <c r="C491" s="149"/>
      <c r="D491" s="149"/>
      <c r="E491" s="149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</row>
    <row r="492" spans="1:26" ht="15.75" customHeight="1" x14ac:dyDescent="0.25">
      <c r="A492" s="149"/>
      <c r="B492" s="149"/>
      <c r="C492" s="149"/>
      <c r="D492" s="149"/>
      <c r="E492" s="149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</row>
    <row r="493" spans="1:26" ht="15.75" customHeight="1" x14ac:dyDescent="0.25">
      <c r="A493" s="149"/>
      <c r="B493" s="149"/>
      <c r="C493" s="149"/>
      <c r="D493" s="149"/>
      <c r="E493" s="149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</row>
    <row r="494" spans="1:26" ht="15.75" customHeight="1" x14ac:dyDescent="0.25">
      <c r="A494" s="149"/>
      <c r="B494" s="149"/>
      <c r="C494" s="149"/>
      <c r="D494" s="149"/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</row>
    <row r="495" spans="1:26" ht="15.75" customHeight="1" x14ac:dyDescent="0.25">
      <c r="A495" s="149"/>
      <c r="B495" s="149"/>
      <c r="C495" s="149"/>
      <c r="D495" s="149"/>
      <c r="E495" s="149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</row>
    <row r="496" spans="1:26" ht="15.75" customHeight="1" x14ac:dyDescent="0.25">
      <c r="A496" s="149"/>
      <c r="B496" s="149"/>
      <c r="C496" s="149"/>
      <c r="D496" s="149"/>
      <c r="E496" s="149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</row>
    <row r="497" spans="1:26" ht="15.75" customHeight="1" x14ac:dyDescent="0.25">
      <c r="A497" s="149"/>
      <c r="B497" s="149"/>
      <c r="C497" s="149"/>
      <c r="D497" s="149"/>
      <c r="E497" s="149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</row>
    <row r="498" spans="1:26" ht="15.75" customHeight="1" x14ac:dyDescent="0.25">
      <c r="A498" s="149"/>
      <c r="B498" s="149"/>
      <c r="C498" s="149"/>
      <c r="D498" s="149"/>
      <c r="E498" s="149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</row>
    <row r="499" spans="1:26" ht="15.75" customHeight="1" x14ac:dyDescent="0.25">
      <c r="A499" s="149"/>
      <c r="B499" s="149"/>
      <c r="C499" s="149"/>
      <c r="D499" s="149"/>
      <c r="E499" s="149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</row>
    <row r="500" spans="1:26" ht="15.75" customHeight="1" x14ac:dyDescent="0.25">
      <c r="A500" s="149"/>
      <c r="B500" s="149"/>
      <c r="C500" s="149"/>
      <c r="D500" s="149"/>
      <c r="E500" s="149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</row>
    <row r="501" spans="1:26" ht="15.75" customHeight="1" x14ac:dyDescent="0.25">
      <c r="A501" s="149"/>
      <c r="B501" s="149"/>
      <c r="C501" s="149"/>
      <c r="D501" s="149"/>
      <c r="E501" s="149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</row>
    <row r="502" spans="1:26" ht="15.75" customHeight="1" x14ac:dyDescent="0.25">
      <c r="A502" s="149"/>
      <c r="B502" s="149"/>
      <c r="C502" s="149"/>
      <c r="D502" s="149"/>
      <c r="E502" s="149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</row>
    <row r="503" spans="1:26" ht="15.75" customHeight="1" x14ac:dyDescent="0.25">
      <c r="A503" s="149"/>
      <c r="B503" s="149"/>
      <c r="C503" s="149"/>
      <c r="D503" s="149"/>
      <c r="E503" s="149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</row>
    <row r="504" spans="1:26" ht="15.75" customHeight="1" x14ac:dyDescent="0.25">
      <c r="A504" s="149"/>
      <c r="B504" s="149"/>
      <c r="C504" s="149"/>
      <c r="D504" s="149"/>
      <c r="E504" s="149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</row>
    <row r="505" spans="1:26" ht="15.75" customHeight="1" x14ac:dyDescent="0.25">
      <c r="A505" s="149"/>
      <c r="B505" s="149"/>
      <c r="C505" s="149"/>
      <c r="D505" s="149"/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</row>
    <row r="506" spans="1:26" ht="15.75" customHeight="1" x14ac:dyDescent="0.25">
      <c r="A506" s="149"/>
      <c r="B506" s="149"/>
      <c r="C506" s="149"/>
      <c r="D506" s="149"/>
      <c r="E506" s="149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</row>
    <row r="507" spans="1:26" ht="15.75" customHeight="1" x14ac:dyDescent="0.25">
      <c r="A507" s="149"/>
      <c r="B507" s="149"/>
      <c r="C507" s="149"/>
      <c r="D507" s="149"/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</row>
    <row r="508" spans="1:26" ht="15.75" customHeight="1" x14ac:dyDescent="0.25">
      <c r="A508" s="149"/>
      <c r="B508" s="149"/>
      <c r="C508" s="149"/>
      <c r="D508" s="149"/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</row>
    <row r="509" spans="1:26" ht="15.75" customHeight="1" x14ac:dyDescent="0.25">
      <c r="A509" s="149"/>
      <c r="B509" s="149"/>
      <c r="C509" s="149"/>
      <c r="D509" s="149"/>
      <c r="E509" s="149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</row>
    <row r="510" spans="1:26" ht="15.75" customHeight="1" x14ac:dyDescent="0.25">
      <c r="A510" s="149"/>
      <c r="B510" s="149"/>
      <c r="C510" s="149"/>
      <c r="D510" s="149"/>
      <c r="E510" s="149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</row>
    <row r="511" spans="1:26" ht="15.75" customHeight="1" x14ac:dyDescent="0.25">
      <c r="A511" s="149"/>
      <c r="B511" s="149"/>
      <c r="C511" s="149"/>
      <c r="D511" s="149"/>
      <c r="E511" s="149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</row>
    <row r="512" spans="1:26" ht="15.75" customHeight="1" x14ac:dyDescent="0.25">
      <c r="A512" s="149"/>
      <c r="B512" s="149"/>
      <c r="C512" s="149"/>
      <c r="D512" s="149"/>
      <c r="E512" s="149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</row>
    <row r="513" spans="1:26" ht="15.75" customHeight="1" x14ac:dyDescent="0.25">
      <c r="A513" s="149"/>
      <c r="B513" s="149"/>
      <c r="C513" s="149"/>
      <c r="D513" s="149"/>
      <c r="E513" s="149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</row>
    <row r="514" spans="1:26" ht="15.75" customHeight="1" x14ac:dyDescent="0.25">
      <c r="A514" s="149"/>
      <c r="B514" s="149"/>
      <c r="C514" s="149"/>
      <c r="D514" s="149"/>
      <c r="E514" s="149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</row>
    <row r="515" spans="1:26" ht="15.75" customHeight="1" x14ac:dyDescent="0.25">
      <c r="A515" s="149"/>
      <c r="B515" s="149"/>
      <c r="C515" s="149"/>
      <c r="D515" s="149"/>
      <c r="E515" s="14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</row>
    <row r="516" spans="1:26" ht="15.75" customHeight="1" x14ac:dyDescent="0.25">
      <c r="A516" s="149"/>
      <c r="B516" s="149"/>
      <c r="C516" s="149"/>
      <c r="D516" s="149"/>
      <c r="E516" s="14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</row>
    <row r="517" spans="1:26" ht="15.75" customHeight="1" x14ac:dyDescent="0.25">
      <c r="A517" s="149"/>
      <c r="B517" s="149"/>
      <c r="C517" s="149"/>
      <c r="D517" s="149"/>
      <c r="E517" s="149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</row>
    <row r="518" spans="1:26" ht="15.75" customHeight="1" x14ac:dyDescent="0.25">
      <c r="A518" s="149"/>
      <c r="B518" s="149"/>
      <c r="C518" s="149"/>
      <c r="D518" s="149"/>
      <c r="E518" s="149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</row>
    <row r="519" spans="1:26" ht="15.75" customHeight="1" x14ac:dyDescent="0.25">
      <c r="A519" s="149"/>
      <c r="B519" s="149"/>
      <c r="C519" s="149"/>
      <c r="D519" s="149"/>
      <c r="E519" s="149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</row>
    <row r="520" spans="1:26" ht="15.75" customHeight="1" x14ac:dyDescent="0.25">
      <c r="A520" s="149"/>
      <c r="B520" s="149"/>
      <c r="C520" s="149"/>
      <c r="D520" s="149"/>
      <c r="E520" s="149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</row>
    <row r="521" spans="1:26" ht="15.75" customHeight="1" x14ac:dyDescent="0.25">
      <c r="A521" s="149"/>
      <c r="B521" s="149"/>
      <c r="C521" s="149"/>
      <c r="D521" s="149"/>
      <c r="E521" s="149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</row>
    <row r="522" spans="1:26" ht="15.75" customHeight="1" x14ac:dyDescent="0.25">
      <c r="A522" s="149"/>
      <c r="B522" s="149"/>
      <c r="C522" s="149"/>
      <c r="D522" s="149"/>
      <c r="E522" s="149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</row>
    <row r="523" spans="1:26" ht="15.75" customHeight="1" x14ac:dyDescent="0.25">
      <c r="A523" s="149"/>
      <c r="B523" s="149"/>
      <c r="C523" s="149"/>
      <c r="D523" s="149"/>
      <c r="E523" s="149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</row>
    <row r="524" spans="1:26" ht="15.75" customHeight="1" x14ac:dyDescent="0.25">
      <c r="A524" s="149"/>
      <c r="B524" s="149"/>
      <c r="C524" s="149"/>
      <c r="D524" s="149"/>
      <c r="E524" s="149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</row>
    <row r="525" spans="1:26" ht="15.75" customHeight="1" x14ac:dyDescent="0.25">
      <c r="A525" s="149"/>
      <c r="B525" s="149"/>
      <c r="C525" s="149"/>
      <c r="D525" s="149"/>
      <c r="E525" s="149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</row>
    <row r="526" spans="1:26" ht="15.75" customHeight="1" x14ac:dyDescent="0.25">
      <c r="A526" s="149"/>
      <c r="B526" s="149"/>
      <c r="C526" s="149"/>
      <c r="D526" s="149"/>
      <c r="E526" s="149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</row>
    <row r="527" spans="1:26" ht="15.75" customHeight="1" x14ac:dyDescent="0.25">
      <c r="A527" s="149"/>
      <c r="B527" s="149"/>
      <c r="C527" s="149"/>
      <c r="D527" s="149"/>
      <c r="E527" s="149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</row>
    <row r="528" spans="1:26" ht="15.75" customHeight="1" x14ac:dyDescent="0.25">
      <c r="A528" s="149"/>
      <c r="B528" s="149"/>
      <c r="C528" s="149"/>
      <c r="D528" s="149"/>
      <c r="E528" s="149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</row>
    <row r="529" spans="1:26" ht="15.75" customHeight="1" x14ac:dyDescent="0.25">
      <c r="A529" s="149"/>
      <c r="B529" s="149"/>
      <c r="C529" s="149"/>
      <c r="D529" s="149"/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</row>
    <row r="530" spans="1:26" ht="15.75" customHeight="1" x14ac:dyDescent="0.25">
      <c r="A530" s="149"/>
      <c r="B530" s="149"/>
      <c r="C530" s="149"/>
      <c r="D530" s="149"/>
      <c r="E530" s="149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</row>
    <row r="531" spans="1:26" ht="15.75" customHeight="1" x14ac:dyDescent="0.25">
      <c r="A531" s="149"/>
      <c r="B531" s="149"/>
      <c r="C531" s="149"/>
      <c r="D531" s="149"/>
      <c r="E531" s="149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</row>
    <row r="532" spans="1:26" ht="15.75" customHeight="1" x14ac:dyDescent="0.25">
      <c r="A532" s="149"/>
      <c r="B532" s="149"/>
      <c r="C532" s="149"/>
      <c r="D532" s="149"/>
      <c r="E532" s="14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</row>
    <row r="533" spans="1:26" ht="15.75" customHeight="1" x14ac:dyDescent="0.25">
      <c r="A533" s="149"/>
      <c r="B533" s="149"/>
      <c r="C533" s="149"/>
      <c r="D533" s="149"/>
      <c r="E533" s="14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</row>
    <row r="534" spans="1:26" ht="15.75" customHeight="1" x14ac:dyDescent="0.25">
      <c r="A534" s="149"/>
      <c r="B534" s="149"/>
      <c r="C534" s="149"/>
      <c r="D534" s="149"/>
      <c r="E534" s="149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</row>
    <row r="535" spans="1:26" ht="15.75" customHeight="1" x14ac:dyDescent="0.25">
      <c r="A535" s="149"/>
      <c r="B535" s="149"/>
      <c r="C535" s="149"/>
      <c r="D535" s="149"/>
      <c r="E535" s="149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</row>
    <row r="536" spans="1:26" ht="15.75" customHeight="1" x14ac:dyDescent="0.25">
      <c r="A536" s="149"/>
      <c r="B536" s="149"/>
      <c r="C536" s="149"/>
      <c r="D536" s="149"/>
      <c r="E536" s="149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</row>
    <row r="537" spans="1:26" ht="15.75" customHeight="1" x14ac:dyDescent="0.25">
      <c r="A537" s="149"/>
      <c r="B537" s="149"/>
      <c r="C537" s="149"/>
      <c r="D537" s="149"/>
      <c r="E537" s="149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</row>
    <row r="538" spans="1:26" ht="15.75" customHeight="1" x14ac:dyDescent="0.25">
      <c r="A538" s="149"/>
      <c r="B538" s="149"/>
      <c r="C538" s="149"/>
      <c r="D538" s="149"/>
      <c r="E538" s="149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</row>
    <row r="539" spans="1:26" ht="15.75" customHeight="1" x14ac:dyDescent="0.25">
      <c r="A539" s="149"/>
      <c r="B539" s="149"/>
      <c r="C539" s="149"/>
      <c r="D539" s="149"/>
      <c r="E539" s="149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</row>
    <row r="540" spans="1:26" ht="15.75" customHeight="1" x14ac:dyDescent="0.25">
      <c r="A540" s="149"/>
      <c r="B540" s="149"/>
      <c r="C540" s="149"/>
      <c r="D540" s="149"/>
      <c r="E540" s="149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</row>
    <row r="541" spans="1:26" ht="15.75" customHeight="1" x14ac:dyDescent="0.25">
      <c r="A541" s="149"/>
      <c r="B541" s="149"/>
      <c r="C541" s="149"/>
      <c r="D541" s="149"/>
      <c r="E541" s="149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</row>
    <row r="542" spans="1:26" ht="15.75" customHeight="1" x14ac:dyDescent="0.25">
      <c r="A542" s="149"/>
      <c r="B542" s="149"/>
      <c r="C542" s="149"/>
      <c r="D542" s="149"/>
      <c r="E542" s="149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</row>
    <row r="543" spans="1:26" ht="15.75" customHeight="1" x14ac:dyDescent="0.25">
      <c r="A543" s="149"/>
      <c r="B543" s="149"/>
      <c r="C543" s="149"/>
      <c r="D543" s="149"/>
      <c r="E543" s="149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</row>
    <row r="544" spans="1:26" ht="15.75" customHeight="1" x14ac:dyDescent="0.25">
      <c r="A544" s="149"/>
      <c r="B544" s="149"/>
      <c r="C544" s="149"/>
      <c r="D544" s="149"/>
      <c r="E544" s="149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</row>
    <row r="545" spans="1:26" ht="15.75" customHeight="1" x14ac:dyDescent="0.25">
      <c r="A545" s="149"/>
      <c r="B545" s="149"/>
      <c r="C545" s="149"/>
      <c r="D545" s="149"/>
      <c r="E545" s="149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</row>
    <row r="546" spans="1:26" ht="15.75" customHeight="1" x14ac:dyDescent="0.25">
      <c r="A546" s="149"/>
      <c r="B546" s="149"/>
      <c r="C546" s="149"/>
      <c r="D546" s="149"/>
      <c r="E546" s="149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</row>
    <row r="547" spans="1:26" ht="15.75" customHeight="1" x14ac:dyDescent="0.25">
      <c r="A547" s="149"/>
      <c r="B547" s="149"/>
      <c r="C547" s="149"/>
      <c r="D547" s="149"/>
      <c r="E547" s="149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</row>
    <row r="548" spans="1:26" ht="15.75" customHeight="1" x14ac:dyDescent="0.25">
      <c r="A548" s="149"/>
      <c r="B548" s="149"/>
      <c r="C548" s="149"/>
      <c r="D548" s="149"/>
      <c r="E548" s="149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</row>
    <row r="549" spans="1:26" ht="15.75" customHeight="1" x14ac:dyDescent="0.25">
      <c r="A549" s="149"/>
      <c r="B549" s="149"/>
      <c r="C549" s="149"/>
      <c r="D549" s="149"/>
      <c r="E549" s="149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</row>
    <row r="550" spans="1:26" ht="15.75" customHeight="1" x14ac:dyDescent="0.25">
      <c r="A550" s="149"/>
      <c r="B550" s="149"/>
      <c r="C550" s="149"/>
      <c r="D550" s="149"/>
      <c r="E550" s="149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</row>
    <row r="551" spans="1:26" ht="15.75" customHeight="1" x14ac:dyDescent="0.25">
      <c r="A551" s="149"/>
      <c r="B551" s="149"/>
      <c r="C551" s="149"/>
      <c r="D551" s="149"/>
      <c r="E551" s="149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</row>
    <row r="552" spans="1:26" ht="15.75" customHeight="1" x14ac:dyDescent="0.25">
      <c r="A552" s="149"/>
      <c r="B552" s="149"/>
      <c r="C552" s="149"/>
      <c r="D552" s="149"/>
      <c r="E552" s="149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</row>
    <row r="553" spans="1:26" ht="15.75" customHeight="1" x14ac:dyDescent="0.25">
      <c r="A553" s="149"/>
      <c r="B553" s="149"/>
      <c r="C553" s="149"/>
      <c r="D553" s="149"/>
      <c r="E553" s="149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</row>
    <row r="554" spans="1:26" ht="15.75" customHeight="1" x14ac:dyDescent="0.25">
      <c r="A554" s="149"/>
      <c r="B554" s="149"/>
      <c r="C554" s="149"/>
      <c r="D554" s="149"/>
      <c r="E554" s="149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</row>
    <row r="555" spans="1:26" ht="15.75" customHeight="1" x14ac:dyDescent="0.25">
      <c r="A555" s="149"/>
      <c r="B555" s="149"/>
      <c r="C555" s="149"/>
      <c r="D555" s="149"/>
      <c r="E555" s="149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</row>
    <row r="556" spans="1:26" ht="15.75" customHeight="1" x14ac:dyDescent="0.25">
      <c r="A556" s="149"/>
      <c r="B556" s="149"/>
      <c r="C556" s="149"/>
      <c r="D556" s="149"/>
      <c r="E556" s="149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</row>
    <row r="557" spans="1:26" ht="15.75" customHeight="1" x14ac:dyDescent="0.25">
      <c r="A557" s="149"/>
      <c r="B557" s="149"/>
      <c r="C557" s="149"/>
      <c r="D557" s="149"/>
      <c r="E557" s="149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</row>
    <row r="558" spans="1:26" ht="15.75" customHeight="1" x14ac:dyDescent="0.25">
      <c r="A558" s="149"/>
      <c r="B558" s="149"/>
      <c r="C558" s="149"/>
      <c r="D558" s="149"/>
      <c r="E558" s="149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</row>
    <row r="559" spans="1:26" ht="15.75" customHeight="1" x14ac:dyDescent="0.25">
      <c r="A559" s="149"/>
      <c r="B559" s="149"/>
      <c r="C559" s="149"/>
      <c r="D559" s="149"/>
      <c r="E559" s="149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</row>
    <row r="560" spans="1:26" ht="15.75" customHeight="1" x14ac:dyDescent="0.25">
      <c r="A560" s="149"/>
      <c r="B560" s="149"/>
      <c r="C560" s="149"/>
      <c r="D560" s="149"/>
      <c r="E560" s="149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</row>
    <row r="561" spans="1:26" ht="15.75" customHeight="1" x14ac:dyDescent="0.25">
      <c r="A561" s="149"/>
      <c r="B561" s="149"/>
      <c r="C561" s="149"/>
      <c r="D561" s="149"/>
      <c r="E561" s="14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</row>
    <row r="562" spans="1:26" ht="15.75" customHeight="1" x14ac:dyDescent="0.25">
      <c r="A562" s="149"/>
      <c r="B562" s="149"/>
      <c r="C562" s="149"/>
      <c r="D562" s="149"/>
      <c r="E562" s="149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</row>
    <row r="563" spans="1:26" ht="15.75" customHeight="1" x14ac:dyDescent="0.25">
      <c r="A563" s="149"/>
      <c r="B563" s="149"/>
      <c r="C563" s="149"/>
      <c r="D563" s="149"/>
      <c r="E563" s="149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</row>
    <row r="564" spans="1:26" ht="15.75" customHeight="1" x14ac:dyDescent="0.25">
      <c r="A564" s="149"/>
      <c r="B564" s="149"/>
      <c r="C564" s="149"/>
      <c r="D564" s="149"/>
      <c r="E564" s="149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</row>
    <row r="565" spans="1:26" ht="15.75" customHeight="1" x14ac:dyDescent="0.25">
      <c r="A565" s="149"/>
      <c r="B565" s="149"/>
      <c r="C565" s="149"/>
      <c r="D565" s="149"/>
      <c r="E565" s="149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</row>
    <row r="566" spans="1:26" ht="15.75" customHeight="1" x14ac:dyDescent="0.25">
      <c r="A566" s="149"/>
      <c r="B566" s="149"/>
      <c r="C566" s="149"/>
      <c r="D566" s="149"/>
      <c r="E566" s="149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</row>
    <row r="567" spans="1:26" ht="15.75" customHeight="1" x14ac:dyDescent="0.25">
      <c r="A567" s="149"/>
      <c r="B567" s="149"/>
      <c r="C567" s="149"/>
      <c r="D567" s="149"/>
      <c r="E567" s="14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</row>
    <row r="568" spans="1:26" ht="15.75" customHeight="1" x14ac:dyDescent="0.25">
      <c r="A568" s="149"/>
      <c r="B568" s="149"/>
      <c r="C568" s="149"/>
      <c r="D568" s="149"/>
      <c r="E568" s="14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</row>
    <row r="569" spans="1:26" ht="15.75" customHeight="1" x14ac:dyDescent="0.25">
      <c r="A569" s="149"/>
      <c r="B569" s="149"/>
      <c r="C569" s="149"/>
      <c r="D569" s="149"/>
      <c r="E569" s="14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</row>
    <row r="570" spans="1:26" ht="15.75" customHeight="1" x14ac:dyDescent="0.25">
      <c r="A570" s="149"/>
      <c r="B570" s="149"/>
      <c r="C570" s="149"/>
      <c r="D570" s="149"/>
      <c r="E570" s="14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</row>
    <row r="571" spans="1:26" ht="15.75" customHeight="1" x14ac:dyDescent="0.25">
      <c r="A571" s="149"/>
      <c r="B571" s="149"/>
      <c r="C571" s="149"/>
      <c r="D571" s="149"/>
      <c r="E571" s="14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</row>
    <row r="572" spans="1:26" ht="15.75" customHeight="1" x14ac:dyDescent="0.25">
      <c r="A572" s="149"/>
      <c r="B572" s="149"/>
      <c r="C572" s="149"/>
      <c r="D572" s="149"/>
      <c r="E572" s="14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</row>
    <row r="573" spans="1:26" ht="15.75" customHeight="1" x14ac:dyDescent="0.25">
      <c r="A573" s="149"/>
      <c r="B573" s="149"/>
      <c r="C573" s="149"/>
      <c r="D573" s="149"/>
      <c r="E573" s="14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</row>
    <row r="574" spans="1:26" ht="15.75" customHeight="1" x14ac:dyDescent="0.25">
      <c r="A574" s="149"/>
      <c r="B574" s="149"/>
      <c r="C574" s="149"/>
      <c r="D574" s="149"/>
      <c r="E574" s="14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</row>
    <row r="575" spans="1:26" ht="15.75" customHeight="1" x14ac:dyDescent="0.25">
      <c r="A575" s="149"/>
      <c r="B575" s="149"/>
      <c r="C575" s="149"/>
      <c r="D575" s="149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</row>
    <row r="576" spans="1:26" ht="15.75" customHeight="1" x14ac:dyDescent="0.25">
      <c r="A576" s="149"/>
      <c r="B576" s="149"/>
      <c r="C576" s="149"/>
      <c r="D576" s="149"/>
      <c r="E576" s="14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</row>
    <row r="577" spans="1:26" ht="15.75" customHeight="1" x14ac:dyDescent="0.25">
      <c r="A577" s="149"/>
      <c r="B577" s="149"/>
      <c r="C577" s="149"/>
      <c r="D577" s="149"/>
      <c r="E577" s="149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</row>
    <row r="578" spans="1:26" ht="15.75" customHeight="1" x14ac:dyDescent="0.25">
      <c r="A578" s="149"/>
      <c r="B578" s="149"/>
      <c r="C578" s="149"/>
      <c r="D578" s="149"/>
      <c r="E578" s="149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</row>
    <row r="579" spans="1:26" ht="15.75" customHeight="1" x14ac:dyDescent="0.25">
      <c r="A579" s="149"/>
      <c r="B579" s="149"/>
      <c r="C579" s="149"/>
      <c r="D579" s="149"/>
      <c r="E579" s="149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</row>
    <row r="580" spans="1:26" ht="15.75" customHeight="1" x14ac:dyDescent="0.25">
      <c r="A580" s="149"/>
      <c r="B580" s="149"/>
      <c r="C580" s="149"/>
      <c r="D580" s="149"/>
      <c r="E580" s="14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</row>
    <row r="581" spans="1:26" ht="15.75" customHeight="1" x14ac:dyDescent="0.25">
      <c r="A581" s="149"/>
      <c r="B581" s="149"/>
      <c r="C581" s="149"/>
      <c r="D581" s="149"/>
      <c r="E581" s="149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</row>
    <row r="582" spans="1:26" ht="15.75" customHeight="1" x14ac:dyDescent="0.25">
      <c r="A582" s="149"/>
      <c r="B582" s="149"/>
      <c r="C582" s="149"/>
      <c r="D582" s="149"/>
      <c r="E582" s="149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</row>
    <row r="583" spans="1:26" ht="15.75" customHeight="1" x14ac:dyDescent="0.25">
      <c r="A583" s="149"/>
      <c r="B583" s="149"/>
      <c r="C583" s="149"/>
      <c r="D583" s="149"/>
      <c r="E583" s="14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</row>
    <row r="584" spans="1:26" ht="15.75" customHeight="1" x14ac:dyDescent="0.25">
      <c r="A584" s="149"/>
      <c r="B584" s="149"/>
      <c r="C584" s="149"/>
      <c r="D584" s="149"/>
      <c r="E584" s="14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</row>
    <row r="585" spans="1:26" ht="15.75" customHeight="1" x14ac:dyDescent="0.25">
      <c r="A585" s="149"/>
      <c r="B585" s="149"/>
      <c r="C585" s="149"/>
      <c r="D585" s="149"/>
      <c r="E585" s="149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</row>
    <row r="586" spans="1:26" ht="15.75" customHeight="1" x14ac:dyDescent="0.25">
      <c r="A586" s="149"/>
      <c r="B586" s="149"/>
      <c r="C586" s="149"/>
      <c r="D586" s="149"/>
      <c r="E586" s="149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</row>
    <row r="587" spans="1:26" ht="15.75" customHeight="1" x14ac:dyDescent="0.25">
      <c r="A587" s="149"/>
      <c r="B587" s="149"/>
      <c r="C587" s="149"/>
      <c r="D587" s="149"/>
      <c r="E587" s="149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</row>
    <row r="588" spans="1:26" ht="15.75" customHeight="1" x14ac:dyDescent="0.25">
      <c r="A588" s="149"/>
      <c r="B588" s="149"/>
      <c r="C588" s="149"/>
      <c r="D588" s="149"/>
      <c r="E588" s="149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</row>
    <row r="589" spans="1:26" ht="15.75" customHeight="1" x14ac:dyDescent="0.25">
      <c r="A589" s="149"/>
      <c r="B589" s="149"/>
      <c r="C589" s="149"/>
      <c r="D589" s="149"/>
      <c r="E589" s="149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</row>
    <row r="590" spans="1:26" ht="15.75" customHeight="1" x14ac:dyDescent="0.25">
      <c r="A590" s="149"/>
      <c r="B590" s="149"/>
      <c r="C590" s="149"/>
      <c r="D590" s="149"/>
      <c r="E590" s="14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</row>
    <row r="591" spans="1:26" ht="15.75" customHeight="1" x14ac:dyDescent="0.25">
      <c r="A591" s="149"/>
      <c r="B591" s="149"/>
      <c r="C591" s="149"/>
      <c r="D591" s="149"/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</row>
    <row r="592" spans="1:26" ht="15.75" customHeight="1" x14ac:dyDescent="0.25">
      <c r="A592" s="149"/>
      <c r="B592" s="149"/>
      <c r="C592" s="149"/>
      <c r="D592" s="149"/>
      <c r="E592" s="14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</row>
    <row r="593" spans="1:26" ht="15.75" customHeight="1" x14ac:dyDescent="0.25">
      <c r="A593" s="149"/>
      <c r="B593" s="149"/>
      <c r="C593" s="149"/>
      <c r="D593" s="149"/>
      <c r="E593" s="14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</row>
    <row r="594" spans="1:26" ht="15.75" customHeight="1" x14ac:dyDescent="0.25">
      <c r="A594" s="149"/>
      <c r="B594" s="149"/>
      <c r="C594" s="149"/>
      <c r="D594" s="149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</row>
    <row r="595" spans="1:26" ht="15.75" customHeight="1" x14ac:dyDescent="0.25">
      <c r="A595" s="149"/>
      <c r="B595" s="149"/>
      <c r="C595" s="149"/>
      <c r="D595" s="149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</row>
    <row r="596" spans="1:26" ht="15.75" customHeight="1" x14ac:dyDescent="0.25">
      <c r="A596" s="149"/>
      <c r="B596" s="149"/>
      <c r="C596" s="149"/>
      <c r="D596" s="149"/>
      <c r="E596" s="14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</row>
    <row r="597" spans="1:26" ht="15.75" customHeight="1" x14ac:dyDescent="0.25">
      <c r="A597" s="149"/>
      <c r="B597" s="149"/>
      <c r="C597" s="149"/>
      <c r="D597" s="149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</row>
    <row r="598" spans="1:26" ht="15.75" customHeight="1" x14ac:dyDescent="0.25">
      <c r="A598" s="149"/>
      <c r="B598" s="149"/>
      <c r="C598" s="149"/>
      <c r="D598" s="149"/>
      <c r="E598" s="14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</row>
    <row r="599" spans="1:26" ht="15.75" customHeight="1" x14ac:dyDescent="0.25">
      <c r="A599" s="149"/>
      <c r="B599" s="149"/>
      <c r="C599" s="149"/>
      <c r="D599" s="149"/>
      <c r="E599" s="14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</row>
    <row r="600" spans="1:26" ht="15.75" customHeight="1" x14ac:dyDescent="0.25">
      <c r="A600" s="149"/>
      <c r="B600" s="149"/>
      <c r="C600" s="149"/>
      <c r="D600" s="149"/>
      <c r="E600" s="14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</row>
    <row r="601" spans="1:26" ht="15.75" customHeight="1" x14ac:dyDescent="0.25">
      <c r="A601" s="149"/>
      <c r="B601" s="149"/>
      <c r="C601" s="149"/>
      <c r="D601" s="149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</row>
    <row r="602" spans="1:26" ht="15.75" customHeight="1" x14ac:dyDescent="0.25">
      <c r="A602" s="149"/>
      <c r="B602" s="149"/>
      <c r="C602" s="149"/>
      <c r="D602" s="149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</row>
    <row r="603" spans="1:26" ht="15.75" customHeight="1" x14ac:dyDescent="0.25">
      <c r="A603" s="149"/>
      <c r="B603" s="149"/>
      <c r="C603" s="149"/>
      <c r="D603" s="149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</row>
    <row r="604" spans="1:26" ht="15.75" customHeight="1" x14ac:dyDescent="0.25">
      <c r="A604" s="149"/>
      <c r="B604" s="149"/>
      <c r="C604" s="149"/>
      <c r="D604" s="149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</row>
    <row r="605" spans="1:26" ht="15.75" customHeight="1" x14ac:dyDescent="0.25">
      <c r="A605" s="149"/>
      <c r="B605" s="149"/>
      <c r="C605" s="149"/>
      <c r="D605" s="149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</row>
    <row r="606" spans="1:26" ht="15.75" customHeight="1" x14ac:dyDescent="0.25">
      <c r="A606" s="149"/>
      <c r="B606" s="149"/>
      <c r="C606" s="149"/>
      <c r="D606" s="149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</row>
    <row r="607" spans="1:26" ht="15.75" customHeight="1" x14ac:dyDescent="0.25">
      <c r="A607" s="149"/>
      <c r="B607" s="149"/>
      <c r="C607" s="149"/>
      <c r="D607" s="149"/>
      <c r="E607" s="14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</row>
    <row r="608" spans="1:26" ht="15.75" customHeight="1" x14ac:dyDescent="0.25">
      <c r="A608" s="149"/>
      <c r="B608" s="149"/>
      <c r="C608" s="149"/>
      <c r="D608" s="149"/>
      <c r="E608" s="14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</row>
    <row r="609" spans="1:26" ht="15.75" customHeight="1" x14ac:dyDescent="0.25">
      <c r="A609" s="149"/>
      <c r="B609" s="149"/>
      <c r="C609" s="149"/>
      <c r="D609" s="149"/>
      <c r="E609" s="14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</row>
    <row r="610" spans="1:26" ht="15.75" customHeight="1" x14ac:dyDescent="0.25">
      <c r="A610" s="149"/>
      <c r="B610" s="149"/>
      <c r="C610" s="149"/>
      <c r="D610" s="149"/>
      <c r="E610" s="14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</row>
    <row r="611" spans="1:26" ht="15.75" customHeight="1" x14ac:dyDescent="0.25">
      <c r="A611" s="149"/>
      <c r="B611" s="149"/>
      <c r="C611" s="149"/>
      <c r="D611" s="149"/>
      <c r="E611" s="14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</row>
    <row r="612" spans="1:26" ht="15.75" customHeight="1" x14ac:dyDescent="0.25">
      <c r="A612" s="149"/>
      <c r="B612" s="149"/>
      <c r="C612" s="149"/>
      <c r="D612" s="149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</row>
    <row r="613" spans="1:26" ht="15.75" customHeight="1" x14ac:dyDescent="0.25">
      <c r="A613" s="149"/>
      <c r="B613" s="149"/>
      <c r="C613" s="149"/>
      <c r="D613" s="149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</row>
    <row r="614" spans="1:26" ht="15.75" customHeight="1" x14ac:dyDescent="0.25">
      <c r="A614" s="149"/>
      <c r="B614" s="149"/>
      <c r="C614" s="149"/>
      <c r="D614" s="149"/>
      <c r="E614" s="14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</row>
    <row r="615" spans="1:26" ht="15.75" customHeight="1" x14ac:dyDescent="0.25">
      <c r="A615" s="149"/>
      <c r="B615" s="149"/>
      <c r="C615" s="149"/>
      <c r="D615" s="149"/>
      <c r="E615" s="14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</row>
    <row r="616" spans="1:26" ht="15.75" customHeight="1" x14ac:dyDescent="0.25">
      <c r="A616" s="149"/>
      <c r="B616" s="149"/>
      <c r="C616" s="149"/>
      <c r="D616" s="149"/>
      <c r="E616" s="14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</row>
    <row r="617" spans="1:26" ht="15.75" customHeight="1" x14ac:dyDescent="0.25">
      <c r="A617" s="149"/>
      <c r="B617" s="149"/>
      <c r="C617" s="149"/>
      <c r="D617" s="149"/>
      <c r="E617" s="14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</row>
    <row r="618" spans="1:26" ht="15.75" customHeight="1" x14ac:dyDescent="0.25">
      <c r="A618" s="149"/>
      <c r="B618" s="149"/>
      <c r="C618" s="149"/>
      <c r="D618" s="149"/>
      <c r="E618" s="14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</row>
    <row r="619" spans="1:26" ht="15.75" customHeight="1" x14ac:dyDescent="0.25">
      <c r="A619" s="149"/>
      <c r="B619" s="149"/>
      <c r="C619" s="149"/>
      <c r="D619" s="149"/>
      <c r="E619" s="14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</row>
    <row r="620" spans="1:26" ht="15.75" customHeight="1" x14ac:dyDescent="0.25">
      <c r="A620" s="149"/>
      <c r="B620" s="149"/>
      <c r="C620" s="149"/>
      <c r="D620" s="149"/>
      <c r="E620" s="14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</row>
    <row r="621" spans="1:26" ht="15.75" customHeight="1" x14ac:dyDescent="0.25">
      <c r="A621" s="149"/>
      <c r="B621" s="149"/>
      <c r="C621" s="149"/>
      <c r="D621" s="149"/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</row>
    <row r="622" spans="1:26" ht="15.75" customHeight="1" x14ac:dyDescent="0.25">
      <c r="A622" s="149"/>
      <c r="B622" s="149"/>
      <c r="C622" s="149"/>
      <c r="D622" s="149"/>
      <c r="E622" s="14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</row>
    <row r="623" spans="1:26" ht="15.75" customHeight="1" x14ac:dyDescent="0.25">
      <c r="A623" s="149"/>
      <c r="B623" s="149"/>
      <c r="C623" s="149"/>
      <c r="D623" s="149"/>
      <c r="E623" s="14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</row>
    <row r="624" spans="1:26" ht="15.75" customHeight="1" x14ac:dyDescent="0.25">
      <c r="A624" s="149"/>
      <c r="B624" s="149"/>
      <c r="C624" s="149"/>
      <c r="D624" s="149"/>
      <c r="E624" s="14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</row>
    <row r="625" spans="1:26" ht="15.75" customHeight="1" x14ac:dyDescent="0.25">
      <c r="A625" s="149"/>
      <c r="B625" s="149"/>
      <c r="C625" s="149"/>
      <c r="D625" s="149"/>
      <c r="E625" s="14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</row>
    <row r="626" spans="1:26" ht="15.75" customHeight="1" x14ac:dyDescent="0.25">
      <c r="A626" s="149"/>
      <c r="B626" s="149"/>
      <c r="C626" s="149"/>
      <c r="D626" s="149"/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</row>
    <row r="627" spans="1:26" ht="15.75" customHeight="1" x14ac:dyDescent="0.25">
      <c r="A627" s="149"/>
      <c r="B627" s="149"/>
      <c r="C627" s="149"/>
      <c r="D627" s="149"/>
      <c r="E627" s="14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</row>
    <row r="628" spans="1:26" ht="15.75" customHeight="1" x14ac:dyDescent="0.25">
      <c r="A628" s="149"/>
      <c r="B628" s="149"/>
      <c r="C628" s="149"/>
      <c r="D628" s="149"/>
      <c r="E628" s="14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</row>
    <row r="629" spans="1:26" ht="15.75" customHeight="1" x14ac:dyDescent="0.25">
      <c r="A629" s="149"/>
      <c r="B629" s="149"/>
      <c r="C629" s="149"/>
      <c r="D629" s="149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</row>
    <row r="630" spans="1:26" ht="15.75" customHeight="1" x14ac:dyDescent="0.25">
      <c r="A630" s="149"/>
      <c r="B630" s="149"/>
      <c r="C630" s="149"/>
      <c r="D630" s="149"/>
      <c r="E630" s="14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</row>
    <row r="631" spans="1:26" ht="15.75" customHeight="1" x14ac:dyDescent="0.25">
      <c r="A631" s="149"/>
      <c r="B631" s="149"/>
      <c r="C631" s="149"/>
      <c r="D631" s="149"/>
      <c r="E631" s="14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</row>
    <row r="632" spans="1:26" ht="15.75" customHeight="1" x14ac:dyDescent="0.25">
      <c r="A632" s="149"/>
      <c r="B632" s="149"/>
      <c r="C632" s="149"/>
      <c r="D632" s="149"/>
      <c r="E632" s="14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</row>
    <row r="633" spans="1:26" ht="15.75" customHeight="1" x14ac:dyDescent="0.25">
      <c r="A633" s="149"/>
      <c r="B633" s="149"/>
      <c r="C633" s="149"/>
      <c r="D633" s="149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</row>
    <row r="634" spans="1:26" ht="15.75" customHeight="1" x14ac:dyDescent="0.25">
      <c r="A634" s="149"/>
      <c r="B634" s="149"/>
      <c r="C634" s="149"/>
      <c r="D634" s="149"/>
      <c r="E634" s="14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</row>
    <row r="635" spans="1:26" ht="15.75" customHeight="1" x14ac:dyDescent="0.25">
      <c r="A635" s="149"/>
      <c r="B635" s="149"/>
      <c r="C635" s="149"/>
      <c r="D635" s="149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</row>
    <row r="636" spans="1:26" ht="15.75" customHeight="1" x14ac:dyDescent="0.25">
      <c r="A636" s="149"/>
      <c r="B636" s="149"/>
      <c r="C636" s="149"/>
      <c r="D636" s="149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</row>
    <row r="637" spans="1:26" ht="15.75" customHeight="1" x14ac:dyDescent="0.25">
      <c r="A637" s="149"/>
      <c r="B637" s="149"/>
      <c r="C637" s="149"/>
      <c r="D637" s="149"/>
      <c r="E637" s="14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</row>
    <row r="638" spans="1:26" ht="15.75" customHeight="1" x14ac:dyDescent="0.25">
      <c r="A638" s="149"/>
      <c r="B638" s="149"/>
      <c r="C638" s="149"/>
      <c r="D638" s="149"/>
      <c r="E638" s="14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</row>
    <row r="639" spans="1:26" ht="15.75" customHeight="1" x14ac:dyDescent="0.25">
      <c r="A639" s="149"/>
      <c r="B639" s="149"/>
      <c r="C639" s="149"/>
      <c r="D639" s="149"/>
      <c r="E639" s="14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</row>
    <row r="640" spans="1:26" ht="15.75" customHeight="1" x14ac:dyDescent="0.25">
      <c r="A640" s="149"/>
      <c r="B640" s="149"/>
      <c r="C640" s="149"/>
      <c r="D640" s="149"/>
      <c r="E640" s="14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</row>
    <row r="641" spans="1:26" ht="15.75" customHeight="1" x14ac:dyDescent="0.25">
      <c r="A641" s="149"/>
      <c r="B641" s="149"/>
      <c r="C641" s="149"/>
      <c r="D641" s="149"/>
      <c r="E641" s="14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</row>
    <row r="642" spans="1:26" ht="15.75" customHeight="1" x14ac:dyDescent="0.25">
      <c r="A642" s="149"/>
      <c r="B642" s="149"/>
      <c r="C642" s="149"/>
      <c r="D642" s="149"/>
      <c r="E642" s="14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</row>
    <row r="643" spans="1:26" ht="15.75" customHeight="1" x14ac:dyDescent="0.25">
      <c r="A643" s="149"/>
      <c r="B643" s="149"/>
      <c r="C643" s="149"/>
      <c r="D643" s="149"/>
      <c r="E643" s="14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</row>
    <row r="644" spans="1:26" ht="15.75" customHeight="1" x14ac:dyDescent="0.25">
      <c r="A644" s="149"/>
      <c r="B644" s="149"/>
      <c r="C644" s="149"/>
      <c r="D644" s="149"/>
      <c r="E644" s="14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</row>
    <row r="645" spans="1:26" ht="15.75" customHeight="1" x14ac:dyDescent="0.25">
      <c r="A645" s="149"/>
      <c r="B645" s="149"/>
      <c r="C645" s="149"/>
      <c r="D645" s="149"/>
      <c r="E645" s="14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</row>
    <row r="646" spans="1:26" ht="15.75" customHeight="1" x14ac:dyDescent="0.25">
      <c r="A646" s="149"/>
      <c r="B646" s="149"/>
      <c r="C646" s="149"/>
      <c r="D646" s="149"/>
      <c r="E646" s="14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</row>
    <row r="647" spans="1:26" ht="15.75" customHeight="1" x14ac:dyDescent="0.25">
      <c r="A647" s="149"/>
      <c r="B647" s="149"/>
      <c r="C647" s="149"/>
      <c r="D647" s="149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</row>
    <row r="648" spans="1:26" ht="15.75" customHeight="1" x14ac:dyDescent="0.25">
      <c r="A648" s="149"/>
      <c r="B648" s="149"/>
      <c r="C648" s="149"/>
      <c r="D648" s="149"/>
      <c r="E648" s="14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</row>
    <row r="649" spans="1:26" ht="15.75" customHeight="1" x14ac:dyDescent="0.25">
      <c r="A649" s="149"/>
      <c r="B649" s="149"/>
      <c r="C649" s="149"/>
      <c r="D649" s="149"/>
      <c r="E649" s="14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</row>
    <row r="650" spans="1:26" ht="15.75" customHeight="1" x14ac:dyDescent="0.25">
      <c r="A650" s="149"/>
      <c r="B650" s="149"/>
      <c r="C650" s="149"/>
      <c r="D650" s="149"/>
      <c r="E650" s="14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</row>
    <row r="651" spans="1:26" ht="15.75" customHeight="1" x14ac:dyDescent="0.25">
      <c r="A651" s="149"/>
      <c r="B651" s="149"/>
      <c r="C651" s="149"/>
      <c r="D651" s="149"/>
      <c r="E651" s="14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</row>
    <row r="652" spans="1:26" ht="15.75" customHeight="1" x14ac:dyDescent="0.25">
      <c r="A652" s="149"/>
      <c r="B652" s="149"/>
      <c r="C652" s="149"/>
      <c r="D652" s="149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</row>
    <row r="653" spans="1:26" ht="15.75" customHeight="1" x14ac:dyDescent="0.25">
      <c r="A653" s="149"/>
      <c r="B653" s="149"/>
      <c r="C653" s="149"/>
      <c r="D653" s="149"/>
      <c r="E653" s="14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</row>
    <row r="654" spans="1:26" ht="15.75" customHeight="1" x14ac:dyDescent="0.25">
      <c r="A654" s="149"/>
      <c r="B654" s="149"/>
      <c r="C654" s="149"/>
      <c r="D654" s="149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</row>
    <row r="655" spans="1:26" ht="15.75" customHeight="1" x14ac:dyDescent="0.25">
      <c r="A655" s="149"/>
      <c r="B655" s="149"/>
      <c r="C655" s="149"/>
      <c r="D655" s="149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</row>
    <row r="656" spans="1:26" ht="15.75" customHeight="1" x14ac:dyDescent="0.25">
      <c r="A656" s="149"/>
      <c r="B656" s="149"/>
      <c r="C656" s="149"/>
      <c r="D656" s="149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</row>
    <row r="657" spans="1:26" ht="15.75" customHeight="1" x14ac:dyDescent="0.25">
      <c r="A657" s="149"/>
      <c r="B657" s="149"/>
      <c r="C657" s="149"/>
      <c r="D657" s="149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</row>
    <row r="658" spans="1:26" ht="15.75" customHeight="1" x14ac:dyDescent="0.25">
      <c r="A658" s="149"/>
      <c r="B658" s="149"/>
      <c r="C658" s="149"/>
      <c r="D658" s="149"/>
      <c r="E658" s="14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</row>
    <row r="659" spans="1:26" ht="15.75" customHeight="1" x14ac:dyDescent="0.25">
      <c r="A659" s="149"/>
      <c r="B659" s="149"/>
      <c r="C659" s="149"/>
      <c r="D659" s="149"/>
      <c r="E659" s="14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</row>
    <row r="660" spans="1:26" ht="15.75" customHeight="1" x14ac:dyDescent="0.25">
      <c r="A660" s="149"/>
      <c r="B660" s="149"/>
      <c r="C660" s="149"/>
      <c r="D660" s="149"/>
      <c r="E660" s="14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</row>
    <row r="661" spans="1:26" ht="15.75" customHeight="1" x14ac:dyDescent="0.25">
      <c r="A661" s="149"/>
      <c r="B661" s="149"/>
      <c r="C661" s="149"/>
      <c r="D661" s="149"/>
      <c r="E661" s="14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</row>
    <row r="662" spans="1:26" ht="15.75" customHeight="1" x14ac:dyDescent="0.25">
      <c r="A662" s="149"/>
      <c r="B662" s="149"/>
      <c r="C662" s="149"/>
      <c r="D662" s="149"/>
      <c r="E662" s="14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</row>
    <row r="663" spans="1:26" ht="15.75" customHeight="1" x14ac:dyDescent="0.25">
      <c r="A663" s="149"/>
      <c r="B663" s="149"/>
      <c r="C663" s="149"/>
      <c r="D663" s="149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</row>
    <row r="664" spans="1:26" ht="15.75" customHeight="1" x14ac:dyDescent="0.25">
      <c r="A664" s="149"/>
      <c r="B664" s="149"/>
      <c r="C664" s="149"/>
      <c r="D664" s="149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</row>
    <row r="665" spans="1:26" ht="15.75" customHeight="1" x14ac:dyDescent="0.25">
      <c r="A665" s="149"/>
      <c r="B665" s="149"/>
      <c r="C665" s="149"/>
      <c r="D665" s="149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</row>
    <row r="666" spans="1:26" ht="15.75" customHeight="1" x14ac:dyDescent="0.25">
      <c r="A666" s="149"/>
      <c r="B666" s="149"/>
      <c r="C666" s="149"/>
      <c r="D666" s="149"/>
      <c r="E666" s="14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</row>
    <row r="667" spans="1:26" ht="15.75" customHeight="1" x14ac:dyDescent="0.25">
      <c r="A667" s="149"/>
      <c r="B667" s="149"/>
      <c r="C667" s="149"/>
      <c r="D667" s="149"/>
      <c r="E667" s="14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</row>
    <row r="668" spans="1:26" ht="15.75" customHeight="1" x14ac:dyDescent="0.25">
      <c r="A668" s="149"/>
      <c r="B668" s="149"/>
      <c r="C668" s="149"/>
      <c r="D668" s="149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</row>
    <row r="669" spans="1:26" ht="15.75" customHeight="1" x14ac:dyDescent="0.25">
      <c r="A669" s="149"/>
      <c r="B669" s="149"/>
      <c r="C669" s="149"/>
      <c r="D669" s="149"/>
      <c r="E669" s="14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</row>
    <row r="670" spans="1:26" ht="15.75" customHeight="1" x14ac:dyDescent="0.25">
      <c r="A670" s="149"/>
      <c r="B670" s="149"/>
      <c r="C670" s="149"/>
      <c r="D670" s="149"/>
      <c r="E670" s="14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</row>
    <row r="671" spans="1:26" ht="15.75" customHeight="1" x14ac:dyDescent="0.25">
      <c r="A671" s="149"/>
      <c r="B671" s="149"/>
      <c r="C671" s="149"/>
      <c r="D671" s="149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</row>
    <row r="672" spans="1:26" ht="15.75" customHeight="1" x14ac:dyDescent="0.25">
      <c r="A672" s="149"/>
      <c r="B672" s="149"/>
      <c r="C672" s="149"/>
      <c r="D672" s="149"/>
      <c r="E672" s="14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</row>
    <row r="673" spans="1:26" ht="15.75" customHeight="1" x14ac:dyDescent="0.25">
      <c r="A673" s="149"/>
      <c r="B673" s="149"/>
      <c r="C673" s="149"/>
      <c r="D673" s="149"/>
      <c r="E673" s="14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</row>
    <row r="674" spans="1:26" ht="15.75" customHeight="1" x14ac:dyDescent="0.25">
      <c r="A674" s="149"/>
      <c r="B674" s="149"/>
      <c r="C674" s="149"/>
      <c r="D674" s="149"/>
      <c r="E674" s="14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</row>
    <row r="675" spans="1:26" ht="15.75" customHeight="1" x14ac:dyDescent="0.25">
      <c r="A675" s="149"/>
      <c r="B675" s="149"/>
      <c r="C675" s="149"/>
      <c r="D675" s="149"/>
      <c r="E675" s="14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</row>
    <row r="676" spans="1:26" ht="15.75" customHeight="1" x14ac:dyDescent="0.25">
      <c r="A676" s="149"/>
      <c r="B676" s="149"/>
      <c r="C676" s="149"/>
      <c r="D676" s="149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</row>
    <row r="677" spans="1:26" ht="15.75" customHeight="1" x14ac:dyDescent="0.25">
      <c r="A677" s="149"/>
      <c r="B677" s="149"/>
      <c r="C677" s="149"/>
      <c r="D677" s="149"/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</row>
    <row r="678" spans="1:26" ht="15.75" customHeight="1" x14ac:dyDescent="0.25">
      <c r="A678" s="149"/>
      <c r="B678" s="149"/>
      <c r="C678" s="149"/>
      <c r="D678" s="149"/>
      <c r="E678" s="14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</row>
    <row r="679" spans="1:26" ht="15.75" customHeight="1" x14ac:dyDescent="0.25">
      <c r="A679" s="149"/>
      <c r="B679" s="149"/>
      <c r="C679" s="149"/>
      <c r="D679" s="149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</row>
    <row r="680" spans="1:26" ht="15.75" customHeight="1" x14ac:dyDescent="0.25">
      <c r="A680" s="149"/>
      <c r="B680" s="149"/>
      <c r="C680" s="149"/>
      <c r="D680" s="149"/>
      <c r="E680" s="14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</row>
    <row r="681" spans="1:26" ht="15.75" customHeight="1" x14ac:dyDescent="0.25">
      <c r="A681" s="149"/>
      <c r="B681" s="149"/>
      <c r="C681" s="149"/>
      <c r="D681" s="149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</row>
    <row r="682" spans="1:26" ht="15.75" customHeight="1" x14ac:dyDescent="0.25">
      <c r="A682" s="149"/>
      <c r="B682" s="149"/>
      <c r="C682" s="149"/>
      <c r="D682" s="149"/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</row>
    <row r="683" spans="1:26" ht="15.75" customHeight="1" x14ac:dyDescent="0.25">
      <c r="A683" s="149"/>
      <c r="B683" s="149"/>
      <c r="C683" s="149"/>
      <c r="D683" s="149"/>
      <c r="E683" s="14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</row>
    <row r="684" spans="1:26" ht="15.75" customHeight="1" x14ac:dyDescent="0.25">
      <c r="A684" s="149"/>
      <c r="B684" s="149"/>
      <c r="C684" s="149"/>
      <c r="D684" s="149"/>
      <c r="E684" s="14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</row>
    <row r="685" spans="1:26" ht="15.75" customHeight="1" x14ac:dyDescent="0.25">
      <c r="A685" s="149"/>
      <c r="B685" s="149"/>
      <c r="C685" s="149"/>
      <c r="D685" s="149"/>
      <c r="E685" s="14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</row>
    <row r="686" spans="1:26" ht="15.75" customHeight="1" x14ac:dyDescent="0.25">
      <c r="A686" s="149"/>
      <c r="B686" s="149"/>
      <c r="C686" s="149"/>
      <c r="D686" s="149"/>
      <c r="E686" s="14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</row>
    <row r="687" spans="1:26" ht="15.75" customHeight="1" x14ac:dyDescent="0.25">
      <c r="A687" s="149"/>
      <c r="B687" s="149"/>
      <c r="C687" s="149"/>
      <c r="D687" s="149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</row>
    <row r="688" spans="1:26" ht="15.75" customHeight="1" x14ac:dyDescent="0.25">
      <c r="A688" s="149"/>
      <c r="B688" s="149"/>
      <c r="C688" s="149"/>
      <c r="D688" s="149"/>
      <c r="E688" s="14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</row>
    <row r="689" spans="1:26" ht="15.75" customHeight="1" x14ac:dyDescent="0.25">
      <c r="A689" s="149"/>
      <c r="B689" s="149"/>
      <c r="C689" s="149"/>
      <c r="D689" s="149"/>
      <c r="E689" s="14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</row>
    <row r="690" spans="1:26" ht="15.75" customHeight="1" x14ac:dyDescent="0.25">
      <c r="A690" s="149"/>
      <c r="B690" s="149"/>
      <c r="C690" s="149"/>
      <c r="D690" s="149"/>
      <c r="E690" s="14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</row>
    <row r="691" spans="1:26" ht="15.75" customHeight="1" x14ac:dyDescent="0.25">
      <c r="A691" s="149"/>
      <c r="B691" s="149"/>
      <c r="C691" s="149"/>
      <c r="D691" s="149"/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</row>
    <row r="692" spans="1:26" ht="15.75" customHeight="1" x14ac:dyDescent="0.25">
      <c r="A692" s="149"/>
      <c r="B692" s="149"/>
      <c r="C692" s="149"/>
      <c r="D692" s="149"/>
      <c r="E692" s="14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</row>
    <row r="693" spans="1:26" ht="15.75" customHeight="1" x14ac:dyDescent="0.25">
      <c r="A693" s="149"/>
      <c r="B693" s="149"/>
      <c r="C693" s="149"/>
      <c r="D693" s="149"/>
      <c r="E693" s="14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</row>
    <row r="694" spans="1:26" ht="15.75" customHeight="1" x14ac:dyDescent="0.25">
      <c r="A694" s="149"/>
      <c r="B694" s="149"/>
      <c r="C694" s="149"/>
      <c r="D694" s="149"/>
      <c r="E694" s="14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</row>
    <row r="695" spans="1:26" ht="15.75" customHeight="1" x14ac:dyDescent="0.25">
      <c r="A695" s="149"/>
      <c r="B695" s="149"/>
      <c r="C695" s="149"/>
      <c r="D695" s="149"/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</row>
    <row r="696" spans="1:26" ht="15.75" customHeight="1" x14ac:dyDescent="0.25">
      <c r="A696" s="149"/>
      <c r="B696" s="149"/>
      <c r="C696" s="149"/>
      <c r="D696" s="149"/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</row>
    <row r="697" spans="1:26" ht="15.75" customHeight="1" x14ac:dyDescent="0.25">
      <c r="A697" s="149"/>
      <c r="B697" s="149"/>
      <c r="C697" s="149"/>
      <c r="D697" s="149"/>
      <c r="E697" s="14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</row>
    <row r="698" spans="1:26" ht="15.75" customHeight="1" x14ac:dyDescent="0.25">
      <c r="A698" s="149"/>
      <c r="B698" s="149"/>
      <c r="C698" s="149"/>
      <c r="D698" s="149"/>
      <c r="E698" s="14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</row>
    <row r="699" spans="1:26" ht="15.75" customHeight="1" x14ac:dyDescent="0.25">
      <c r="A699" s="149"/>
      <c r="B699" s="149"/>
      <c r="C699" s="149"/>
      <c r="D699" s="149"/>
      <c r="E699" s="14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</row>
    <row r="700" spans="1:26" ht="15.75" customHeight="1" x14ac:dyDescent="0.25">
      <c r="A700" s="149"/>
      <c r="B700" s="149"/>
      <c r="C700" s="149"/>
      <c r="D700" s="149"/>
      <c r="E700" s="14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</row>
    <row r="701" spans="1:26" ht="15.75" customHeight="1" x14ac:dyDescent="0.25">
      <c r="A701" s="149"/>
      <c r="B701" s="149"/>
      <c r="C701" s="149"/>
      <c r="D701" s="149"/>
      <c r="E701" s="14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</row>
    <row r="702" spans="1:26" ht="15.75" customHeight="1" x14ac:dyDescent="0.25">
      <c r="A702" s="149"/>
      <c r="B702" s="149"/>
      <c r="C702" s="149"/>
      <c r="D702" s="149"/>
      <c r="E702" s="14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</row>
    <row r="703" spans="1:26" ht="15.75" customHeight="1" x14ac:dyDescent="0.25">
      <c r="A703" s="149"/>
      <c r="B703" s="149"/>
      <c r="C703" s="149"/>
      <c r="D703" s="149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</row>
    <row r="704" spans="1:26" ht="15.75" customHeight="1" x14ac:dyDescent="0.25">
      <c r="A704" s="149"/>
      <c r="B704" s="149"/>
      <c r="C704" s="149"/>
      <c r="D704" s="149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</row>
    <row r="705" spans="1:26" ht="15.75" customHeight="1" x14ac:dyDescent="0.25">
      <c r="A705" s="149"/>
      <c r="B705" s="149"/>
      <c r="C705" s="149"/>
      <c r="D705" s="149"/>
      <c r="E705" s="14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</row>
    <row r="706" spans="1:26" ht="15.75" customHeight="1" x14ac:dyDescent="0.25">
      <c r="A706" s="149"/>
      <c r="B706" s="149"/>
      <c r="C706" s="149"/>
      <c r="D706" s="149"/>
      <c r="E706" s="14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</row>
    <row r="707" spans="1:26" ht="15.75" customHeight="1" x14ac:dyDescent="0.25">
      <c r="A707" s="149"/>
      <c r="B707" s="149"/>
      <c r="C707" s="149"/>
      <c r="D707" s="149"/>
      <c r="E707" s="14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</row>
    <row r="708" spans="1:26" ht="15.75" customHeight="1" x14ac:dyDescent="0.25">
      <c r="A708" s="149"/>
      <c r="B708" s="149"/>
      <c r="C708" s="149"/>
      <c r="D708" s="149"/>
      <c r="E708" s="14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</row>
    <row r="709" spans="1:26" ht="15.75" customHeight="1" x14ac:dyDescent="0.25">
      <c r="A709" s="149"/>
      <c r="B709" s="149"/>
      <c r="C709" s="149"/>
      <c r="D709" s="149"/>
      <c r="E709" s="14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</row>
    <row r="710" spans="1:26" ht="15.75" customHeight="1" x14ac:dyDescent="0.25">
      <c r="A710" s="149"/>
      <c r="B710" s="149"/>
      <c r="C710" s="149"/>
      <c r="D710" s="149"/>
      <c r="E710" s="14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</row>
    <row r="711" spans="1:26" ht="15.75" customHeight="1" x14ac:dyDescent="0.25">
      <c r="A711" s="149"/>
      <c r="B711" s="149"/>
      <c r="C711" s="149"/>
      <c r="D711" s="149"/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</row>
    <row r="712" spans="1:26" ht="15.75" customHeight="1" x14ac:dyDescent="0.25">
      <c r="A712" s="149"/>
      <c r="B712" s="149"/>
      <c r="C712" s="149"/>
      <c r="D712" s="149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</row>
    <row r="713" spans="1:26" ht="15.75" customHeight="1" x14ac:dyDescent="0.25">
      <c r="A713" s="149"/>
      <c r="B713" s="149"/>
      <c r="C713" s="149"/>
      <c r="D713" s="149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</row>
    <row r="714" spans="1:26" ht="15.75" customHeight="1" x14ac:dyDescent="0.25">
      <c r="A714" s="149"/>
      <c r="B714" s="149"/>
      <c r="C714" s="149"/>
      <c r="D714" s="149"/>
      <c r="E714" s="14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</row>
    <row r="715" spans="1:26" ht="15.75" customHeight="1" x14ac:dyDescent="0.25">
      <c r="A715" s="149"/>
      <c r="B715" s="149"/>
      <c r="C715" s="149"/>
      <c r="D715" s="149"/>
      <c r="E715" s="14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</row>
    <row r="716" spans="1:26" ht="15.75" customHeight="1" x14ac:dyDescent="0.25">
      <c r="A716" s="149"/>
      <c r="B716" s="149"/>
      <c r="C716" s="149"/>
      <c r="D716" s="149"/>
      <c r="E716" s="14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</row>
    <row r="717" spans="1:26" ht="15.75" customHeight="1" x14ac:dyDescent="0.25">
      <c r="A717" s="149"/>
      <c r="B717" s="149"/>
      <c r="C717" s="149"/>
      <c r="D717" s="149"/>
      <c r="E717" s="14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</row>
    <row r="718" spans="1:26" ht="15.75" customHeight="1" x14ac:dyDescent="0.25">
      <c r="A718" s="149"/>
      <c r="B718" s="149"/>
      <c r="C718" s="149"/>
      <c r="D718" s="149"/>
      <c r="E718" s="14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</row>
    <row r="719" spans="1:26" ht="15.75" customHeight="1" x14ac:dyDescent="0.25">
      <c r="A719" s="149"/>
      <c r="B719" s="149"/>
      <c r="C719" s="149"/>
      <c r="D719" s="149"/>
      <c r="E719" s="14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</row>
    <row r="720" spans="1:26" ht="15.75" customHeight="1" x14ac:dyDescent="0.25">
      <c r="A720" s="149"/>
      <c r="B720" s="149"/>
      <c r="C720" s="149"/>
      <c r="D720" s="149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</row>
    <row r="721" spans="1:26" ht="15.75" customHeight="1" x14ac:dyDescent="0.25">
      <c r="A721" s="149"/>
      <c r="B721" s="149"/>
      <c r="C721" s="149"/>
      <c r="D721" s="149"/>
      <c r="E721" s="14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</row>
    <row r="722" spans="1:26" ht="15.75" customHeight="1" x14ac:dyDescent="0.25">
      <c r="A722" s="149"/>
      <c r="B722" s="149"/>
      <c r="C722" s="149"/>
      <c r="D722" s="149"/>
      <c r="E722" s="14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</row>
    <row r="723" spans="1:26" ht="15.75" customHeight="1" x14ac:dyDescent="0.25">
      <c r="A723" s="149"/>
      <c r="B723" s="149"/>
      <c r="C723" s="149"/>
      <c r="D723" s="149"/>
      <c r="E723" s="14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</row>
    <row r="724" spans="1:26" ht="15.75" customHeight="1" x14ac:dyDescent="0.25">
      <c r="A724" s="149"/>
      <c r="B724" s="149"/>
      <c r="C724" s="149"/>
      <c r="D724" s="149"/>
      <c r="E724" s="14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</row>
    <row r="725" spans="1:26" ht="15.75" customHeight="1" x14ac:dyDescent="0.25">
      <c r="A725" s="149"/>
      <c r="B725" s="149"/>
      <c r="C725" s="149"/>
      <c r="D725" s="149"/>
      <c r="E725" s="14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</row>
    <row r="726" spans="1:26" ht="15.75" customHeight="1" x14ac:dyDescent="0.25">
      <c r="A726" s="149"/>
      <c r="B726" s="149"/>
      <c r="C726" s="149"/>
      <c r="D726" s="149"/>
      <c r="E726" s="14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</row>
    <row r="727" spans="1:26" ht="15.75" customHeight="1" x14ac:dyDescent="0.25">
      <c r="A727" s="149"/>
      <c r="B727" s="149"/>
      <c r="C727" s="149"/>
      <c r="D727" s="149"/>
      <c r="E727" s="14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</row>
    <row r="728" spans="1:26" ht="15.75" customHeight="1" x14ac:dyDescent="0.25">
      <c r="A728" s="149"/>
      <c r="B728" s="149"/>
      <c r="C728" s="149"/>
      <c r="D728" s="149"/>
      <c r="E728" s="14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</row>
    <row r="729" spans="1:26" ht="15.75" customHeight="1" x14ac:dyDescent="0.25">
      <c r="A729" s="149"/>
      <c r="B729" s="149"/>
      <c r="C729" s="149"/>
      <c r="D729" s="149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</row>
    <row r="730" spans="1:26" ht="15.75" customHeight="1" x14ac:dyDescent="0.25">
      <c r="A730" s="149"/>
      <c r="B730" s="149"/>
      <c r="C730" s="149"/>
      <c r="D730" s="149"/>
      <c r="E730" s="14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</row>
    <row r="731" spans="1:26" ht="15.75" customHeight="1" x14ac:dyDescent="0.25">
      <c r="A731" s="149"/>
      <c r="B731" s="149"/>
      <c r="C731" s="149"/>
      <c r="D731" s="149"/>
      <c r="E731" s="14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</row>
    <row r="732" spans="1:26" ht="15.75" customHeight="1" x14ac:dyDescent="0.25">
      <c r="A732" s="149"/>
      <c r="B732" s="149"/>
      <c r="C732" s="149"/>
      <c r="D732" s="149"/>
      <c r="E732" s="14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</row>
    <row r="733" spans="1:26" ht="15.75" customHeight="1" x14ac:dyDescent="0.25">
      <c r="A733" s="149"/>
      <c r="B733" s="149"/>
      <c r="C733" s="149"/>
      <c r="D733" s="149"/>
      <c r="E733" s="14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</row>
    <row r="734" spans="1:26" ht="15.75" customHeight="1" x14ac:dyDescent="0.25">
      <c r="A734" s="149"/>
      <c r="B734" s="149"/>
      <c r="C734" s="149"/>
      <c r="D734" s="149"/>
      <c r="E734" s="14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</row>
    <row r="735" spans="1:26" ht="15.75" customHeight="1" x14ac:dyDescent="0.25">
      <c r="A735" s="149"/>
      <c r="B735" s="149"/>
      <c r="C735" s="149"/>
      <c r="D735" s="149"/>
      <c r="E735" s="14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</row>
    <row r="736" spans="1:26" ht="15.75" customHeight="1" x14ac:dyDescent="0.25">
      <c r="A736" s="149"/>
      <c r="B736" s="149"/>
      <c r="C736" s="149"/>
      <c r="D736" s="149"/>
      <c r="E736" s="14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</row>
    <row r="737" spans="1:26" ht="15.75" customHeight="1" x14ac:dyDescent="0.25">
      <c r="A737" s="149"/>
      <c r="B737" s="149"/>
      <c r="C737" s="149"/>
      <c r="D737" s="149"/>
      <c r="E737" s="14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</row>
    <row r="738" spans="1:26" ht="15.75" customHeight="1" x14ac:dyDescent="0.25">
      <c r="A738" s="149"/>
      <c r="B738" s="149"/>
      <c r="C738" s="149"/>
      <c r="D738" s="149"/>
      <c r="E738" s="14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</row>
    <row r="739" spans="1:26" ht="15.75" customHeight="1" x14ac:dyDescent="0.25">
      <c r="A739" s="149"/>
      <c r="B739" s="149"/>
      <c r="C739" s="149"/>
      <c r="D739" s="149"/>
      <c r="E739" s="14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</row>
    <row r="740" spans="1:26" ht="15.75" customHeight="1" x14ac:dyDescent="0.25">
      <c r="A740" s="149"/>
      <c r="B740" s="149"/>
      <c r="C740" s="149"/>
      <c r="D740" s="149"/>
      <c r="E740" s="14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</row>
    <row r="741" spans="1:26" ht="15.75" customHeight="1" x14ac:dyDescent="0.25">
      <c r="A741" s="149"/>
      <c r="B741" s="149"/>
      <c r="C741" s="149"/>
      <c r="D741" s="149"/>
      <c r="E741" s="14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</row>
    <row r="742" spans="1:26" ht="15.75" customHeight="1" x14ac:dyDescent="0.25">
      <c r="A742" s="149"/>
      <c r="B742" s="149"/>
      <c r="C742" s="149"/>
      <c r="D742" s="149"/>
      <c r="E742" s="14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</row>
    <row r="743" spans="1:26" ht="15.75" customHeight="1" x14ac:dyDescent="0.25">
      <c r="A743" s="149"/>
      <c r="B743" s="149"/>
      <c r="C743" s="149"/>
      <c r="D743" s="149"/>
      <c r="E743" s="14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</row>
    <row r="744" spans="1:26" ht="15.75" customHeight="1" x14ac:dyDescent="0.25">
      <c r="A744" s="149"/>
      <c r="B744" s="149"/>
      <c r="C744" s="149"/>
      <c r="D744" s="149"/>
      <c r="E744" s="14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</row>
    <row r="745" spans="1:26" ht="15.75" customHeight="1" x14ac:dyDescent="0.25">
      <c r="A745" s="149"/>
      <c r="B745" s="149"/>
      <c r="C745" s="149"/>
      <c r="D745" s="149"/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</row>
    <row r="746" spans="1:26" ht="15.75" customHeight="1" x14ac:dyDescent="0.25">
      <c r="A746" s="149"/>
      <c r="B746" s="149"/>
      <c r="C746" s="149"/>
      <c r="D746" s="149"/>
      <c r="E746" s="14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</row>
    <row r="747" spans="1:26" ht="15.75" customHeight="1" x14ac:dyDescent="0.25">
      <c r="A747" s="149"/>
      <c r="B747" s="149"/>
      <c r="C747" s="149"/>
      <c r="D747" s="149"/>
      <c r="E747" s="14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</row>
    <row r="748" spans="1:26" ht="15.75" customHeight="1" x14ac:dyDescent="0.25">
      <c r="A748" s="149"/>
      <c r="B748" s="149"/>
      <c r="C748" s="149"/>
      <c r="D748" s="149"/>
      <c r="E748" s="14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</row>
    <row r="749" spans="1:26" ht="15.75" customHeight="1" x14ac:dyDescent="0.25">
      <c r="A749" s="149"/>
      <c r="B749" s="149"/>
      <c r="C749" s="149"/>
      <c r="D749" s="149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</row>
    <row r="750" spans="1:26" ht="15.75" customHeight="1" x14ac:dyDescent="0.25">
      <c r="A750" s="149"/>
      <c r="B750" s="149"/>
      <c r="C750" s="149"/>
      <c r="D750" s="149"/>
      <c r="E750" s="14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</row>
    <row r="751" spans="1:26" ht="15.75" customHeight="1" x14ac:dyDescent="0.25">
      <c r="A751" s="149"/>
      <c r="B751" s="149"/>
      <c r="C751" s="149"/>
      <c r="D751" s="149"/>
      <c r="E751" s="14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</row>
    <row r="752" spans="1:26" ht="15.75" customHeight="1" x14ac:dyDescent="0.25">
      <c r="A752" s="149"/>
      <c r="B752" s="149"/>
      <c r="C752" s="149"/>
      <c r="D752" s="149"/>
      <c r="E752" s="14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</row>
    <row r="753" spans="1:26" ht="15.75" customHeight="1" x14ac:dyDescent="0.25">
      <c r="A753" s="149"/>
      <c r="B753" s="149"/>
      <c r="C753" s="149"/>
      <c r="D753" s="149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</row>
    <row r="754" spans="1:26" ht="15.75" customHeight="1" x14ac:dyDescent="0.25">
      <c r="A754" s="149"/>
      <c r="B754" s="149"/>
      <c r="C754" s="149"/>
      <c r="D754" s="149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</row>
    <row r="755" spans="1:26" ht="15.75" customHeight="1" x14ac:dyDescent="0.25">
      <c r="A755" s="149"/>
      <c r="B755" s="149"/>
      <c r="C755" s="149"/>
      <c r="D755" s="149"/>
      <c r="E755" s="14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</row>
    <row r="756" spans="1:26" ht="15.75" customHeight="1" x14ac:dyDescent="0.25">
      <c r="A756" s="149"/>
      <c r="B756" s="149"/>
      <c r="C756" s="149"/>
      <c r="D756" s="149"/>
      <c r="E756" s="14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</row>
    <row r="757" spans="1:26" ht="15.75" customHeight="1" x14ac:dyDescent="0.25">
      <c r="A757" s="149"/>
      <c r="B757" s="149"/>
      <c r="C757" s="149"/>
      <c r="D757" s="149"/>
      <c r="E757" s="14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</row>
    <row r="758" spans="1:26" ht="15.75" customHeight="1" x14ac:dyDescent="0.25">
      <c r="A758" s="149"/>
      <c r="B758" s="149"/>
      <c r="C758" s="149"/>
      <c r="D758" s="149"/>
      <c r="E758" s="14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</row>
    <row r="759" spans="1:26" ht="15.75" customHeight="1" x14ac:dyDescent="0.25">
      <c r="A759" s="149"/>
      <c r="B759" s="149"/>
      <c r="C759" s="149"/>
      <c r="D759" s="149"/>
      <c r="E759" s="14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</row>
    <row r="760" spans="1:26" ht="15.75" customHeight="1" x14ac:dyDescent="0.25">
      <c r="A760" s="149"/>
      <c r="B760" s="149"/>
      <c r="C760" s="149"/>
      <c r="D760" s="149"/>
      <c r="E760" s="14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</row>
    <row r="761" spans="1:26" ht="15.75" customHeight="1" x14ac:dyDescent="0.25">
      <c r="A761" s="149"/>
      <c r="B761" s="149"/>
      <c r="C761" s="149"/>
      <c r="D761" s="149"/>
      <c r="E761" s="14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</row>
    <row r="762" spans="1:26" ht="15.75" customHeight="1" x14ac:dyDescent="0.25">
      <c r="A762" s="149"/>
      <c r="B762" s="149"/>
      <c r="C762" s="149"/>
      <c r="D762" s="149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</row>
    <row r="763" spans="1:26" ht="15.75" customHeight="1" x14ac:dyDescent="0.25">
      <c r="A763" s="149"/>
      <c r="B763" s="149"/>
      <c r="C763" s="149"/>
      <c r="D763" s="149"/>
      <c r="E763" s="14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</row>
    <row r="764" spans="1:26" ht="15.75" customHeight="1" x14ac:dyDescent="0.25">
      <c r="A764" s="149"/>
      <c r="B764" s="149"/>
      <c r="C764" s="149"/>
      <c r="D764" s="149"/>
      <c r="E764" s="14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</row>
    <row r="765" spans="1:26" ht="15.75" customHeight="1" x14ac:dyDescent="0.25">
      <c r="A765" s="149"/>
      <c r="B765" s="149"/>
      <c r="C765" s="149"/>
      <c r="D765" s="149"/>
      <c r="E765" s="14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</row>
    <row r="766" spans="1:26" ht="15.75" customHeight="1" x14ac:dyDescent="0.25">
      <c r="A766" s="149"/>
      <c r="B766" s="149"/>
      <c r="C766" s="149"/>
      <c r="D766" s="149"/>
      <c r="E766" s="14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</row>
    <row r="767" spans="1:26" ht="15.75" customHeight="1" x14ac:dyDescent="0.25">
      <c r="A767" s="149"/>
      <c r="B767" s="149"/>
      <c r="C767" s="149"/>
      <c r="D767" s="149"/>
      <c r="E767" s="14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</row>
    <row r="768" spans="1:26" ht="15.75" customHeight="1" x14ac:dyDescent="0.25">
      <c r="A768" s="149"/>
      <c r="B768" s="149"/>
      <c r="C768" s="149"/>
      <c r="D768" s="149"/>
      <c r="E768" s="14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</row>
    <row r="769" spans="1:26" ht="15.75" customHeight="1" x14ac:dyDescent="0.25">
      <c r="A769" s="149"/>
      <c r="B769" s="149"/>
      <c r="C769" s="149"/>
      <c r="D769" s="149"/>
      <c r="E769" s="14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</row>
    <row r="770" spans="1:26" ht="15.75" customHeight="1" x14ac:dyDescent="0.25">
      <c r="A770" s="149"/>
      <c r="B770" s="149"/>
      <c r="C770" s="149"/>
      <c r="D770" s="149"/>
      <c r="E770" s="14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</row>
    <row r="771" spans="1:26" ht="15.75" customHeight="1" x14ac:dyDescent="0.25">
      <c r="A771" s="149"/>
      <c r="B771" s="149"/>
      <c r="C771" s="149"/>
      <c r="D771" s="149"/>
      <c r="E771" s="14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</row>
    <row r="772" spans="1:26" ht="15.75" customHeight="1" x14ac:dyDescent="0.25">
      <c r="A772" s="149"/>
      <c r="B772" s="149"/>
      <c r="C772" s="149"/>
      <c r="D772" s="149"/>
      <c r="E772" s="14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</row>
    <row r="773" spans="1:26" ht="15.75" customHeight="1" x14ac:dyDescent="0.25">
      <c r="A773" s="149"/>
      <c r="B773" s="149"/>
      <c r="C773" s="149"/>
      <c r="D773" s="149"/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</row>
    <row r="774" spans="1:26" ht="15.75" customHeight="1" x14ac:dyDescent="0.25">
      <c r="A774" s="149"/>
      <c r="B774" s="149"/>
      <c r="C774" s="149"/>
      <c r="D774" s="149"/>
      <c r="E774" s="14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</row>
    <row r="775" spans="1:26" ht="15.75" customHeight="1" x14ac:dyDescent="0.25">
      <c r="A775" s="149"/>
      <c r="B775" s="149"/>
      <c r="C775" s="149"/>
      <c r="D775" s="149"/>
      <c r="E775" s="14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</row>
    <row r="776" spans="1:26" ht="15.75" customHeight="1" x14ac:dyDescent="0.25">
      <c r="A776" s="149"/>
      <c r="B776" s="149"/>
      <c r="C776" s="149"/>
      <c r="D776" s="149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</row>
    <row r="777" spans="1:26" ht="15.75" customHeight="1" x14ac:dyDescent="0.25">
      <c r="A777" s="149"/>
      <c r="B777" s="149"/>
      <c r="C777" s="149"/>
      <c r="D777" s="149"/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</row>
    <row r="778" spans="1:26" ht="15.75" customHeight="1" x14ac:dyDescent="0.25">
      <c r="A778" s="149"/>
      <c r="B778" s="149"/>
      <c r="C778" s="149"/>
      <c r="D778" s="149"/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</row>
    <row r="779" spans="1:26" ht="15.75" customHeight="1" x14ac:dyDescent="0.25">
      <c r="A779" s="149"/>
      <c r="B779" s="149"/>
      <c r="C779" s="149"/>
      <c r="D779" s="149"/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</row>
    <row r="780" spans="1:26" ht="15.75" customHeight="1" x14ac:dyDescent="0.25">
      <c r="A780" s="149"/>
      <c r="B780" s="149"/>
      <c r="C780" s="149"/>
      <c r="D780" s="149"/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</row>
    <row r="781" spans="1:26" ht="15.75" customHeight="1" x14ac:dyDescent="0.25">
      <c r="A781" s="149"/>
      <c r="B781" s="149"/>
      <c r="C781" s="149"/>
      <c r="D781" s="149"/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</row>
    <row r="782" spans="1:26" ht="15.75" customHeight="1" x14ac:dyDescent="0.25">
      <c r="A782" s="149"/>
      <c r="B782" s="149"/>
      <c r="C782" s="149"/>
      <c r="D782" s="149"/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</row>
    <row r="783" spans="1:26" ht="15.75" customHeight="1" x14ac:dyDescent="0.25">
      <c r="A783" s="149"/>
      <c r="B783" s="149"/>
      <c r="C783" s="149"/>
      <c r="D783" s="149"/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</row>
    <row r="784" spans="1:26" ht="15.75" customHeight="1" x14ac:dyDescent="0.25">
      <c r="A784" s="149"/>
      <c r="B784" s="149"/>
      <c r="C784" s="149"/>
      <c r="D784" s="149"/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</row>
    <row r="785" spans="1:26" ht="15.75" customHeight="1" x14ac:dyDescent="0.25">
      <c r="A785" s="149"/>
      <c r="B785" s="149"/>
      <c r="C785" s="149"/>
      <c r="D785" s="149"/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</row>
    <row r="786" spans="1:26" ht="15.75" customHeight="1" x14ac:dyDescent="0.25">
      <c r="A786" s="149"/>
      <c r="B786" s="149"/>
      <c r="C786" s="149"/>
      <c r="D786" s="149"/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</row>
    <row r="787" spans="1:26" ht="15.75" customHeight="1" x14ac:dyDescent="0.25">
      <c r="A787" s="149"/>
      <c r="B787" s="149"/>
      <c r="C787" s="149"/>
      <c r="D787" s="149"/>
      <c r="E787" s="14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</row>
    <row r="788" spans="1:26" ht="15.75" customHeight="1" x14ac:dyDescent="0.25">
      <c r="A788" s="149"/>
      <c r="B788" s="149"/>
      <c r="C788" s="149"/>
      <c r="D788" s="149"/>
      <c r="E788" s="14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</row>
    <row r="789" spans="1:26" ht="15.75" customHeight="1" x14ac:dyDescent="0.25">
      <c r="A789" s="149"/>
      <c r="B789" s="149"/>
      <c r="C789" s="149"/>
      <c r="D789" s="149"/>
      <c r="E789" s="14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</row>
    <row r="790" spans="1:26" ht="15.75" customHeight="1" x14ac:dyDescent="0.25">
      <c r="A790" s="149"/>
      <c r="B790" s="149"/>
      <c r="C790" s="149"/>
      <c r="D790" s="149"/>
      <c r="E790" s="14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</row>
    <row r="791" spans="1:26" ht="15.75" customHeight="1" x14ac:dyDescent="0.25">
      <c r="A791" s="149"/>
      <c r="B791" s="149"/>
      <c r="C791" s="149"/>
      <c r="D791" s="149"/>
      <c r="E791" s="14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</row>
    <row r="792" spans="1:26" ht="15.75" customHeight="1" x14ac:dyDescent="0.25">
      <c r="A792" s="149"/>
      <c r="B792" s="149"/>
      <c r="C792" s="149"/>
      <c r="D792" s="149"/>
      <c r="E792" s="14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</row>
    <row r="793" spans="1:26" ht="15.75" customHeight="1" x14ac:dyDescent="0.25">
      <c r="A793" s="149"/>
      <c r="B793" s="149"/>
      <c r="C793" s="149"/>
      <c r="D793" s="149"/>
      <c r="E793" s="14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</row>
    <row r="794" spans="1:26" ht="15.75" customHeight="1" x14ac:dyDescent="0.25">
      <c r="A794" s="149"/>
      <c r="B794" s="149"/>
      <c r="C794" s="149"/>
      <c r="D794" s="149"/>
      <c r="E794" s="14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</row>
    <row r="795" spans="1:26" ht="15.75" customHeight="1" x14ac:dyDescent="0.25">
      <c r="A795" s="149"/>
      <c r="B795" s="149"/>
      <c r="C795" s="149"/>
      <c r="D795" s="149"/>
      <c r="E795" s="14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</row>
    <row r="796" spans="1:26" ht="15.75" customHeight="1" x14ac:dyDescent="0.25">
      <c r="A796" s="149"/>
      <c r="B796" s="149"/>
      <c r="C796" s="149"/>
      <c r="D796" s="149"/>
      <c r="E796" s="14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</row>
    <row r="797" spans="1:26" ht="15.75" customHeight="1" x14ac:dyDescent="0.25">
      <c r="A797" s="149"/>
      <c r="B797" s="149"/>
      <c r="C797" s="149"/>
      <c r="D797" s="149"/>
      <c r="E797" s="14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</row>
    <row r="798" spans="1:26" ht="15.75" customHeight="1" x14ac:dyDescent="0.25">
      <c r="A798" s="149"/>
      <c r="B798" s="149"/>
      <c r="C798" s="149"/>
      <c r="D798" s="149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</row>
    <row r="799" spans="1:26" ht="15.75" customHeight="1" x14ac:dyDescent="0.25">
      <c r="A799" s="149"/>
      <c r="B799" s="149"/>
      <c r="C799" s="149"/>
      <c r="D799" s="149"/>
      <c r="E799" s="14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</row>
    <row r="800" spans="1:26" ht="15.75" customHeight="1" x14ac:dyDescent="0.25">
      <c r="A800" s="149"/>
      <c r="B800" s="149"/>
      <c r="C800" s="149"/>
      <c r="D800" s="149"/>
      <c r="E800" s="14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</row>
    <row r="801" spans="1:26" ht="15.75" customHeight="1" x14ac:dyDescent="0.25">
      <c r="A801" s="149"/>
      <c r="B801" s="149"/>
      <c r="C801" s="149"/>
      <c r="D801" s="149"/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</row>
    <row r="802" spans="1:26" ht="15.75" customHeight="1" x14ac:dyDescent="0.25">
      <c r="A802" s="149"/>
      <c r="B802" s="149"/>
      <c r="C802" s="149"/>
      <c r="D802" s="149"/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</row>
    <row r="803" spans="1:26" ht="15.75" customHeight="1" x14ac:dyDescent="0.25">
      <c r="A803" s="149"/>
      <c r="B803" s="149"/>
      <c r="C803" s="149"/>
      <c r="D803" s="149"/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</row>
    <row r="804" spans="1:26" ht="15.75" customHeight="1" x14ac:dyDescent="0.25">
      <c r="A804" s="149"/>
      <c r="B804" s="149"/>
      <c r="C804" s="149"/>
      <c r="D804" s="149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</row>
    <row r="805" spans="1:26" ht="15.75" customHeight="1" x14ac:dyDescent="0.25">
      <c r="A805" s="149"/>
      <c r="B805" s="149"/>
      <c r="C805" s="149"/>
      <c r="D805" s="149"/>
      <c r="E805" s="14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</row>
    <row r="806" spans="1:26" ht="15.75" customHeight="1" x14ac:dyDescent="0.25">
      <c r="A806" s="149"/>
      <c r="B806" s="149"/>
      <c r="C806" s="149"/>
      <c r="D806" s="149"/>
      <c r="E806" s="14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</row>
    <row r="807" spans="1:26" ht="15.75" customHeight="1" x14ac:dyDescent="0.25">
      <c r="A807" s="149"/>
      <c r="B807" s="149"/>
      <c r="C807" s="149"/>
      <c r="D807" s="149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</row>
    <row r="808" spans="1:26" ht="15.75" customHeight="1" x14ac:dyDescent="0.25">
      <c r="A808" s="149"/>
      <c r="B808" s="149"/>
      <c r="C808" s="149"/>
      <c r="D808" s="149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</row>
    <row r="809" spans="1:26" ht="15.75" customHeight="1" x14ac:dyDescent="0.25">
      <c r="A809" s="149"/>
      <c r="B809" s="149"/>
      <c r="C809" s="149"/>
      <c r="D809" s="149"/>
      <c r="E809" s="14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</row>
    <row r="810" spans="1:26" ht="15.75" customHeight="1" x14ac:dyDescent="0.25">
      <c r="A810" s="149"/>
      <c r="B810" s="149"/>
      <c r="C810" s="149"/>
      <c r="D810" s="149"/>
      <c r="E810" s="14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</row>
    <row r="811" spans="1:26" ht="15.75" customHeight="1" x14ac:dyDescent="0.25">
      <c r="A811" s="149"/>
      <c r="B811" s="149"/>
      <c r="C811" s="149"/>
      <c r="D811" s="149"/>
      <c r="E811" s="14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</row>
    <row r="812" spans="1:26" ht="15.75" customHeight="1" x14ac:dyDescent="0.25">
      <c r="A812" s="149"/>
      <c r="B812" s="149"/>
      <c r="C812" s="149"/>
      <c r="D812" s="149"/>
      <c r="E812" s="14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</row>
    <row r="813" spans="1:26" ht="15.75" customHeight="1" x14ac:dyDescent="0.25">
      <c r="A813" s="149"/>
      <c r="B813" s="149"/>
      <c r="C813" s="149"/>
      <c r="D813" s="149"/>
      <c r="E813" s="14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</row>
    <row r="814" spans="1:26" ht="15.75" customHeight="1" x14ac:dyDescent="0.25">
      <c r="A814" s="149"/>
      <c r="B814" s="149"/>
      <c r="C814" s="149"/>
      <c r="D814" s="149"/>
      <c r="E814" s="14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</row>
    <row r="815" spans="1:26" ht="15.75" customHeight="1" x14ac:dyDescent="0.25">
      <c r="A815" s="149"/>
      <c r="B815" s="149"/>
      <c r="C815" s="149"/>
      <c r="D815" s="149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</row>
    <row r="816" spans="1:26" ht="15.75" customHeight="1" x14ac:dyDescent="0.25">
      <c r="A816" s="149"/>
      <c r="B816" s="149"/>
      <c r="C816" s="149"/>
      <c r="D816" s="149"/>
      <c r="E816" s="14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</row>
    <row r="817" spans="1:26" ht="15.75" customHeight="1" x14ac:dyDescent="0.25">
      <c r="A817" s="149"/>
      <c r="B817" s="149"/>
      <c r="C817" s="149"/>
      <c r="D817" s="149"/>
      <c r="E817" s="14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</row>
    <row r="818" spans="1:26" ht="15.75" customHeight="1" x14ac:dyDescent="0.25">
      <c r="A818" s="149"/>
      <c r="B818" s="149"/>
      <c r="C818" s="149"/>
      <c r="D818" s="149"/>
      <c r="E818" s="14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</row>
    <row r="819" spans="1:26" ht="15.75" customHeight="1" x14ac:dyDescent="0.25">
      <c r="A819" s="149"/>
      <c r="B819" s="149"/>
      <c r="C819" s="149"/>
      <c r="D819" s="149"/>
      <c r="E819" s="14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</row>
    <row r="820" spans="1:26" ht="15.75" customHeight="1" x14ac:dyDescent="0.25">
      <c r="A820" s="149"/>
      <c r="B820" s="149"/>
      <c r="C820" s="149"/>
      <c r="D820" s="149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</row>
    <row r="821" spans="1:26" ht="15.75" customHeight="1" x14ac:dyDescent="0.25">
      <c r="A821" s="149"/>
      <c r="B821" s="149"/>
      <c r="C821" s="149"/>
      <c r="D821" s="149"/>
      <c r="E821" s="14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</row>
    <row r="822" spans="1:26" ht="15.75" customHeight="1" x14ac:dyDescent="0.25">
      <c r="A822" s="149"/>
      <c r="B822" s="149"/>
      <c r="C822" s="149"/>
      <c r="D822" s="149"/>
      <c r="E822" s="14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</row>
    <row r="823" spans="1:26" ht="15.75" customHeight="1" x14ac:dyDescent="0.25">
      <c r="A823" s="149"/>
      <c r="B823" s="149"/>
      <c r="C823" s="149"/>
      <c r="D823" s="149"/>
      <c r="E823" s="14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</row>
    <row r="824" spans="1:26" ht="15.75" customHeight="1" x14ac:dyDescent="0.25">
      <c r="A824" s="149"/>
      <c r="B824" s="149"/>
      <c r="C824" s="149"/>
      <c r="D824" s="149"/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</row>
    <row r="825" spans="1:26" ht="15.75" customHeight="1" x14ac:dyDescent="0.25">
      <c r="A825" s="149"/>
      <c r="B825" s="149"/>
      <c r="C825" s="149"/>
      <c r="D825" s="149"/>
      <c r="E825" s="14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</row>
    <row r="826" spans="1:26" ht="15.75" customHeight="1" x14ac:dyDescent="0.25">
      <c r="A826" s="149"/>
      <c r="B826" s="149"/>
      <c r="C826" s="149"/>
      <c r="D826" s="149"/>
      <c r="E826" s="14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</row>
    <row r="827" spans="1:26" ht="15.75" customHeight="1" x14ac:dyDescent="0.25">
      <c r="A827" s="149"/>
      <c r="B827" s="149"/>
      <c r="C827" s="149"/>
      <c r="D827" s="149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</row>
    <row r="828" spans="1:26" ht="15.75" customHeight="1" x14ac:dyDescent="0.25">
      <c r="A828" s="149"/>
      <c r="B828" s="149"/>
      <c r="C828" s="149"/>
      <c r="D828" s="149"/>
      <c r="E828" s="14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</row>
    <row r="829" spans="1:26" ht="15.75" customHeight="1" x14ac:dyDescent="0.25">
      <c r="A829" s="149"/>
      <c r="B829" s="149"/>
      <c r="C829" s="149"/>
      <c r="D829" s="149"/>
      <c r="E829" s="14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</row>
    <row r="830" spans="1:26" ht="15.75" customHeight="1" x14ac:dyDescent="0.25">
      <c r="A830" s="149"/>
      <c r="B830" s="149"/>
      <c r="C830" s="149"/>
      <c r="D830" s="149"/>
      <c r="E830" s="14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</row>
    <row r="831" spans="1:26" ht="15.75" customHeight="1" x14ac:dyDescent="0.25">
      <c r="A831" s="149"/>
      <c r="B831" s="149"/>
      <c r="C831" s="149"/>
      <c r="D831" s="149"/>
      <c r="E831" s="14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</row>
    <row r="832" spans="1:26" ht="15.75" customHeight="1" x14ac:dyDescent="0.25">
      <c r="A832" s="149"/>
      <c r="B832" s="149"/>
      <c r="C832" s="149"/>
      <c r="D832" s="149"/>
      <c r="E832" s="14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</row>
    <row r="833" spans="1:26" ht="15.75" customHeight="1" x14ac:dyDescent="0.25">
      <c r="A833" s="149"/>
      <c r="B833" s="149"/>
      <c r="C833" s="149"/>
      <c r="D833" s="149"/>
      <c r="E833" s="14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</row>
    <row r="834" spans="1:26" ht="15.75" customHeight="1" x14ac:dyDescent="0.25">
      <c r="A834" s="149"/>
      <c r="B834" s="149"/>
      <c r="C834" s="149"/>
      <c r="D834" s="149"/>
      <c r="E834" s="14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</row>
    <row r="835" spans="1:26" ht="15.75" customHeight="1" x14ac:dyDescent="0.25">
      <c r="A835" s="149"/>
      <c r="B835" s="149"/>
      <c r="C835" s="149"/>
      <c r="D835" s="149"/>
      <c r="E835" s="14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</row>
    <row r="836" spans="1:26" ht="15.75" customHeight="1" x14ac:dyDescent="0.25">
      <c r="A836" s="149"/>
      <c r="B836" s="149"/>
      <c r="C836" s="149"/>
      <c r="D836" s="149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</row>
    <row r="837" spans="1:26" ht="15.75" customHeight="1" x14ac:dyDescent="0.25">
      <c r="A837" s="149"/>
      <c r="B837" s="149"/>
      <c r="C837" s="149"/>
      <c r="D837" s="149"/>
      <c r="E837" s="14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</row>
    <row r="838" spans="1:26" ht="15.75" customHeight="1" x14ac:dyDescent="0.25">
      <c r="A838" s="149"/>
      <c r="B838" s="149"/>
      <c r="C838" s="149"/>
      <c r="D838" s="149"/>
      <c r="E838" s="14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</row>
    <row r="839" spans="1:26" ht="15.75" customHeight="1" x14ac:dyDescent="0.25">
      <c r="A839" s="149"/>
      <c r="B839" s="149"/>
      <c r="C839" s="149"/>
      <c r="D839" s="149"/>
      <c r="E839" s="14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</row>
    <row r="840" spans="1:26" ht="15.75" customHeight="1" x14ac:dyDescent="0.25">
      <c r="A840" s="149"/>
      <c r="B840" s="149"/>
      <c r="C840" s="149"/>
      <c r="D840" s="149"/>
      <c r="E840" s="14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</row>
    <row r="841" spans="1:26" ht="15.75" customHeight="1" x14ac:dyDescent="0.25">
      <c r="A841" s="149"/>
      <c r="B841" s="149"/>
      <c r="C841" s="149"/>
      <c r="D841" s="149"/>
      <c r="E841" s="14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</row>
    <row r="842" spans="1:26" ht="15.75" customHeight="1" x14ac:dyDescent="0.25">
      <c r="A842" s="149"/>
      <c r="B842" s="149"/>
      <c r="C842" s="149"/>
      <c r="D842" s="149"/>
      <c r="E842" s="14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</row>
    <row r="843" spans="1:26" ht="15.75" customHeight="1" x14ac:dyDescent="0.25">
      <c r="A843" s="149"/>
      <c r="B843" s="149"/>
      <c r="C843" s="149"/>
      <c r="D843" s="149"/>
      <c r="E843" s="14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</row>
    <row r="844" spans="1:26" ht="15.75" customHeight="1" x14ac:dyDescent="0.25">
      <c r="A844" s="149"/>
      <c r="B844" s="149"/>
      <c r="C844" s="149"/>
      <c r="D844" s="149"/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</row>
    <row r="845" spans="1:26" ht="15.75" customHeight="1" x14ac:dyDescent="0.25">
      <c r="A845" s="149"/>
      <c r="B845" s="149"/>
      <c r="C845" s="149"/>
      <c r="D845" s="149"/>
      <c r="E845" s="14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</row>
    <row r="846" spans="1:26" ht="15.75" customHeight="1" x14ac:dyDescent="0.25">
      <c r="A846" s="149"/>
      <c r="B846" s="149"/>
      <c r="C846" s="149"/>
      <c r="D846" s="149"/>
      <c r="E846" s="14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</row>
    <row r="847" spans="1:26" ht="15.75" customHeight="1" x14ac:dyDescent="0.25">
      <c r="A847" s="149"/>
      <c r="B847" s="149"/>
      <c r="C847" s="149"/>
      <c r="D847" s="149"/>
      <c r="E847" s="14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</row>
    <row r="848" spans="1:26" ht="15.75" customHeight="1" x14ac:dyDescent="0.25">
      <c r="A848" s="149"/>
      <c r="B848" s="149"/>
      <c r="C848" s="149"/>
      <c r="D848" s="149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</row>
    <row r="849" spans="1:26" ht="15.75" customHeight="1" x14ac:dyDescent="0.25">
      <c r="A849" s="149"/>
      <c r="B849" s="149"/>
      <c r="C849" s="149"/>
      <c r="D849" s="149"/>
      <c r="E849" s="14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</row>
    <row r="850" spans="1:26" ht="15.75" customHeight="1" x14ac:dyDescent="0.25">
      <c r="A850" s="149"/>
      <c r="B850" s="149"/>
      <c r="C850" s="149"/>
      <c r="D850" s="149"/>
      <c r="E850" s="14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</row>
    <row r="851" spans="1:26" ht="15.75" customHeight="1" x14ac:dyDescent="0.25">
      <c r="A851" s="149"/>
      <c r="B851" s="149"/>
      <c r="C851" s="149"/>
      <c r="D851" s="149"/>
      <c r="E851" s="14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</row>
    <row r="852" spans="1:26" ht="15.75" customHeight="1" x14ac:dyDescent="0.25">
      <c r="A852" s="149"/>
      <c r="B852" s="149"/>
      <c r="C852" s="149"/>
      <c r="D852" s="149"/>
      <c r="E852" s="14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</row>
    <row r="853" spans="1:26" ht="15.75" customHeight="1" x14ac:dyDescent="0.25">
      <c r="A853" s="149"/>
      <c r="B853" s="149"/>
      <c r="C853" s="149"/>
      <c r="D853" s="149"/>
      <c r="E853" s="14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</row>
    <row r="854" spans="1:26" ht="15.75" customHeight="1" x14ac:dyDescent="0.25">
      <c r="A854" s="149"/>
      <c r="B854" s="149"/>
      <c r="C854" s="149"/>
      <c r="D854" s="149"/>
      <c r="E854" s="14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</row>
    <row r="855" spans="1:26" ht="15.75" customHeight="1" x14ac:dyDescent="0.25">
      <c r="A855" s="149"/>
      <c r="B855" s="149"/>
      <c r="C855" s="149"/>
      <c r="D855" s="149"/>
      <c r="E855" s="14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</row>
    <row r="856" spans="1:26" ht="15.75" customHeight="1" x14ac:dyDescent="0.25">
      <c r="A856" s="149"/>
      <c r="B856" s="149"/>
      <c r="C856" s="149"/>
      <c r="D856" s="149"/>
      <c r="E856" s="14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</row>
    <row r="857" spans="1:26" ht="15.75" customHeight="1" x14ac:dyDescent="0.25">
      <c r="A857" s="149"/>
      <c r="B857" s="149"/>
      <c r="C857" s="149"/>
      <c r="D857" s="149"/>
      <c r="E857" s="149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</row>
    <row r="858" spans="1:26" ht="15.75" customHeight="1" x14ac:dyDescent="0.25">
      <c r="A858" s="149"/>
      <c r="B858" s="149"/>
      <c r="C858" s="149"/>
      <c r="D858" s="149"/>
      <c r="E858" s="149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</row>
    <row r="859" spans="1:26" ht="15.75" customHeight="1" x14ac:dyDescent="0.25">
      <c r="A859" s="149"/>
      <c r="B859" s="149"/>
      <c r="C859" s="149"/>
      <c r="D859" s="149"/>
      <c r="E859" s="149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</row>
    <row r="860" spans="1:26" ht="15.75" customHeight="1" x14ac:dyDescent="0.25">
      <c r="A860" s="149"/>
      <c r="B860" s="149"/>
      <c r="C860" s="149"/>
      <c r="D860" s="149"/>
      <c r="E860" s="149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</row>
    <row r="861" spans="1:26" ht="15.75" customHeight="1" x14ac:dyDescent="0.25">
      <c r="A861" s="149"/>
      <c r="B861" s="149"/>
      <c r="C861" s="149"/>
      <c r="D861" s="149"/>
      <c r="E861" s="149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</row>
    <row r="862" spans="1:26" ht="15.75" customHeight="1" x14ac:dyDescent="0.25">
      <c r="A862" s="149"/>
      <c r="B862" s="149"/>
      <c r="C862" s="149"/>
      <c r="D862" s="149"/>
      <c r="E862" s="149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</row>
    <row r="863" spans="1:26" ht="15.75" customHeight="1" x14ac:dyDescent="0.25">
      <c r="A863" s="149"/>
      <c r="B863" s="149"/>
      <c r="C863" s="149"/>
      <c r="D863" s="149"/>
      <c r="E863" s="149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</row>
    <row r="864" spans="1:26" ht="15.75" customHeight="1" x14ac:dyDescent="0.25">
      <c r="A864" s="149"/>
      <c r="B864" s="149"/>
      <c r="C864" s="149"/>
      <c r="D864" s="149"/>
      <c r="E864" s="14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</row>
    <row r="865" spans="1:26" ht="15.75" customHeight="1" x14ac:dyDescent="0.25">
      <c r="A865" s="149"/>
      <c r="B865" s="149"/>
      <c r="C865" s="149"/>
      <c r="D865" s="149"/>
      <c r="E865" s="149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</row>
    <row r="866" spans="1:26" ht="15.75" customHeight="1" x14ac:dyDescent="0.25">
      <c r="A866" s="149"/>
      <c r="B866" s="149"/>
      <c r="C866" s="149"/>
      <c r="D866" s="149"/>
      <c r="E866" s="149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</row>
    <row r="867" spans="1:26" ht="15.75" customHeight="1" x14ac:dyDescent="0.25">
      <c r="A867" s="149"/>
      <c r="B867" s="149"/>
      <c r="C867" s="149"/>
      <c r="D867" s="149"/>
      <c r="E867" s="149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</row>
    <row r="868" spans="1:26" ht="15.75" customHeight="1" x14ac:dyDescent="0.25">
      <c r="A868" s="149"/>
      <c r="B868" s="149"/>
      <c r="C868" s="149"/>
      <c r="D868" s="149"/>
      <c r="E868" s="149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</row>
    <row r="869" spans="1:26" ht="15.75" customHeight="1" x14ac:dyDescent="0.25">
      <c r="A869" s="149"/>
      <c r="B869" s="149"/>
      <c r="C869" s="149"/>
      <c r="D869" s="149"/>
      <c r="E869" s="149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</row>
    <row r="870" spans="1:26" ht="15.75" customHeight="1" x14ac:dyDescent="0.25">
      <c r="A870" s="149"/>
      <c r="B870" s="149"/>
      <c r="C870" s="149"/>
      <c r="D870" s="149"/>
      <c r="E870" s="149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</row>
    <row r="871" spans="1:26" ht="15.75" customHeight="1" x14ac:dyDescent="0.25">
      <c r="A871" s="149"/>
      <c r="B871" s="149"/>
      <c r="C871" s="149"/>
      <c r="D871" s="149"/>
      <c r="E871" s="149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</row>
    <row r="872" spans="1:26" ht="15.75" customHeight="1" x14ac:dyDescent="0.25">
      <c r="A872" s="149"/>
      <c r="B872" s="149"/>
      <c r="C872" s="149"/>
      <c r="D872" s="149"/>
      <c r="E872" s="14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</row>
    <row r="873" spans="1:26" ht="15.75" customHeight="1" x14ac:dyDescent="0.25">
      <c r="A873" s="149"/>
      <c r="B873" s="149"/>
      <c r="C873" s="149"/>
      <c r="D873" s="149"/>
      <c r="E873" s="149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</row>
    <row r="874" spans="1:26" ht="15.75" customHeight="1" x14ac:dyDescent="0.25">
      <c r="A874" s="149"/>
      <c r="B874" s="149"/>
      <c r="C874" s="149"/>
      <c r="D874" s="149"/>
      <c r="E874" s="14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</row>
    <row r="875" spans="1:26" ht="15.75" customHeight="1" x14ac:dyDescent="0.25">
      <c r="A875" s="149"/>
      <c r="B875" s="149"/>
      <c r="C875" s="149"/>
      <c r="D875" s="149"/>
      <c r="E875" s="14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</row>
    <row r="876" spans="1:26" ht="15.75" customHeight="1" x14ac:dyDescent="0.25">
      <c r="A876" s="149"/>
      <c r="B876" s="149"/>
      <c r="C876" s="149"/>
      <c r="D876" s="149"/>
      <c r="E876" s="149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</row>
    <row r="877" spans="1:26" ht="15.75" customHeight="1" x14ac:dyDescent="0.25">
      <c r="A877" s="149"/>
      <c r="B877" s="149"/>
      <c r="C877" s="149"/>
      <c r="D877" s="149"/>
      <c r="E877" s="149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</row>
    <row r="878" spans="1:26" ht="15.75" customHeight="1" x14ac:dyDescent="0.25">
      <c r="A878" s="149"/>
      <c r="B878" s="149"/>
      <c r="C878" s="149"/>
      <c r="D878" s="149"/>
      <c r="E878" s="149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</row>
    <row r="879" spans="1:26" ht="15.75" customHeight="1" x14ac:dyDescent="0.25">
      <c r="A879" s="149"/>
      <c r="B879" s="149"/>
      <c r="C879" s="149"/>
      <c r="D879" s="149"/>
      <c r="E879" s="149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</row>
    <row r="880" spans="1:26" ht="15.75" customHeight="1" x14ac:dyDescent="0.25">
      <c r="A880" s="149"/>
      <c r="B880" s="149"/>
      <c r="C880" s="149"/>
      <c r="D880" s="149"/>
      <c r="E880" s="149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</row>
    <row r="881" spans="1:26" ht="15.75" customHeight="1" x14ac:dyDescent="0.25">
      <c r="A881" s="149"/>
      <c r="B881" s="149"/>
      <c r="C881" s="149"/>
      <c r="D881" s="149"/>
      <c r="E881" s="149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</row>
    <row r="882" spans="1:26" ht="15.75" customHeight="1" x14ac:dyDescent="0.25">
      <c r="A882" s="149"/>
      <c r="B882" s="149"/>
      <c r="C882" s="149"/>
      <c r="D882" s="149"/>
      <c r="E882" s="149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</row>
    <row r="883" spans="1:26" ht="15.75" customHeight="1" x14ac:dyDescent="0.25">
      <c r="A883" s="149"/>
      <c r="B883" s="149"/>
      <c r="C883" s="149"/>
      <c r="D883" s="149"/>
      <c r="E883" s="149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</row>
    <row r="884" spans="1:26" ht="15.75" customHeight="1" x14ac:dyDescent="0.25">
      <c r="A884" s="149"/>
      <c r="B884" s="149"/>
      <c r="C884" s="149"/>
      <c r="D884" s="149"/>
      <c r="E884" s="149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</row>
    <row r="885" spans="1:26" ht="15.75" customHeight="1" x14ac:dyDescent="0.25">
      <c r="A885" s="149"/>
      <c r="B885" s="149"/>
      <c r="C885" s="149"/>
      <c r="D885" s="149"/>
      <c r="E885" s="149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</row>
    <row r="886" spans="1:26" ht="15.75" customHeight="1" x14ac:dyDescent="0.25">
      <c r="A886" s="149"/>
      <c r="B886" s="149"/>
      <c r="C886" s="149"/>
      <c r="D886" s="149"/>
      <c r="E886" s="149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</row>
    <row r="887" spans="1:26" ht="15.75" customHeight="1" x14ac:dyDescent="0.25">
      <c r="A887" s="149"/>
      <c r="B887" s="149"/>
      <c r="C887" s="149"/>
      <c r="D887" s="149"/>
      <c r="E887" s="149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</row>
    <row r="888" spans="1:26" ht="15.75" customHeight="1" x14ac:dyDescent="0.25">
      <c r="A888" s="149"/>
      <c r="B888" s="149"/>
      <c r="C888" s="149"/>
      <c r="D888" s="149"/>
      <c r="E888" s="149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</row>
    <row r="889" spans="1:26" ht="15.75" customHeight="1" x14ac:dyDescent="0.25">
      <c r="A889" s="149"/>
      <c r="B889" s="149"/>
      <c r="C889" s="149"/>
      <c r="D889" s="149"/>
      <c r="E889" s="149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</row>
    <row r="890" spans="1:26" ht="15.75" customHeight="1" x14ac:dyDescent="0.25">
      <c r="A890" s="149"/>
      <c r="B890" s="149"/>
      <c r="C890" s="149"/>
      <c r="D890" s="149"/>
      <c r="E890" s="14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</row>
    <row r="891" spans="1:26" ht="15.75" customHeight="1" x14ac:dyDescent="0.25">
      <c r="A891" s="149"/>
      <c r="B891" s="149"/>
      <c r="C891" s="149"/>
      <c r="D891" s="149"/>
      <c r="E891" s="149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</row>
    <row r="892" spans="1:26" ht="15.75" customHeight="1" x14ac:dyDescent="0.25">
      <c r="A892" s="149"/>
      <c r="B892" s="149"/>
      <c r="C892" s="149"/>
      <c r="D892" s="149"/>
      <c r="E892" s="149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</row>
    <row r="893" spans="1:26" ht="15.75" customHeight="1" x14ac:dyDescent="0.25">
      <c r="A893" s="149"/>
      <c r="B893" s="149"/>
      <c r="C893" s="149"/>
      <c r="D893" s="149"/>
      <c r="E893" s="149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</row>
    <row r="894" spans="1:26" ht="15.75" customHeight="1" x14ac:dyDescent="0.25">
      <c r="A894" s="149"/>
      <c r="B894" s="149"/>
      <c r="C894" s="149"/>
      <c r="D894" s="149"/>
      <c r="E894" s="149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</row>
    <row r="895" spans="1:26" ht="15.75" customHeight="1" x14ac:dyDescent="0.25">
      <c r="A895" s="149"/>
      <c r="B895" s="149"/>
      <c r="C895" s="149"/>
      <c r="D895" s="149"/>
      <c r="E895" s="149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</row>
    <row r="896" spans="1:26" ht="15.75" customHeight="1" x14ac:dyDescent="0.25">
      <c r="A896" s="149"/>
      <c r="B896" s="149"/>
      <c r="C896" s="149"/>
      <c r="D896" s="149"/>
      <c r="E896" s="149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</row>
    <row r="897" spans="1:26" ht="15.75" customHeight="1" x14ac:dyDescent="0.25">
      <c r="A897" s="149"/>
      <c r="B897" s="149"/>
      <c r="C897" s="149"/>
      <c r="D897" s="149"/>
      <c r="E897" s="149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</row>
    <row r="898" spans="1:26" ht="15.75" customHeight="1" x14ac:dyDescent="0.25">
      <c r="A898" s="149"/>
      <c r="B898" s="149"/>
      <c r="C898" s="149"/>
      <c r="D898" s="149"/>
      <c r="E898" s="149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</row>
    <row r="899" spans="1:26" ht="15.75" customHeight="1" x14ac:dyDescent="0.25">
      <c r="A899" s="149"/>
      <c r="B899" s="149"/>
      <c r="C899" s="149"/>
      <c r="D899" s="149"/>
      <c r="E899" s="149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</row>
    <row r="900" spans="1:26" ht="15.75" customHeight="1" x14ac:dyDescent="0.25">
      <c r="A900" s="149"/>
      <c r="B900" s="149"/>
      <c r="C900" s="149"/>
      <c r="D900" s="149"/>
      <c r="E900" s="149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</row>
    <row r="901" spans="1:26" ht="15.75" customHeight="1" x14ac:dyDescent="0.25">
      <c r="A901" s="149"/>
      <c r="B901" s="149"/>
      <c r="C901" s="149"/>
      <c r="D901" s="149"/>
      <c r="E901" s="149"/>
      <c r="F901" s="149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</row>
    <row r="902" spans="1:26" ht="15.75" customHeight="1" x14ac:dyDescent="0.25">
      <c r="A902" s="149"/>
      <c r="B902" s="149"/>
      <c r="C902" s="149"/>
      <c r="D902" s="149"/>
      <c r="E902" s="149"/>
      <c r="F902" s="149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</row>
    <row r="903" spans="1:26" ht="15.75" customHeight="1" x14ac:dyDescent="0.25">
      <c r="A903" s="149"/>
      <c r="B903" s="149"/>
      <c r="C903" s="149"/>
      <c r="D903" s="149"/>
      <c r="E903" s="149"/>
      <c r="F903" s="149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</row>
    <row r="904" spans="1:26" ht="15.75" customHeight="1" x14ac:dyDescent="0.25">
      <c r="A904" s="149"/>
      <c r="B904" s="149"/>
      <c r="C904" s="149"/>
      <c r="D904" s="149"/>
      <c r="E904" s="149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</row>
    <row r="905" spans="1:26" ht="15.75" customHeight="1" x14ac:dyDescent="0.25">
      <c r="A905" s="149"/>
      <c r="B905" s="149"/>
      <c r="C905" s="149"/>
      <c r="D905" s="149"/>
      <c r="E905" s="149"/>
      <c r="F905" s="149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</row>
    <row r="906" spans="1:26" ht="15.75" customHeight="1" x14ac:dyDescent="0.25">
      <c r="A906" s="149"/>
      <c r="B906" s="149"/>
      <c r="C906" s="149"/>
      <c r="D906" s="149"/>
      <c r="E906" s="149"/>
      <c r="F906" s="149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</row>
    <row r="907" spans="1:26" ht="15.75" customHeight="1" x14ac:dyDescent="0.25">
      <c r="A907" s="149"/>
      <c r="B907" s="149"/>
      <c r="C907" s="149"/>
      <c r="D907" s="149"/>
      <c r="E907" s="149"/>
      <c r="F907" s="149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</row>
    <row r="908" spans="1:26" ht="15.75" customHeight="1" x14ac:dyDescent="0.25">
      <c r="A908" s="149"/>
      <c r="B908" s="149"/>
      <c r="C908" s="149"/>
      <c r="D908" s="149"/>
      <c r="E908" s="149"/>
      <c r="F908" s="149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</row>
    <row r="909" spans="1:26" ht="15.75" customHeight="1" x14ac:dyDescent="0.25">
      <c r="A909" s="149"/>
      <c r="B909" s="149"/>
      <c r="C909" s="149"/>
      <c r="D909" s="149"/>
      <c r="E909" s="149"/>
      <c r="F909" s="149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</row>
    <row r="910" spans="1:26" ht="15.75" customHeight="1" x14ac:dyDescent="0.25">
      <c r="A910" s="149"/>
      <c r="B910" s="149"/>
      <c r="C910" s="149"/>
      <c r="D910" s="149"/>
      <c r="E910" s="149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</row>
    <row r="911" spans="1:26" ht="15.75" customHeight="1" x14ac:dyDescent="0.25">
      <c r="A911" s="149"/>
      <c r="B911" s="149"/>
      <c r="C911" s="149"/>
      <c r="D911" s="149"/>
      <c r="E911" s="149"/>
      <c r="F911" s="149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</row>
    <row r="912" spans="1:26" ht="15.75" customHeight="1" x14ac:dyDescent="0.25">
      <c r="A912" s="149"/>
      <c r="B912" s="149"/>
      <c r="C912" s="149"/>
      <c r="D912" s="149"/>
      <c r="E912" s="149"/>
      <c r="F912" s="149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</row>
    <row r="913" spans="1:26" ht="15.75" customHeight="1" x14ac:dyDescent="0.25">
      <c r="A913" s="149"/>
      <c r="B913" s="149"/>
      <c r="C913" s="149"/>
      <c r="D913" s="149"/>
      <c r="E913" s="149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</row>
    <row r="914" spans="1:26" ht="15.75" customHeight="1" x14ac:dyDescent="0.25">
      <c r="A914" s="149"/>
      <c r="B914" s="149"/>
      <c r="C914" s="149"/>
      <c r="D914" s="149"/>
      <c r="E914" s="149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</row>
    <row r="915" spans="1:26" ht="15.75" customHeight="1" x14ac:dyDescent="0.25">
      <c r="A915" s="149"/>
      <c r="B915" s="149"/>
      <c r="C915" s="149"/>
      <c r="D915" s="149"/>
      <c r="E915" s="149"/>
      <c r="F915" s="149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</row>
    <row r="916" spans="1:26" ht="15.75" customHeight="1" x14ac:dyDescent="0.25">
      <c r="A916" s="149"/>
      <c r="B916" s="149"/>
      <c r="C916" s="149"/>
      <c r="D916" s="149"/>
      <c r="E916" s="149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</row>
    <row r="917" spans="1:26" ht="15.75" customHeight="1" x14ac:dyDescent="0.25">
      <c r="A917" s="149"/>
      <c r="B917" s="149"/>
      <c r="C917" s="149"/>
      <c r="D917" s="149"/>
      <c r="E917" s="149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</row>
    <row r="918" spans="1:26" ht="15.75" customHeight="1" x14ac:dyDescent="0.25">
      <c r="A918" s="149"/>
      <c r="B918" s="149"/>
      <c r="C918" s="149"/>
      <c r="D918" s="149"/>
      <c r="E918" s="149"/>
      <c r="F918" s="149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</row>
    <row r="919" spans="1:26" ht="15.75" customHeight="1" x14ac:dyDescent="0.25">
      <c r="A919" s="149"/>
      <c r="B919" s="149"/>
      <c r="C919" s="149"/>
      <c r="D919" s="149"/>
      <c r="E919" s="149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</row>
    <row r="920" spans="1:26" ht="15.75" customHeight="1" x14ac:dyDescent="0.25">
      <c r="A920" s="149"/>
      <c r="B920" s="149"/>
      <c r="C920" s="149"/>
      <c r="D920" s="149"/>
      <c r="E920" s="149"/>
      <c r="F920" s="149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</row>
    <row r="921" spans="1:26" ht="15.75" customHeight="1" x14ac:dyDescent="0.25">
      <c r="A921" s="149"/>
      <c r="B921" s="149"/>
      <c r="C921" s="149"/>
      <c r="D921" s="149"/>
      <c r="E921" s="149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</row>
    <row r="922" spans="1:26" ht="15.75" customHeight="1" x14ac:dyDescent="0.25">
      <c r="A922" s="149"/>
      <c r="B922" s="149"/>
      <c r="C922" s="149"/>
      <c r="D922" s="149"/>
      <c r="E922" s="149"/>
      <c r="F922" s="149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</row>
    <row r="923" spans="1:26" ht="15.75" customHeight="1" x14ac:dyDescent="0.25">
      <c r="A923" s="149"/>
      <c r="B923" s="149"/>
      <c r="C923" s="149"/>
      <c r="D923" s="149"/>
      <c r="E923" s="149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</row>
    <row r="924" spans="1:26" ht="15.75" customHeight="1" x14ac:dyDescent="0.25">
      <c r="A924" s="149"/>
      <c r="B924" s="149"/>
      <c r="C924" s="149"/>
      <c r="D924" s="149"/>
      <c r="E924" s="149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</row>
    <row r="925" spans="1:26" ht="15.75" customHeight="1" x14ac:dyDescent="0.25">
      <c r="A925" s="149"/>
      <c r="B925" s="149"/>
      <c r="C925" s="149"/>
      <c r="D925" s="149"/>
      <c r="E925" s="149"/>
      <c r="F925" s="149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</row>
    <row r="926" spans="1:26" ht="15.75" customHeight="1" x14ac:dyDescent="0.25">
      <c r="A926" s="149"/>
      <c r="B926" s="149"/>
      <c r="C926" s="149"/>
      <c r="D926" s="149"/>
      <c r="E926" s="149"/>
      <c r="F926" s="149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</row>
    <row r="927" spans="1:26" ht="15.75" customHeight="1" x14ac:dyDescent="0.25">
      <c r="A927" s="149"/>
      <c r="B927" s="149"/>
      <c r="C927" s="149"/>
      <c r="D927" s="149"/>
      <c r="E927" s="149"/>
      <c r="F927" s="149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</row>
    <row r="928" spans="1:26" ht="15.75" customHeight="1" x14ac:dyDescent="0.25">
      <c r="A928" s="149"/>
      <c r="B928" s="149"/>
      <c r="C928" s="149"/>
      <c r="D928" s="149"/>
      <c r="E928" s="149"/>
      <c r="F928" s="149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</row>
    <row r="929" spans="1:26" ht="15.75" customHeight="1" x14ac:dyDescent="0.25">
      <c r="A929" s="149"/>
      <c r="B929" s="149"/>
      <c r="C929" s="149"/>
      <c r="D929" s="149"/>
      <c r="E929" s="149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</row>
    <row r="930" spans="1:26" ht="15.75" customHeight="1" x14ac:dyDescent="0.25">
      <c r="A930" s="149"/>
      <c r="B930" s="149"/>
      <c r="C930" s="149"/>
      <c r="D930" s="149"/>
      <c r="E930" s="149"/>
      <c r="F930" s="149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</row>
    <row r="931" spans="1:26" ht="15.75" customHeight="1" x14ac:dyDescent="0.25">
      <c r="A931" s="149"/>
      <c r="B931" s="149"/>
      <c r="C931" s="149"/>
      <c r="D931" s="149"/>
      <c r="E931" s="149"/>
      <c r="F931" s="149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</row>
    <row r="932" spans="1:26" ht="15.75" customHeight="1" x14ac:dyDescent="0.25">
      <c r="A932" s="149"/>
      <c r="B932" s="149"/>
      <c r="C932" s="149"/>
      <c r="D932" s="149"/>
      <c r="E932" s="149"/>
      <c r="F932" s="149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</row>
    <row r="933" spans="1:26" ht="15.75" customHeight="1" x14ac:dyDescent="0.25">
      <c r="A933" s="149"/>
      <c r="B933" s="149"/>
      <c r="C933" s="149"/>
      <c r="D933" s="149"/>
      <c r="E933" s="149"/>
      <c r="F933" s="149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</row>
    <row r="934" spans="1:26" ht="15.75" customHeight="1" x14ac:dyDescent="0.25">
      <c r="A934" s="149"/>
      <c r="B934" s="149"/>
      <c r="C934" s="149"/>
      <c r="D934" s="149"/>
      <c r="E934" s="149"/>
      <c r="F934" s="149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</row>
    <row r="935" spans="1:26" ht="15.75" customHeight="1" x14ac:dyDescent="0.25">
      <c r="A935" s="149"/>
      <c r="B935" s="149"/>
      <c r="C935" s="149"/>
      <c r="D935" s="149"/>
      <c r="E935" s="149"/>
      <c r="F935" s="149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</row>
    <row r="936" spans="1:26" ht="15.75" customHeight="1" x14ac:dyDescent="0.25">
      <c r="A936" s="149"/>
      <c r="B936" s="149"/>
      <c r="C936" s="149"/>
      <c r="D936" s="149"/>
      <c r="E936" s="149"/>
      <c r="F936" s="149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</row>
    <row r="937" spans="1:26" ht="15.75" customHeight="1" x14ac:dyDescent="0.25">
      <c r="A937" s="149"/>
      <c r="B937" s="149"/>
      <c r="C937" s="149"/>
      <c r="D937" s="149"/>
      <c r="E937" s="149"/>
      <c r="F937" s="149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</row>
    <row r="938" spans="1:26" ht="15.75" customHeight="1" x14ac:dyDescent="0.25">
      <c r="A938" s="149"/>
      <c r="B938" s="149"/>
      <c r="C938" s="149"/>
      <c r="D938" s="149"/>
      <c r="E938" s="149"/>
      <c r="F938" s="149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</row>
    <row r="939" spans="1:26" ht="15.75" customHeight="1" x14ac:dyDescent="0.25">
      <c r="A939" s="149"/>
      <c r="B939" s="149"/>
      <c r="C939" s="149"/>
      <c r="D939" s="149"/>
      <c r="E939" s="149"/>
      <c r="F939" s="149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</row>
    <row r="940" spans="1:26" ht="15.75" customHeight="1" x14ac:dyDescent="0.25">
      <c r="A940" s="149"/>
      <c r="B940" s="149"/>
      <c r="C940" s="149"/>
      <c r="D940" s="149"/>
      <c r="E940" s="149"/>
      <c r="F940" s="149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</row>
    <row r="941" spans="1:26" ht="15.75" customHeight="1" x14ac:dyDescent="0.25">
      <c r="A941" s="149"/>
      <c r="B941" s="149"/>
      <c r="C941" s="149"/>
      <c r="D941" s="149"/>
      <c r="E941" s="149"/>
      <c r="F941" s="149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</row>
    <row r="942" spans="1:26" ht="15.75" customHeight="1" x14ac:dyDescent="0.25">
      <c r="A942" s="149"/>
      <c r="B942" s="149"/>
      <c r="C942" s="149"/>
      <c r="D942" s="149"/>
      <c r="E942" s="149"/>
      <c r="F942" s="149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</row>
    <row r="943" spans="1:26" ht="15.75" customHeight="1" x14ac:dyDescent="0.25">
      <c r="A943" s="149"/>
      <c r="B943" s="149"/>
      <c r="C943" s="149"/>
      <c r="D943" s="149"/>
      <c r="E943" s="149"/>
      <c r="F943" s="149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</row>
    <row r="944" spans="1:26" ht="15.75" customHeight="1" x14ac:dyDescent="0.25">
      <c r="A944" s="149"/>
      <c r="B944" s="149"/>
      <c r="C944" s="149"/>
      <c r="D944" s="149"/>
      <c r="E944" s="149"/>
      <c r="F944" s="149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</row>
    <row r="945" spans="1:26" ht="15.75" customHeight="1" x14ac:dyDescent="0.25">
      <c r="A945" s="149"/>
      <c r="B945" s="149"/>
      <c r="C945" s="149"/>
      <c r="D945" s="149"/>
      <c r="E945" s="149"/>
      <c r="F945" s="149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</row>
    <row r="946" spans="1:26" ht="15.75" customHeight="1" x14ac:dyDescent="0.25">
      <c r="A946" s="149"/>
      <c r="B946" s="149"/>
      <c r="C946" s="149"/>
      <c r="D946" s="149"/>
      <c r="E946" s="149"/>
      <c r="F946" s="149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</row>
    <row r="947" spans="1:26" ht="15.75" customHeight="1" x14ac:dyDescent="0.25">
      <c r="A947" s="149"/>
      <c r="B947" s="149"/>
      <c r="C947" s="149"/>
      <c r="D947" s="149"/>
      <c r="E947" s="149"/>
      <c r="F947" s="149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</row>
    <row r="948" spans="1:26" ht="15.75" customHeight="1" x14ac:dyDescent="0.25">
      <c r="A948" s="149"/>
      <c r="B948" s="149"/>
      <c r="C948" s="149"/>
      <c r="D948" s="149"/>
      <c r="E948" s="149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</row>
    <row r="949" spans="1:26" ht="15.75" customHeight="1" x14ac:dyDescent="0.25">
      <c r="A949" s="149"/>
      <c r="B949" s="149"/>
      <c r="C949" s="149"/>
      <c r="D949" s="149"/>
      <c r="E949" s="149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</row>
    <row r="950" spans="1:26" ht="15.75" customHeight="1" x14ac:dyDescent="0.25">
      <c r="A950" s="149"/>
      <c r="B950" s="149"/>
      <c r="C950" s="149"/>
      <c r="D950" s="149"/>
      <c r="E950" s="149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</row>
    <row r="951" spans="1:26" ht="15.75" customHeight="1" x14ac:dyDescent="0.25">
      <c r="A951" s="149"/>
      <c r="B951" s="149"/>
      <c r="C951" s="149"/>
      <c r="D951" s="149"/>
      <c r="E951" s="149"/>
      <c r="F951" s="149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</row>
    <row r="952" spans="1:26" ht="15.75" customHeight="1" x14ac:dyDescent="0.25">
      <c r="A952" s="149"/>
      <c r="B952" s="149"/>
      <c r="C952" s="149"/>
      <c r="D952" s="149"/>
      <c r="E952" s="149"/>
      <c r="F952" s="149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</row>
    <row r="953" spans="1:26" ht="15.75" customHeight="1" x14ac:dyDescent="0.25">
      <c r="A953" s="149"/>
      <c r="B953" s="149"/>
      <c r="C953" s="149"/>
      <c r="D953" s="149"/>
      <c r="E953" s="149"/>
      <c r="F953" s="149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</row>
    <row r="954" spans="1:26" ht="15.75" customHeight="1" x14ac:dyDescent="0.25">
      <c r="A954" s="149"/>
      <c r="B954" s="149"/>
      <c r="C954" s="149"/>
      <c r="D954" s="149"/>
      <c r="E954" s="149"/>
      <c r="F954" s="149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49"/>
    </row>
    <row r="955" spans="1:26" ht="15.75" customHeight="1" x14ac:dyDescent="0.25">
      <c r="A955" s="149"/>
      <c r="B955" s="149"/>
      <c r="C955" s="149"/>
      <c r="D955" s="149"/>
      <c r="E955" s="149"/>
      <c r="F955" s="149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49"/>
    </row>
    <row r="956" spans="1:26" ht="15.75" customHeight="1" x14ac:dyDescent="0.25">
      <c r="A956" s="149"/>
      <c r="B956" s="149"/>
      <c r="C956" s="149"/>
      <c r="D956" s="149"/>
      <c r="E956" s="149"/>
      <c r="F956" s="149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49"/>
    </row>
    <row r="957" spans="1:26" ht="15.75" customHeight="1" x14ac:dyDescent="0.25">
      <c r="A957" s="149"/>
      <c r="B957" s="149"/>
      <c r="C957" s="149"/>
      <c r="D957" s="149"/>
      <c r="E957" s="149"/>
      <c r="F957" s="149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49"/>
    </row>
    <row r="958" spans="1:26" ht="15.75" customHeight="1" x14ac:dyDescent="0.25">
      <c r="A958" s="149"/>
      <c r="B958" s="149"/>
      <c r="C958" s="149"/>
      <c r="D958" s="149"/>
      <c r="E958" s="149"/>
      <c r="F958" s="149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49"/>
    </row>
    <row r="959" spans="1:26" ht="15.75" customHeight="1" x14ac:dyDescent="0.25">
      <c r="A959" s="149"/>
      <c r="B959" s="149"/>
      <c r="C959" s="149"/>
      <c r="D959" s="149"/>
      <c r="E959" s="149"/>
      <c r="F959" s="149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49"/>
    </row>
    <row r="960" spans="1:26" ht="15.75" customHeight="1" x14ac:dyDescent="0.25">
      <c r="A960" s="149"/>
      <c r="B960" s="149"/>
      <c r="C960" s="149"/>
      <c r="D960" s="149"/>
      <c r="E960" s="149"/>
      <c r="F960" s="149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49"/>
    </row>
    <row r="961" spans="1:26" ht="15.75" customHeight="1" x14ac:dyDescent="0.25">
      <c r="A961" s="149"/>
      <c r="B961" s="149"/>
      <c r="C961" s="149"/>
      <c r="D961" s="149"/>
      <c r="E961" s="149"/>
      <c r="F961" s="149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49"/>
    </row>
    <row r="962" spans="1:26" ht="15.75" customHeight="1" x14ac:dyDescent="0.25">
      <c r="A962" s="149"/>
      <c r="B962" s="149"/>
      <c r="C962" s="149"/>
      <c r="D962" s="149"/>
      <c r="E962" s="149"/>
      <c r="F962" s="149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  <c r="Z962" s="149"/>
    </row>
    <row r="963" spans="1:26" ht="15.75" customHeight="1" x14ac:dyDescent="0.25">
      <c r="A963" s="149"/>
      <c r="B963" s="149"/>
      <c r="C963" s="149"/>
      <c r="D963" s="149"/>
      <c r="E963" s="149"/>
      <c r="F963" s="149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  <c r="Z963" s="149"/>
    </row>
    <row r="964" spans="1:26" ht="15.75" customHeight="1" x14ac:dyDescent="0.25">
      <c r="A964" s="149"/>
      <c r="B964" s="149"/>
      <c r="C964" s="149"/>
      <c r="D964" s="149"/>
      <c r="E964" s="149"/>
      <c r="F964" s="149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  <c r="Z964" s="149"/>
    </row>
    <row r="965" spans="1:26" ht="15.75" customHeight="1" x14ac:dyDescent="0.25">
      <c r="A965" s="149"/>
      <c r="B965" s="149"/>
      <c r="C965" s="149"/>
      <c r="D965" s="149"/>
      <c r="E965" s="149"/>
      <c r="F965" s="149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  <c r="Z965" s="149"/>
    </row>
    <row r="966" spans="1:26" ht="15.75" customHeight="1" x14ac:dyDescent="0.25">
      <c r="A966" s="149"/>
      <c r="B966" s="149"/>
      <c r="C966" s="149"/>
      <c r="D966" s="149"/>
      <c r="E966" s="149"/>
      <c r="F966" s="149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  <c r="Z966" s="149"/>
    </row>
    <row r="967" spans="1:26" ht="15.75" customHeight="1" x14ac:dyDescent="0.25">
      <c r="A967" s="149"/>
      <c r="B967" s="149"/>
      <c r="C967" s="149"/>
      <c r="D967" s="149"/>
      <c r="E967" s="149"/>
      <c r="F967" s="149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  <c r="Z967" s="149"/>
    </row>
    <row r="968" spans="1:26" ht="15.75" customHeight="1" x14ac:dyDescent="0.25">
      <c r="A968" s="149"/>
      <c r="B968" s="149"/>
      <c r="C968" s="149"/>
      <c r="D968" s="149"/>
      <c r="E968" s="149"/>
      <c r="F968" s="149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  <c r="Z968" s="149"/>
    </row>
    <row r="969" spans="1:26" ht="15.75" customHeight="1" x14ac:dyDescent="0.25">
      <c r="A969" s="149"/>
      <c r="B969" s="149"/>
      <c r="C969" s="149"/>
      <c r="D969" s="149"/>
      <c r="E969" s="149"/>
      <c r="F969" s="149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  <c r="Z969" s="149"/>
    </row>
    <row r="970" spans="1:26" ht="15.75" customHeight="1" x14ac:dyDescent="0.25">
      <c r="A970" s="149"/>
      <c r="B970" s="149"/>
      <c r="C970" s="149"/>
      <c r="D970" s="149"/>
      <c r="E970" s="149"/>
      <c r="F970" s="149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  <c r="Z970" s="149"/>
    </row>
    <row r="971" spans="1:26" ht="15.75" customHeight="1" x14ac:dyDescent="0.25">
      <c r="A971" s="149"/>
      <c r="B971" s="149"/>
      <c r="C971" s="149"/>
      <c r="D971" s="149"/>
      <c r="E971" s="149"/>
      <c r="F971" s="149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  <c r="Z971" s="149"/>
    </row>
    <row r="972" spans="1:26" ht="15.75" customHeight="1" x14ac:dyDescent="0.25">
      <c r="A972" s="149"/>
      <c r="B972" s="149"/>
      <c r="C972" s="149"/>
      <c r="D972" s="149"/>
      <c r="E972" s="149"/>
      <c r="F972" s="149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  <c r="Z972" s="149"/>
    </row>
    <row r="973" spans="1:26" ht="15.75" customHeight="1" x14ac:dyDescent="0.25">
      <c r="A973" s="149"/>
      <c r="B973" s="149"/>
      <c r="C973" s="149"/>
      <c r="D973" s="149"/>
      <c r="E973" s="149"/>
      <c r="F973" s="149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  <c r="Z973" s="149"/>
    </row>
    <row r="974" spans="1:26" ht="15.75" customHeight="1" x14ac:dyDescent="0.25">
      <c r="A974" s="149"/>
      <c r="B974" s="149"/>
      <c r="C974" s="149"/>
      <c r="D974" s="149"/>
      <c r="E974" s="149"/>
      <c r="F974" s="149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  <c r="Z974" s="149"/>
    </row>
    <row r="975" spans="1:26" ht="15.75" customHeight="1" x14ac:dyDescent="0.25">
      <c r="A975" s="149"/>
      <c r="B975" s="149"/>
      <c r="C975" s="149"/>
      <c r="D975" s="149"/>
      <c r="E975" s="149"/>
      <c r="F975" s="149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  <c r="Z975" s="149"/>
    </row>
    <row r="976" spans="1:26" ht="15.75" customHeight="1" x14ac:dyDescent="0.25">
      <c r="A976" s="149"/>
      <c r="B976" s="149"/>
      <c r="C976" s="149"/>
      <c r="D976" s="149"/>
      <c r="E976" s="149"/>
      <c r="F976" s="149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  <c r="Z976" s="149"/>
    </row>
    <row r="977" spans="1:26" ht="15.75" customHeight="1" x14ac:dyDescent="0.25">
      <c r="A977" s="149"/>
      <c r="B977" s="149"/>
      <c r="C977" s="149"/>
      <c r="D977" s="149"/>
      <c r="E977" s="149"/>
      <c r="F977" s="149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49"/>
    </row>
    <row r="978" spans="1:26" ht="15.75" customHeight="1" x14ac:dyDescent="0.25">
      <c r="A978" s="149"/>
      <c r="B978" s="149"/>
      <c r="C978" s="149"/>
      <c r="D978" s="149"/>
      <c r="E978" s="149"/>
      <c r="F978" s="149"/>
      <c r="G978" s="149"/>
      <c r="H978" s="149"/>
      <c r="I978" s="149"/>
      <c r="J978" s="149"/>
      <c r="K978" s="149"/>
      <c r="L978" s="149"/>
      <c r="M978" s="149"/>
      <c r="N978" s="149"/>
      <c r="O978" s="149"/>
      <c r="P978" s="149"/>
      <c r="Q978" s="149"/>
      <c r="R978" s="149"/>
      <c r="S978" s="149"/>
      <c r="T978" s="149"/>
      <c r="U978" s="149"/>
      <c r="V978" s="149"/>
      <c r="W978" s="149"/>
      <c r="X978" s="149"/>
      <c r="Y978" s="149"/>
      <c r="Z978" s="149"/>
    </row>
    <row r="979" spans="1:26" ht="15.75" customHeight="1" x14ac:dyDescent="0.25">
      <c r="A979" s="149"/>
      <c r="B979" s="149"/>
      <c r="C979" s="149"/>
      <c r="D979" s="149"/>
      <c r="E979" s="149"/>
      <c r="F979" s="149"/>
      <c r="G979" s="149"/>
      <c r="H979" s="149"/>
      <c r="I979" s="149"/>
      <c r="J979" s="149"/>
      <c r="K979" s="149"/>
      <c r="L979" s="149"/>
      <c r="M979" s="149"/>
      <c r="N979" s="149"/>
      <c r="O979" s="149"/>
      <c r="P979" s="149"/>
      <c r="Q979" s="149"/>
      <c r="R979" s="149"/>
      <c r="S979" s="149"/>
      <c r="T979" s="149"/>
      <c r="U979" s="149"/>
      <c r="V979" s="149"/>
      <c r="W979" s="149"/>
      <c r="X979" s="149"/>
      <c r="Y979" s="149"/>
      <c r="Z979" s="149"/>
    </row>
    <row r="980" spans="1:26" ht="15.75" customHeight="1" x14ac:dyDescent="0.25">
      <c r="A980" s="149"/>
      <c r="B980" s="149"/>
      <c r="C980" s="149"/>
      <c r="D980" s="149"/>
      <c r="E980" s="149"/>
      <c r="F980" s="149"/>
      <c r="G980" s="149"/>
      <c r="H980" s="149"/>
      <c r="I980" s="149"/>
      <c r="J980" s="149"/>
      <c r="K980" s="149"/>
      <c r="L980" s="149"/>
      <c r="M980" s="149"/>
      <c r="N980" s="149"/>
      <c r="O980" s="149"/>
      <c r="P980" s="149"/>
      <c r="Q980" s="149"/>
      <c r="R980" s="149"/>
      <c r="S980" s="149"/>
      <c r="T980" s="149"/>
      <c r="U980" s="149"/>
      <c r="V980" s="149"/>
      <c r="W980" s="149"/>
      <c r="X980" s="149"/>
      <c r="Y980" s="149"/>
      <c r="Z980" s="149"/>
    </row>
    <row r="981" spans="1:26" ht="15.75" customHeight="1" x14ac:dyDescent="0.25">
      <c r="A981" s="149"/>
      <c r="B981" s="149"/>
      <c r="C981" s="149"/>
      <c r="D981" s="149"/>
      <c r="E981" s="149"/>
      <c r="F981" s="149"/>
      <c r="G981" s="149"/>
      <c r="H981" s="149"/>
      <c r="I981" s="149"/>
      <c r="J981" s="149"/>
      <c r="K981" s="149"/>
      <c r="L981" s="149"/>
      <c r="M981" s="149"/>
      <c r="N981" s="149"/>
      <c r="O981" s="149"/>
      <c r="P981" s="149"/>
      <c r="Q981" s="149"/>
      <c r="R981" s="149"/>
      <c r="S981" s="149"/>
      <c r="T981" s="149"/>
      <c r="U981" s="149"/>
      <c r="V981" s="149"/>
      <c r="W981" s="149"/>
      <c r="X981" s="149"/>
      <c r="Y981" s="149"/>
      <c r="Z981" s="149"/>
    </row>
    <row r="982" spans="1:26" ht="15.75" customHeight="1" x14ac:dyDescent="0.25">
      <c r="A982" s="149"/>
      <c r="B982" s="149"/>
      <c r="C982" s="149"/>
      <c r="D982" s="149"/>
      <c r="E982" s="149"/>
      <c r="F982" s="149"/>
      <c r="G982" s="149"/>
      <c r="H982" s="149"/>
      <c r="I982" s="149"/>
      <c r="J982" s="149"/>
      <c r="K982" s="149"/>
      <c r="L982" s="149"/>
      <c r="M982" s="149"/>
      <c r="N982" s="149"/>
      <c r="O982" s="149"/>
      <c r="P982" s="149"/>
      <c r="Q982" s="149"/>
      <c r="R982" s="149"/>
      <c r="S982" s="149"/>
      <c r="T982" s="149"/>
      <c r="U982" s="149"/>
      <c r="V982" s="149"/>
      <c r="W982" s="149"/>
      <c r="X982" s="149"/>
      <c r="Y982" s="149"/>
      <c r="Z982" s="149"/>
    </row>
    <row r="983" spans="1:26" ht="15.75" customHeight="1" x14ac:dyDescent="0.25">
      <c r="A983" s="149"/>
      <c r="B983" s="149"/>
      <c r="C983" s="149"/>
      <c r="D983" s="149"/>
      <c r="E983" s="149"/>
      <c r="F983" s="149"/>
      <c r="G983" s="149"/>
      <c r="H983" s="149"/>
      <c r="I983" s="149"/>
      <c r="J983" s="149"/>
      <c r="K983" s="149"/>
      <c r="L983" s="149"/>
      <c r="M983" s="149"/>
      <c r="N983" s="149"/>
      <c r="O983" s="149"/>
      <c r="P983" s="149"/>
      <c r="Q983" s="149"/>
      <c r="R983" s="149"/>
      <c r="S983" s="149"/>
      <c r="T983" s="149"/>
      <c r="U983" s="149"/>
      <c r="V983" s="149"/>
      <c r="W983" s="149"/>
      <c r="X983" s="149"/>
      <c r="Y983" s="149"/>
      <c r="Z983" s="149"/>
    </row>
    <row r="984" spans="1:26" ht="15.75" customHeight="1" x14ac:dyDescent="0.25">
      <c r="A984" s="149"/>
      <c r="B984" s="149"/>
      <c r="C984" s="149"/>
      <c r="D984" s="149"/>
      <c r="E984" s="149"/>
      <c r="F984" s="149"/>
      <c r="G984" s="149"/>
      <c r="H984" s="149"/>
      <c r="I984" s="149"/>
      <c r="J984" s="149"/>
      <c r="K984" s="149"/>
      <c r="L984" s="149"/>
      <c r="M984" s="149"/>
      <c r="N984" s="149"/>
      <c r="O984" s="149"/>
      <c r="P984" s="149"/>
      <c r="Q984" s="149"/>
      <c r="R984" s="149"/>
      <c r="S984" s="149"/>
      <c r="T984" s="149"/>
      <c r="U984" s="149"/>
      <c r="V984" s="149"/>
      <c r="W984" s="149"/>
      <c r="X984" s="149"/>
      <c r="Y984" s="149"/>
      <c r="Z984" s="149"/>
    </row>
    <row r="985" spans="1:26" ht="15.75" customHeight="1" x14ac:dyDescent="0.25">
      <c r="A985" s="149"/>
      <c r="B985" s="149"/>
      <c r="C985" s="149"/>
      <c r="D985" s="149"/>
      <c r="E985" s="149"/>
      <c r="F985" s="149"/>
      <c r="G985" s="149"/>
      <c r="H985" s="149"/>
      <c r="I985" s="149"/>
      <c r="J985" s="149"/>
      <c r="K985" s="149"/>
      <c r="L985" s="149"/>
      <c r="M985" s="149"/>
      <c r="N985" s="149"/>
      <c r="O985" s="149"/>
      <c r="P985" s="149"/>
      <c r="Q985" s="149"/>
      <c r="R985" s="149"/>
      <c r="S985" s="149"/>
      <c r="T985" s="149"/>
      <c r="U985" s="149"/>
      <c r="V985" s="149"/>
      <c r="W985" s="149"/>
      <c r="X985" s="149"/>
      <c r="Y985" s="149"/>
      <c r="Z985" s="149"/>
    </row>
    <row r="986" spans="1:26" ht="15.75" customHeight="1" x14ac:dyDescent="0.25">
      <c r="A986" s="149"/>
      <c r="B986" s="149"/>
      <c r="C986" s="149"/>
      <c r="D986" s="149"/>
      <c r="E986" s="149"/>
      <c r="F986" s="149"/>
      <c r="G986" s="149"/>
      <c r="H986" s="149"/>
      <c r="I986" s="149"/>
      <c r="J986" s="149"/>
      <c r="K986" s="149"/>
      <c r="L986" s="149"/>
      <c r="M986" s="149"/>
      <c r="N986" s="149"/>
      <c r="O986" s="149"/>
      <c r="P986" s="149"/>
      <c r="Q986" s="149"/>
      <c r="R986" s="149"/>
      <c r="S986" s="149"/>
      <c r="T986" s="149"/>
      <c r="U986" s="149"/>
      <c r="V986" s="149"/>
      <c r="W986" s="149"/>
      <c r="X986" s="149"/>
      <c r="Y986" s="149"/>
      <c r="Z986" s="149"/>
    </row>
    <row r="987" spans="1:26" ht="15.75" customHeight="1" x14ac:dyDescent="0.25">
      <c r="A987" s="149"/>
      <c r="B987" s="149"/>
      <c r="C987" s="149"/>
      <c r="D987" s="149"/>
      <c r="E987" s="149"/>
      <c r="F987" s="149"/>
      <c r="G987" s="149"/>
      <c r="H987" s="149"/>
      <c r="I987" s="149"/>
      <c r="J987" s="149"/>
      <c r="K987" s="149"/>
      <c r="L987" s="149"/>
      <c r="M987" s="149"/>
      <c r="N987" s="149"/>
      <c r="O987" s="149"/>
      <c r="P987" s="149"/>
      <c r="Q987" s="149"/>
      <c r="R987" s="149"/>
      <c r="S987" s="149"/>
      <c r="T987" s="149"/>
      <c r="U987" s="149"/>
      <c r="V987" s="149"/>
      <c r="W987" s="149"/>
      <c r="X987" s="149"/>
      <c r="Y987" s="149"/>
      <c r="Z987" s="149"/>
    </row>
    <row r="988" spans="1:26" ht="15.75" customHeight="1" x14ac:dyDescent="0.25">
      <c r="A988" s="149"/>
      <c r="B988" s="149"/>
      <c r="C988" s="149"/>
      <c r="D988" s="149"/>
      <c r="E988" s="149"/>
      <c r="F988" s="149"/>
      <c r="G988" s="149"/>
      <c r="H988" s="149"/>
      <c r="I988" s="149"/>
      <c r="J988" s="149"/>
      <c r="K988" s="149"/>
      <c r="L988" s="149"/>
      <c r="M988" s="149"/>
      <c r="N988" s="149"/>
      <c r="O988" s="149"/>
      <c r="P988" s="149"/>
      <c r="Q988" s="149"/>
      <c r="R988" s="149"/>
      <c r="S988" s="149"/>
      <c r="T988" s="149"/>
      <c r="U988" s="149"/>
      <c r="V988" s="149"/>
      <c r="W988" s="149"/>
      <c r="X988" s="149"/>
      <c r="Y988" s="149"/>
      <c r="Z988" s="149"/>
    </row>
    <row r="989" spans="1:26" ht="15.75" customHeight="1" x14ac:dyDescent="0.25">
      <c r="A989" s="149"/>
      <c r="B989" s="149"/>
      <c r="C989" s="149"/>
      <c r="D989" s="149"/>
      <c r="E989" s="149"/>
      <c r="F989" s="149"/>
      <c r="G989" s="149"/>
      <c r="H989" s="149"/>
      <c r="I989" s="149"/>
      <c r="J989" s="149"/>
      <c r="K989" s="149"/>
      <c r="L989" s="149"/>
      <c r="M989" s="149"/>
      <c r="N989" s="149"/>
      <c r="O989" s="149"/>
      <c r="P989" s="149"/>
      <c r="Q989" s="149"/>
      <c r="R989" s="149"/>
      <c r="S989" s="149"/>
      <c r="T989" s="149"/>
      <c r="U989" s="149"/>
      <c r="V989" s="149"/>
      <c r="W989" s="149"/>
      <c r="X989" s="149"/>
      <c r="Y989" s="149"/>
      <c r="Z989" s="149"/>
    </row>
    <row r="990" spans="1:26" ht="15.75" customHeight="1" x14ac:dyDescent="0.25">
      <c r="A990" s="149"/>
      <c r="B990" s="149"/>
      <c r="C990" s="149"/>
      <c r="D990" s="149"/>
      <c r="E990" s="149"/>
      <c r="F990" s="149"/>
      <c r="G990" s="149"/>
      <c r="H990" s="149"/>
      <c r="I990" s="149"/>
      <c r="J990" s="149"/>
      <c r="K990" s="149"/>
      <c r="L990" s="149"/>
      <c r="M990" s="149"/>
      <c r="N990" s="149"/>
      <c r="O990" s="149"/>
      <c r="P990" s="149"/>
      <c r="Q990" s="149"/>
      <c r="R990" s="149"/>
      <c r="S990" s="149"/>
      <c r="T990" s="149"/>
      <c r="U990" s="149"/>
      <c r="V990" s="149"/>
      <c r="W990" s="149"/>
      <c r="X990" s="149"/>
      <c r="Y990" s="149"/>
      <c r="Z990" s="149"/>
    </row>
    <row r="991" spans="1:26" ht="15.75" customHeight="1" x14ac:dyDescent="0.25">
      <c r="A991" s="149"/>
      <c r="B991" s="149"/>
      <c r="C991" s="149"/>
      <c r="D991" s="149"/>
      <c r="E991" s="149"/>
      <c r="F991" s="149"/>
      <c r="G991" s="149"/>
      <c r="H991" s="149"/>
      <c r="I991" s="149"/>
      <c r="J991" s="149"/>
      <c r="K991" s="149"/>
      <c r="L991" s="149"/>
      <c r="M991" s="149"/>
      <c r="N991" s="149"/>
      <c r="O991" s="149"/>
      <c r="P991" s="149"/>
      <c r="Q991" s="149"/>
      <c r="R991" s="149"/>
      <c r="S991" s="149"/>
      <c r="T991" s="149"/>
      <c r="U991" s="149"/>
      <c r="V991" s="149"/>
      <c r="W991" s="149"/>
      <c r="X991" s="149"/>
      <c r="Y991" s="149"/>
      <c r="Z991" s="149"/>
    </row>
    <row r="992" spans="1:26" ht="15.75" customHeight="1" x14ac:dyDescent="0.25">
      <c r="A992" s="149"/>
      <c r="B992" s="149"/>
      <c r="C992" s="149"/>
      <c r="D992" s="149"/>
      <c r="E992" s="149"/>
      <c r="F992" s="149"/>
      <c r="G992" s="149"/>
      <c r="H992" s="149"/>
      <c r="I992" s="149"/>
      <c r="J992" s="149"/>
      <c r="K992" s="149"/>
      <c r="L992" s="149"/>
      <c r="M992" s="149"/>
      <c r="N992" s="149"/>
      <c r="O992" s="149"/>
      <c r="P992" s="149"/>
      <c r="Q992" s="149"/>
      <c r="R992" s="149"/>
      <c r="S992" s="149"/>
      <c r="T992" s="149"/>
      <c r="U992" s="149"/>
      <c r="V992" s="149"/>
      <c r="W992" s="149"/>
      <c r="X992" s="149"/>
      <c r="Y992" s="149"/>
      <c r="Z992" s="149"/>
    </row>
    <row r="993" spans="1:26" ht="15.75" customHeight="1" x14ac:dyDescent="0.25">
      <c r="A993" s="149"/>
      <c r="B993" s="149"/>
      <c r="C993" s="149"/>
      <c r="D993" s="149"/>
      <c r="E993" s="149"/>
      <c r="F993" s="149"/>
      <c r="G993" s="149"/>
      <c r="H993" s="149"/>
      <c r="I993" s="149"/>
      <c r="J993" s="149"/>
      <c r="K993" s="149"/>
      <c r="L993" s="149"/>
      <c r="M993" s="149"/>
      <c r="N993" s="149"/>
      <c r="O993" s="149"/>
      <c r="P993" s="149"/>
      <c r="Q993" s="149"/>
      <c r="R993" s="149"/>
      <c r="S993" s="149"/>
      <c r="T993" s="149"/>
      <c r="U993" s="149"/>
      <c r="V993" s="149"/>
      <c r="W993" s="149"/>
      <c r="X993" s="149"/>
      <c r="Y993" s="149"/>
      <c r="Z993" s="149"/>
    </row>
    <row r="994" spans="1:26" ht="15.75" customHeight="1" x14ac:dyDescent="0.25">
      <c r="A994" s="149"/>
      <c r="B994" s="149"/>
      <c r="C994" s="149"/>
      <c r="D994" s="149"/>
      <c r="E994" s="149"/>
      <c r="F994" s="149"/>
      <c r="G994" s="149"/>
      <c r="H994" s="149"/>
      <c r="I994" s="149"/>
      <c r="J994" s="149"/>
      <c r="K994" s="149"/>
      <c r="L994" s="149"/>
      <c r="M994" s="149"/>
      <c r="N994" s="149"/>
      <c r="O994" s="149"/>
      <c r="P994" s="149"/>
      <c r="Q994" s="149"/>
      <c r="R994" s="149"/>
      <c r="S994" s="149"/>
      <c r="T994" s="149"/>
      <c r="U994" s="149"/>
      <c r="V994" s="149"/>
      <c r="W994" s="149"/>
      <c r="X994" s="149"/>
      <c r="Y994" s="149"/>
      <c r="Z994" s="149"/>
    </row>
    <row r="995" spans="1:26" ht="15.75" customHeight="1" x14ac:dyDescent="0.25">
      <c r="A995" s="149"/>
      <c r="B995" s="149"/>
      <c r="C995" s="149"/>
      <c r="D995" s="149"/>
      <c r="E995" s="149"/>
      <c r="F995" s="149"/>
      <c r="G995" s="149"/>
      <c r="H995" s="149"/>
      <c r="I995" s="149"/>
      <c r="J995" s="149"/>
      <c r="K995" s="149"/>
      <c r="L995" s="149"/>
      <c r="M995" s="149"/>
      <c r="N995" s="149"/>
      <c r="O995" s="149"/>
      <c r="P995" s="149"/>
      <c r="Q995" s="149"/>
      <c r="R995" s="149"/>
      <c r="S995" s="149"/>
      <c r="T995" s="149"/>
      <c r="U995" s="149"/>
      <c r="V995" s="149"/>
      <c r="W995" s="149"/>
      <c r="X995" s="149"/>
      <c r="Y995" s="149"/>
      <c r="Z995" s="149"/>
    </row>
    <row r="996" spans="1:26" ht="15.75" customHeight="1" x14ac:dyDescent="0.25">
      <c r="A996" s="149"/>
      <c r="B996" s="149"/>
      <c r="C996" s="149"/>
      <c r="D996" s="149"/>
      <c r="E996" s="149"/>
      <c r="F996" s="149"/>
      <c r="G996" s="149"/>
      <c r="H996" s="149"/>
      <c r="I996" s="149"/>
      <c r="J996" s="149"/>
      <c r="K996" s="149"/>
      <c r="L996" s="149"/>
      <c r="M996" s="149"/>
      <c r="N996" s="149"/>
      <c r="O996" s="149"/>
      <c r="P996" s="149"/>
      <c r="Q996" s="149"/>
      <c r="R996" s="149"/>
      <c r="S996" s="149"/>
      <c r="T996" s="149"/>
      <c r="U996" s="149"/>
      <c r="V996" s="149"/>
      <c r="W996" s="149"/>
      <c r="X996" s="149"/>
      <c r="Y996" s="149"/>
      <c r="Z996" s="149"/>
    </row>
    <row r="997" spans="1:26" ht="15.75" customHeight="1" x14ac:dyDescent="0.25">
      <c r="A997" s="149"/>
      <c r="B997" s="149"/>
      <c r="C997" s="149"/>
      <c r="D997" s="149"/>
      <c r="E997" s="149"/>
      <c r="F997" s="149"/>
      <c r="G997" s="149"/>
      <c r="H997" s="149"/>
      <c r="I997" s="149"/>
      <c r="J997" s="149"/>
      <c r="K997" s="149"/>
      <c r="L997" s="149"/>
      <c r="M997" s="149"/>
      <c r="N997" s="149"/>
      <c r="O997" s="149"/>
      <c r="P997" s="149"/>
      <c r="Q997" s="149"/>
      <c r="R997" s="149"/>
      <c r="S997" s="149"/>
      <c r="T997" s="149"/>
      <c r="U997" s="149"/>
      <c r="V997" s="149"/>
      <c r="W997" s="149"/>
      <c r="X997" s="149"/>
      <c r="Y997" s="149"/>
      <c r="Z997" s="149"/>
    </row>
    <row r="998" spans="1:26" ht="15.75" customHeight="1" x14ac:dyDescent="0.25">
      <c r="A998" s="149"/>
      <c r="B998" s="149"/>
      <c r="C998" s="149"/>
      <c r="D998" s="149"/>
      <c r="E998" s="149"/>
      <c r="F998" s="149"/>
      <c r="G998" s="149"/>
      <c r="H998" s="149"/>
      <c r="I998" s="149"/>
      <c r="J998" s="149"/>
      <c r="K998" s="149"/>
      <c r="L998" s="149"/>
      <c r="M998" s="149"/>
      <c r="N998" s="149"/>
      <c r="O998" s="149"/>
      <c r="P998" s="149"/>
      <c r="Q998" s="149"/>
      <c r="R998" s="149"/>
      <c r="S998" s="149"/>
      <c r="T998" s="149"/>
      <c r="U998" s="149"/>
      <c r="V998" s="149"/>
      <c r="W998" s="149"/>
      <c r="X998" s="149"/>
      <c r="Y998" s="149"/>
      <c r="Z998" s="149"/>
    </row>
    <row r="999" spans="1:26" ht="15.75" customHeight="1" x14ac:dyDescent="0.25">
      <c r="A999" s="149"/>
      <c r="B999" s="149"/>
      <c r="C999" s="149"/>
      <c r="D999" s="149"/>
      <c r="E999" s="149"/>
      <c r="F999" s="149"/>
      <c r="G999" s="149"/>
      <c r="H999" s="149"/>
      <c r="I999" s="149"/>
      <c r="J999" s="149"/>
      <c r="K999" s="149"/>
      <c r="L999" s="149"/>
      <c r="M999" s="149"/>
      <c r="N999" s="149"/>
      <c r="O999" s="149"/>
      <c r="P999" s="149"/>
      <c r="Q999" s="149"/>
      <c r="R999" s="149"/>
      <c r="S999" s="149"/>
      <c r="T999" s="149"/>
      <c r="U999" s="149"/>
      <c r="V999" s="149"/>
      <c r="W999" s="149"/>
      <c r="X999" s="149"/>
      <c r="Y999" s="149"/>
      <c r="Z999" s="149"/>
    </row>
    <row r="1000" spans="1:26" ht="15.75" customHeight="1" x14ac:dyDescent="0.25">
      <c r="A1000" s="149"/>
      <c r="B1000" s="149"/>
      <c r="C1000" s="149"/>
      <c r="D1000" s="149"/>
      <c r="E1000" s="149"/>
      <c r="F1000" s="149"/>
      <c r="G1000" s="149"/>
      <c r="H1000" s="149"/>
      <c r="I1000" s="149"/>
      <c r="J1000" s="149"/>
      <c r="K1000" s="149"/>
      <c r="L1000" s="149"/>
      <c r="M1000" s="149"/>
      <c r="N1000" s="149"/>
      <c r="O1000" s="149"/>
      <c r="P1000" s="149"/>
      <c r="Q1000" s="149"/>
      <c r="R1000" s="149"/>
      <c r="S1000" s="149"/>
      <c r="T1000" s="149"/>
      <c r="U1000" s="149"/>
      <c r="V1000" s="149"/>
      <c r="W1000" s="149"/>
      <c r="X1000" s="149"/>
      <c r="Y1000" s="149"/>
      <c r="Z1000" s="149"/>
    </row>
    <row r="1001" spans="1:26" ht="15.75" customHeight="1" x14ac:dyDescent="0.25">
      <c r="A1001" s="149"/>
      <c r="B1001" s="149"/>
      <c r="C1001" s="149"/>
      <c r="D1001" s="149"/>
      <c r="E1001" s="149"/>
      <c r="F1001" s="149"/>
      <c r="G1001" s="149"/>
      <c r="H1001" s="149"/>
      <c r="I1001" s="149"/>
      <c r="J1001" s="149"/>
      <c r="K1001" s="149"/>
      <c r="L1001" s="149"/>
      <c r="M1001" s="149"/>
      <c r="N1001" s="149"/>
      <c r="O1001" s="149"/>
      <c r="P1001" s="149"/>
      <c r="Q1001" s="149"/>
      <c r="R1001" s="149"/>
      <c r="S1001" s="149"/>
      <c r="T1001" s="149"/>
      <c r="U1001" s="149"/>
      <c r="V1001" s="149"/>
      <c r="W1001" s="149"/>
      <c r="X1001" s="149"/>
      <c r="Y1001" s="149"/>
      <c r="Z1001" s="149"/>
    </row>
    <row r="1002" spans="1:26" ht="15.75" customHeight="1" x14ac:dyDescent="0.25">
      <c r="A1002" s="149"/>
      <c r="B1002" s="149"/>
      <c r="C1002" s="149"/>
      <c r="D1002" s="149"/>
      <c r="E1002" s="149"/>
      <c r="F1002" s="149"/>
      <c r="G1002" s="149"/>
      <c r="H1002" s="149"/>
      <c r="I1002" s="149"/>
      <c r="J1002" s="149"/>
      <c r="K1002" s="149"/>
      <c r="L1002" s="149"/>
      <c r="M1002" s="149"/>
      <c r="N1002" s="149"/>
      <c r="O1002" s="149"/>
      <c r="P1002" s="149"/>
      <c r="Q1002" s="149"/>
      <c r="R1002" s="149"/>
      <c r="S1002" s="149"/>
      <c r="T1002" s="149"/>
      <c r="U1002" s="149"/>
      <c r="V1002" s="149"/>
      <c r="W1002" s="149"/>
      <c r="X1002" s="149"/>
      <c r="Y1002" s="149"/>
      <c r="Z1002" s="149"/>
    </row>
    <row r="1003" spans="1:26" ht="15.75" customHeight="1" x14ac:dyDescent="0.25">
      <c r="A1003" s="149"/>
      <c r="B1003" s="149"/>
      <c r="C1003" s="149"/>
      <c r="D1003" s="149"/>
      <c r="E1003" s="149"/>
      <c r="F1003" s="149"/>
      <c r="G1003" s="149"/>
      <c r="H1003" s="149"/>
      <c r="I1003" s="149"/>
      <c r="J1003" s="149"/>
      <c r="K1003" s="149"/>
      <c r="L1003" s="149"/>
      <c r="M1003" s="149"/>
      <c r="N1003" s="149"/>
      <c r="O1003" s="149"/>
      <c r="P1003" s="149"/>
      <c r="Q1003" s="149"/>
      <c r="R1003" s="149"/>
      <c r="S1003" s="149"/>
      <c r="T1003" s="149"/>
      <c r="U1003" s="149"/>
      <c r="V1003" s="149"/>
      <c r="W1003" s="149"/>
      <c r="X1003" s="149"/>
      <c r="Y1003" s="149"/>
      <c r="Z1003" s="149"/>
    </row>
    <row r="1004" spans="1:26" ht="15.75" customHeight="1" x14ac:dyDescent="0.25">
      <c r="A1004" s="149"/>
      <c r="B1004" s="149"/>
      <c r="C1004" s="149"/>
      <c r="D1004" s="149"/>
      <c r="E1004" s="149"/>
      <c r="F1004" s="149"/>
      <c r="G1004" s="149"/>
      <c r="H1004" s="149"/>
      <c r="I1004" s="149"/>
      <c r="J1004" s="149"/>
      <c r="K1004" s="149"/>
      <c r="L1004" s="149"/>
      <c r="M1004" s="149"/>
      <c r="N1004" s="149"/>
      <c r="O1004" s="149"/>
      <c r="P1004" s="149"/>
      <c r="Q1004" s="149"/>
      <c r="R1004" s="149"/>
      <c r="S1004" s="149"/>
      <c r="T1004" s="149"/>
      <c r="U1004" s="149"/>
      <c r="V1004" s="149"/>
      <c r="W1004" s="149"/>
      <c r="X1004" s="149"/>
      <c r="Y1004" s="149"/>
      <c r="Z1004" s="149"/>
    </row>
    <row r="1005" spans="1:26" ht="15.75" customHeight="1" x14ac:dyDescent="0.25">
      <c r="A1005" s="149"/>
      <c r="B1005" s="149"/>
      <c r="C1005" s="149"/>
      <c r="D1005" s="149"/>
      <c r="E1005" s="149"/>
      <c r="F1005" s="149"/>
      <c r="G1005" s="149"/>
      <c r="H1005" s="149"/>
      <c r="I1005" s="149"/>
      <c r="J1005" s="149"/>
      <c r="K1005" s="149"/>
      <c r="L1005" s="149"/>
      <c r="M1005" s="149"/>
      <c r="N1005" s="149"/>
      <c r="O1005" s="149"/>
      <c r="P1005" s="149"/>
      <c r="Q1005" s="149"/>
      <c r="R1005" s="149"/>
      <c r="S1005" s="149"/>
      <c r="T1005" s="149"/>
      <c r="U1005" s="149"/>
      <c r="V1005" s="149"/>
      <c r="W1005" s="149"/>
      <c r="X1005" s="149"/>
      <c r="Y1005" s="149"/>
      <c r="Z1005" s="149"/>
    </row>
    <row r="1006" spans="1:26" ht="15.75" customHeight="1" x14ac:dyDescent="0.25">
      <c r="A1006" s="149"/>
      <c r="B1006" s="149"/>
      <c r="C1006" s="149"/>
      <c r="D1006" s="149"/>
      <c r="E1006" s="149"/>
      <c r="F1006" s="149"/>
      <c r="G1006" s="149"/>
      <c r="H1006" s="149"/>
      <c r="I1006" s="149"/>
      <c r="J1006" s="149"/>
      <c r="K1006" s="149"/>
      <c r="L1006" s="149"/>
      <c r="M1006" s="149"/>
      <c r="N1006" s="149"/>
      <c r="O1006" s="149"/>
      <c r="P1006" s="149"/>
      <c r="Q1006" s="149"/>
      <c r="R1006" s="149"/>
      <c r="S1006" s="149"/>
      <c r="T1006" s="149"/>
      <c r="U1006" s="149"/>
      <c r="V1006" s="149"/>
      <c r="W1006" s="149"/>
      <c r="X1006" s="149"/>
      <c r="Y1006" s="149"/>
      <c r="Z1006" s="149"/>
    </row>
    <row r="1007" spans="1:26" ht="15.75" customHeight="1" x14ac:dyDescent="0.25">
      <c r="A1007" s="149"/>
      <c r="B1007" s="149"/>
      <c r="C1007" s="149"/>
      <c r="D1007" s="149"/>
      <c r="E1007" s="149"/>
      <c r="F1007" s="149"/>
      <c r="G1007" s="149"/>
      <c r="H1007" s="149"/>
      <c r="I1007" s="149"/>
      <c r="J1007" s="149"/>
      <c r="K1007" s="149"/>
      <c r="L1007" s="149"/>
      <c r="M1007" s="149"/>
      <c r="N1007" s="149"/>
      <c r="O1007" s="149"/>
      <c r="P1007" s="149"/>
      <c r="Q1007" s="149"/>
      <c r="R1007" s="149"/>
      <c r="S1007" s="149"/>
      <c r="T1007" s="149"/>
      <c r="U1007" s="149"/>
      <c r="V1007" s="149"/>
      <c r="W1007" s="149"/>
      <c r="X1007" s="149"/>
      <c r="Y1007" s="149"/>
      <c r="Z1007" s="149"/>
    </row>
  </sheetData>
  <mergeCells count="16">
    <mergeCell ref="B2:F6"/>
    <mergeCell ref="B12:C13"/>
    <mergeCell ref="B48:F51"/>
    <mergeCell ref="B52:F52"/>
    <mergeCell ref="B53:F53"/>
    <mergeCell ref="B22:B23"/>
    <mergeCell ref="C22:C23"/>
    <mergeCell ref="D22:D23"/>
    <mergeCell ref="E22:E23"/>
    <mergeCell ref="F22:F23"/>
    <mergeCell ref="B36:D36"/>
    <mergeCell ref="C40:F40"/>
    <mergeCell ref="C41:F41"/>
    <mergeCell ref="C42:F42"/>
    <mergeCell ref="C45:F45"/>
    <mergeCell ref="C46:F46"/>
  </mergeCells>
  <printOptions horizontalCentered="1"/>
  <pageMargins left="0.70866141732283472" right="0.70866141732283472" top="0.74803149606299213" bottom="0.74803149606299213" header="0" footer="0"/>
  <pageSetup paperSize="9" scale="47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FBFBF"/>
    <pageSetUpPr fitToPage="1"/>
  </sheetPr>
  <dimension ref="A1:AA1007"/>
  <sheetViews>
    <sheetView showGridLines="0" topLeftCell="A40" zoomScale="70" zoomScaleNormal="70" workbookViewId="0">
      <selection activeCell="C22" sqref="C22:D22"/>
    </sheetView>
  </sheetViews>
  <sheetFormatPr defaultColWidth="12.59765625" defaultRowHeight="15" customHeight="1" x14ac:dyDescent="0.25"/>
  <cols>
    <col min="1" max="1" width="3.19921875" customWidth="1"/>
    <col min="2" max="2" width="18.59765625" customWidth="1"/>
    <col min="3" max="3" width="97.59765625" customWidth="1"/>
    <col min="4" max="4" width="20.3984375" customWidth="1"/>
    <col min="5" max="6" width="36.59765625" customWidth="1"/>
    <col min="7" max="7" width="3.19921875" customWidth="1"/>
    <col min="8" max="27" width="13" customWidth="1"/>
  </cols>
  <sheetData>
    <row r="1" spans="1:27" ht="20.25" customHeight="1" x14ac:dyDescent="0.25">
      <c r="A1" s="4"/>
      <c r="B1" s="4"/>
      <c r="C1" s="4"/>
      <c r="D1" s="4"/>
      <c r="E1" s="4"/>
      <c r="F1" s="4"/>
      <c r="G1" s="4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</row>
    <row r="2" spans="1:27" ht="18.75" customHeight="1" x14ac:dyDescent="0.25">
      <c r="A2" s="46"/>
      <c r="B2" s="328" t="s">
        <v>622</v>
      </c>
      <c r="C2" s="329"/>
      <c r="D2" s="329"/>
      <c r="E2" s="329"/>
      <c r="F2" s="330"/>
      <c r="G2" s="46"/>
      <c r="H2" s="47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4"/>
      <c r="W2" s="44"/>
      <c r="X2" s="44"/>
      <c r="Y2" s="44"/>
      <c r="Z2" s="1"/>
    </row>
    <row r="3" spans="1:27" ht="18.75" customHeight="1" x14ac:dyDescent="0.25">
      <c r="A3" s="46"/>
      <c r="B3" s="331"/>
      <c r="C3" s="332"/>
      <c r="D3" s="332"/>
      <c r="E3" s="332"/>
      <c r="F3" s="333"/>
      <c r="G3" s="46"/>
      <c r="H3" s="47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4"/>
      <c r="W3" s="44"/>
      <c r="X3" s="44"/>
      <c r="Y3" s="44"/>
      <c r="Z3" s="1"/>
    </row>
    <row r="4" spans="1:27" ht="18.75" customHeight="1" x14ac:dyDescent="0.25">
      <c r="A4" s="46"/>
      <c r="B4" s="331"/>
      <c r="C4" s="332"/>
      <c r="D4" s="332"/>
      <c r="E4" s="332"/>
      <c r="F4" s="333"/>
      <c r="G4" s="46"/>
      <c r="H4" s="47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4"/>
      <c r="W4" s="44"/>
      <c r="X4" s="44"/>
      <c r="Y4" s="44"/>
      <c r="Z4" s="1"/>
    </row>
    <row r="5" spans="1:27" ht="18.75" customHeight="1" x14ac:dyDescent="0.25">
      <c r="A5" s="46"/>
      <c r="B5" s="331"/>
      <c r="C5" s="332"/>
      <c r="D5" s="332"/>
      <c r="E5" s="332"/>
      <c r="F5" s="333"/>
      <c r="G5" s="46"/>
      <c r="H5" s="47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4"/>
      <c r="W5" s="44"/>
      <c r="X5" s="44"/>
      <c r="Y5" s="44"/>
      <c r="Z5" s="1"/>
    </row>
    <row r="6" spans="1:27" ht="18.75" customHeight="1" x14ac:dyDescent="0.25">
      <c r="A6" s="46"/>
      <c r="B6" s="334"/>
      <c r="C6" s="335"/>
      <c r="D6" s="335"/>
      <c r="E6" s="335"/>
      <c r="F6" s="336"/>
      <c r="G6" s="46"/>
      <c r="H6" s="47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4"/>
      <c r="W6" s="44"/>
      <c r="X6" s="44"/>
      <c r="Y6" s="44"/>
      <c r="Z6" s="1"/>
    </row>
    <row r="7" spans="1:27" ht="15" customHeight="1" x14ac:dyDescent="0.25">
      <c r="A7" s="48"/>
      <c r="B7" s="4"/>
      <c r="C7" s="4"/>
      <c r="D7" s="4"/>
      <c r="E7" s="4"/>
      <c r="F7" s="4"/>
      <c r="G7" s="4"/>
      <c r="H7" s="48"/>
      <c r="I7" s="49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1"/>
    </row>
    <row r="8" spans="1:27" ht="15" customHeight="1" x14ac:dyDescent="0.25">
      <c r="A8" s="48"/>
      <c r="B8" s="50" t="str">
        <f>'DADOS GERAIS'!B8</f>
        <v>Secretaria de Atenção Especializada à Saúde</v>
      </c>
      <c r="C8" s="51"/>
      <c r="D8" s="52" t="s">
        <v>20</v>
      </c>
      <c r="E8" s="52" t="s">
        <v>21</v>
      </c>
      <c r="F8" s="53" t="str">
        <f>'DADOS GERAIS'!$B$22</f>
        <v>Data:</v>
      </c>
      <c r="G8" s="48"/>
      <c r="H8" s="49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1"/>
    </row>
    <row r="9" spans="1:27" ht="15" customHeight="1" x14ac:dyDescent="0.25">
      <c r="A9" s="48"/>
      <c r="B9" s="54" t="str">
        <f>'DADOS GERAIS'!B9</f>
        <v>Policlínica - Área Construída: 3.213,00 m²</v>
      </c>
      <c r="C9" s="55"/>
      <c r="D9" s="56">
        <f>'DADOS GERAIS'!C19</f>
        <v>0.24875249461101823</v>
      </c>
      <c r="E9" s="56">
        <f>'ENCARGOS SOCIAIS'!F56</f>
        <v>0.47570000000000001</v>
      </c>
      <c r="F9" s="57" t="str">
        <f>'DADOS GERAIS'!$C$22</f>
        <v>09/05/2024</v>
      </c>
      <c r="G9" s="48"/>
      <c r="H9" s="49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1"/>
    </row>
    <row r="10" spans="1:27" ht="15" customHeight="1" x14ac:dyDescent="0.25">
      <c r="A10" s="48"/>
      <c r="B10" s="58"/>
      <c r="C10" s="55"/>
      <c r="D10" s="1"/>
      <c r="E10" s="1"/>
      <c r="F10" s="59"/>
      <c r="G10" s="48"/>
      <c r="H10" s="49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1"/>
    </row>
    <row r="11" spans="1:27" ht="15" customHeight="1" x14ac:dyDescent="0.25">
      <c r="A11" s="48"/>
      <c r="B11" s="60" t="str">
        <f>'DADOS GERAIS'!B11</f>
        <v>Bancos:</v>
      </c>
      <c r="C11" s="55"/>
      <c r="D11" s="61" t="s">
        <v>22</v>
      </c>
      <c r="E11" s="61" t="s">
        <v>23</v>
      </c>
      <c r="F11" s="59" t="str">
        <f>'DADOS GERAIS'!$B$23</f>
        <v>Revisão:</v>
      </c>
      <c r="G11" s="48"/>
      <c r="H11" s="49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1"/>
    </row>
    <row r="12" spans="1:27" ht="15" customHeight="1" x14ac:dyDescent="0.25">
      <c r="A12" s="48"/>
      <c r="B12" s="281" t="str">
        <f>'DADOS GERAIS'!B12</f>
        <v>SINAPI (11/2023) - CPOS/CDHU (11/2023) - SBC (11/2023) - ORSE (11/2023) - SEINFRA (028) - IOPES (11/2023) - CAERN (11/2023) - EMOP (11/2023)</v>
      </c>
      <c r="C12" s="282"/>
      <c r="D12" s="56">
        <f>'DADOS GERAIS'!C20</f>
        <v>0.16857590555253088</v>
      </c>
      <c r="E12" s="56">
        <f>'ENCARGOS SOCIAIS'!E56</f>
        <v>0.85555179999999986</v>
      </c>
      <c r="F12" s="62" t="str">
        <f>'DADOS GERAIS'!$C$23</f>
        <v>03</v>
      </c>
      <c r="G12" s="48"/>
      <c r="H12" s="49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1"/>
    </row>
    <row r="13" spans="1:27" ht="15" customHeight="1" x14ac:dyDescent="0.25">
      <c r="A13" s="48"/>
      <c r="B13" s="283"/>
      <c r="C13" s="284"/>
      <c r="D13" s="63"/>
      <c r="E13" s="63"/>
      <c r="F13" s="64"/>
      <c r="G13" s="48"/>
      <c r="H13" s="49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1"/>
    </row>
    <row r="14" spans="1:27" ht="15" customHeight="1" x14ac:dyDescent="0.25">
      <c r="A14" s="48"/>
      <c r="B14" s="4"/>
      <c r="C14" s="4"/>
      <c r="D14" s="4"/>
      <c r="E14" s="4"/>
      <c r="F14" s="4"/>
      <c r="G14" s="4"/>
      <c r="H14" s="48"/>
      <c r="I14" s="49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1"/>
    </row>
    <row r="15" spans="1:27" ht="20.25" customHeight="1" x14ac:dyDescent="0.25">
      <c r="A15" s="4"/>
      <c r="B15" s="277" t="s">
        <v>623</v>
      </c>
      <c r="C15" s="272"/>
      <c r="D15" s="325"/>
      <c r="E15" s="272"/>
      <c r="F15" s="272"/>
      <c r="G15" s="4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49"/>
      <c r="V15" s="149"/>
      <c r="W15" s="149"/>
      <c r="X15" s="149"/>
      <c r="Y15" s="149"/>
      <c r="Z15" s="149"/>
      <c r="AA15" s="149"/>
    </row>
    <row r="16" spans="1:27" ht="20.25" customHeight="1" x14ac:dyDescent="0.25">
      <c r="A16" s="4"/>
      <c r="B16" s="341" t="s">
        <v>624</v>
      </c>
      <c r="C16" s="337" t="s">
        <v>25</v>
      </c>
      <c r="D16" s="338"/>
      <c r="E16" s="342" t="s">
        <v>625</v>
      </c>
      <c r="F16" s="273"/>
      <c r="G16" s="4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49"/>
      <c r="V16" s="149"/>
      <c r="W16" s="149"/>
      <c r="X16" s="149"/>
      <c r="Y16" s="149"/>
      <c r="Z16" s="149"/>
      <c r="AA16" s="149"/>
    </row>
    <row r="17" spans="1:27" ht="20.25" customHeight="1" x14ac:dyDescent="0.25">
      <c r="A17" s="4"/>
      <c r="B17" s="319"/>
      <c r="C17" s="339"/>
      <c r="D17" s="340"/>
      <c r="E17" s="173" t="s">
        <v>626</v>
      </c>
      <c r="F17" s="173" t="s">
        <v>627</v>
      </c>
      <c r="G17" s="4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T17" s="149"/>
      <c r="U17" s="149"/>
      <c r="V17" s="149"/>
      <c r="W17" s="149"/>
      <c r="X17" s="149"/>
      <c r="Y17" s="149"/>
      <c r="Z17" s="149"/>
      <c r="AA17" s="149"/>
    </row>
    <row r="18" spans="1:27" ht="6" customHeight="1" x14ac:dyDescent="0.25">
      <c r="A18" s="4"/>
      <c r="B18" s="65"/>
      <c r="C18" s="65"/>
      <c r="D18" s="65"/>
      <c r="E18" s="65"/>
      <c r="F18" s="65"/>
      <c r="G18" s="4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T18" s="149"/>
      <c r="U18" s="149"/>
      <c r="V18" s="149"/>
      <c r="W18" s="149"/>
      <c r="X18" s="149"/>
      <c r="Y18" s="149"/>
      <c r="Z18" s="149"/>
      <c r="AA18" s="149"/>
    </row>
    <row r="19" spans="1:27" ht="20.25" customHeight="1" x14ac:dyDescent="0.25">
      <c r="A19" s="4"/>
      <c r="B19" s="277" t="s">
        <v>628</v>
      </c>
      <c r="C19" s="272"/>
      <c r="D19" s="325"/>
      <c r="E19" s="272"/>
      <c r="F19" s="272"/>
      <c r="G19" s="4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</row>
    <row r="20" spans="1:27" ht="20.25" customHeight="1" x14ac:dyDescent="0.25">
      <c r="A20" s="4"/>
      <c r="B20" s="174" t="s">
        <v>629</v>
      </c>
      <c r="C20" s="326" t="s">
        <v>630</v>
      </c>
      <c r="D20" s="327"/>
      <c r="E20" s="175">
        <v>0</v>
      </c>
      <c r="F20" s="175">
        <v>0</v>
      </c>
      <c r="G20" s="4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</row>
    <row r="21" spans="1:27" ht="20.25" customHeight="1" x14ac:dyDescent="0.25">
      <c r="A21" s="4"/>
      <c r="B21" s="161" t="s">
        <v>631</v>
      </c>
      <c r="C21" s="323" t="s">
        <v>632</v>
      </c>
      <c r="D21" s="324"/>
      <c r="E21" s="163">
        <v>1.4999999999999999E-2</v>
      </c>
      <c r="F21" s="163">
        <v>1.4999999999999999E-2</v>
      </c>
      <c r="G21" s="4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49"/>
      <c r="V21" s="149"/>
      <c r="W21" s="149"/>
      <c r="X21" s="149"/>
      <c r="Y21" s="149"/>
      <c r="Z21" s="149"/>
      <c r="AA21" s="149"/>
    </row>
    <row r="22" spans="1:27" ht="20.25" customHeight="1" x14ac:dyDescent="0.25">
      <c r="A22" s="4"/>
      <c r="B22" s="161" t="s">
        <v>633</v>
      </c>
      <c r="C22" s="323" t="s">
        <v>634</v>
      </c>
      <c r="D22" s="324"/>
      <c r="E22" s="163">
        <v>0.01</v>
      </c>
      <c r="F22" s="163">
        <v>0.01</v>
      </c>
      <c r="G22" s="4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49"/>
      <c r="Z22" s="149"/>
      <c r="AA22" s="149"/>
    </row>
    <row r="23" spans="1:27" ht="20.25" customHeight="1" x14ac:dyDescent="0.25">
      <c r="A23" s="4"/>
      <c r="B23" s="161" t="s">
        <v>635</v>
      </c>
      <c r="C23" s="323" t="s">
        <v>636</v>
      </c>
      <c r="D23" s="324"/>
      <c r="E23" s="163">
        <v>2E-3</v>
      </c>
      <c r="F23" s="163">
        <v>2E-3</v>
      </c>
      <c r="G23" s="4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T23" s="149"/>
      <c r="U23" s="149"/>
      <c r="V23" s="149"/>
      <c r="W23" s="149"/>
      <c r="X23" s="149"/>
      <c r="Y23" s="149"/>
      <c r="Z23" s="149"/>
      <c r="AA23" s="149"/>
    </row>
    <row r="24" spans="1:27" ht="20.25" customHeight="1" x14ac:dyDescent="0.25">
      <c r="A24" s="4"/>
      <c r="B24" s="161" t="s">
        <v>637</v>
      </c>
      <c r="C24" s="323" t="s">
        <v>638</v>
      </c>
      <c r="D24" s="324"/>
      <c r="E24" s="163">
        <v>6.0000000000000001E-3</v>
      </c>
      <c r="F24" s="163">
        <v>6.0000000000000001E-3</v>
      </c>
      <c r="G24" s="4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</row>
    <row r="25" spans="1:27" ht="20.25" customHeight="1" x14ac:dyDescent="0.25">
      <c r="A25" s="4"/>
      <c r="B25" s="161" t="s">
        <v>639</v>
      </c>
      <c r="C25" s="323" t="s">
        <v>640</v>
      </c>
      <c r="D25" s="324"/>
      <c r="E25" s="163">
        <v>2.5000000000000001E-2</v>
      </c>
      <c r="F25" s="163">
        <v>2.5000000000000001E-2</v>
      </c>
      <c r="G25" s="4"/>
      <c r="H25" s="149"/>
      <c r="I25" s="149"/>
      <c r="J25" s="149"/>
      <c r="K25" s="149"/>
      <c r="L25" s="149"/>
      <c r="M25" s="149"/>
      <c r="N25" s="149"/>
      <c r="O25" s="149"/>
      <c r="P25" s="149"/>
      <c r="Q25" s="149"/>
      <c r="R25" s="149"/>
      <c r="S25" s="149"/>
      <c r="T25" s="149"/>
      <c r="U25" s="149"/>
      <c r="V25" s="149"/>
      <c r="W25" s="149"/>
      <c r="X25" s="149"/>
      <c r="Y25" s="149"/>
      <c r="Z25" s="149"/>
      <c r="AA25" s="149"/>
    </row>
    <row r="26" spans="1:27" ht="20.25" customHeight="1" x14ac:dyDescent="0.25">
      <c r="A26" s="4"/>
      <c r="B26" s="161" t="s">
        <v>641</v>
      </c>
      <c r="C26" s="323" t="s">
        <v>642</v>
      </c>
      <c r="D26" s="324"/>
      <c r="E26" s="163">
        <v>0.03</v>
      </c>
      <c r="F26" s="163">
        <v>0.03</v>
      </c>
      <c r="G26" s="4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</row>
    <row r="27" spans="1:27" ht="20.25" customHeight="1" x14ac:dyDescent="0.25">
      <c r="A27" s="4"/>
      <c r="B27" s="161" t="s">
        <v>643</v>
      </c>
      <c r="C27" s="323" t="s">
        <v>644</v>
      </c>
      <c r="D27" s="324"/>
      <c r="E27" s="163">
        <v>0.08</v>
      </c>
      <c r="F27" s="163">
        <v>0.08</v>
      </c>
      <c r="G27" s="4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  <c r="T27" s="149"/>
      <c r="U27" s="149"/>
      <c r="V27" s="149"/>
      <c r="W27" s="149"/>
      <c r="X27" s="149"/>
      <c r="Y27" s="149"/>
      <c r="Z27" s="149"/>
      <c r="AA27" s="149"/>
    </row>
    <row r="28" spans="1:27" ht="20.25" customHeight="1" x14ac:dyDescent="0.25">
      <c r="A28" s="4"/>
      <c r="B28" s="176" t="s">
        <v>645</v>
      </c>
      <c r="C28" s="323" t="s">
        <v>646</v>
      </c>
      <c r="D28" s="324"/>
      <c r="E28" s="177">
        <v>0.01</v>
      </c>
      <c r="F28" s="177">
        <v>0.01</v>
      </c>
      <c r="G28" s="4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Z28" s="149"/>
      <c r="AA28" s="149"/>
    </row>
    <row r="29" spans="1:27" ht="20.25" customHeight="1" x14ac:dyDescent="0.25">
      <c r="A29" s="4"/>
      <c r="B29" s="178" t="s">
        <v>647</v>
      </c>
      <c r="C29" s="346" t="s">
        <v>39</v>
      </c>
      <c r="D29" s="347"/>
      <c r="E29" s="179">
        <f t="shared" ref="E29:F29" si="0">SUBTOTAL(9,E20:E28)</f>
        <v>0.17799999999999999</v>
      </c>
      <c r="F29" s="179">
        <f t="shared" si="0"/>
        <v>0.17799999999999999</v>
      </c>
      <c r="G29" s="4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T29" s="149"/>
      <c r="U29" s="149"/>
      <c r="V29" s="149"/>
      <c r="W29" s="149"/>
      <c r="X29" s="149"/>
      <c r="Y29" s="149"/>
      <c r="Z29" s="149"/>
      <c r="AA29" s="149"/>
    </row>
    <row r="30" spans="1:27" ht="6" customHeight="1" x14ac:dyDescent="0.25">
      <c r="A30" s="4"/>
      <c r="B30" s="65"/>
      <c r="C30" s="65"/>
      <c r="D30" s="65"/>
      <c r="E30" s="166"/>
      <c r="F30" s="166"/>
      <c r="G30" s="4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</row>
    <row r="31" spans="1:27" ht="20.25" customHeight="1" x14ac:dyDescent="0.25">
      <c r="A31" s="4"/>
      <c r="B31" s="277" t="s">
        <v>648</v>
      </c>
      <c r="C31" s="272"/>
      <c r="D31" s="325"/>
      <c r="E31" s="272"/>
      <c r="F31" s="272"/>
      <c r="G31" s="4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T31" s="149"/>
      <c r="U31" s="149"/>
      <c r="V31" s="149"/>
      <c r="W31" s="149"/>
      <c r="X31" s="149"/>
      <c r="Y31" s="149"/>
      <c r="Z31" s="149"/>
      <c r="AA31" s="149"/>
    </row>
    <row r="32" spans="1:27" ht="20.25" customHeight="1" x14ac:dyDescent="0.25">
      <c r="A32" s="4"/>
      <c r="B32" s="174" t="s">
        <v>649</v>
      </c>
      <c r="C32" s="323" t="s">
        <v>650</v>
      </c>
      <c r="D32" s="324"/>
      <c r="E32" s="163">
        <v>0.17979999999999999</v>
      </c>
      <c r="F32" s="161" t="s">
        <v>651</v>
      </c>
      <c r="G32" s="4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T32" s="149"/>
      <c r="U32" s="149"/>
      <c r="V32" s="149"/>
      <c r="W32" s="149"/>
      <c r="X32" s="149"/>
      <c r="Y32" s="149"/>
      <c r="Z32" s="149"/>
      <c r="AA32" s="149"/>
    </row>
    <row r="33" spans="1:27" ht="20.25" customHeight="1" x14ac:dyDescent="0.25">
      <c r="A33" s="4"/>
      <c r="B33" s="161" t="s">
        <v>652</v>
      </c>
      <c r="C33" s="323" t="s">
        <v>653</v>
      </c>
      <c r="D33" s="324"/>
      <c r="E33" s="163">
        <v>4.6899999999999997E-2</v>
      </c>
      <c r="F33" s="161" t="s">
        <v>651</v>
      </c>
      <c r="G33" s="4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T33" s="149"/>
      <c r="U33" s="149"/>
      <c r="V33" s="149"/>
      <c r="W33" s="149"/>
      <c r="X33" s="149"/>
      <c r="Y33" s="149"/>
      <c r="Z33" s="149"/>
      <c r="AA33" s="149"/>
    </row>
    <row r="34" spans="1:27" ht="20.25" customHeight="1" x14ac:dyDescent="0.25">
      <c r="A34" s="4"/>
      <c r="B34" s="161" t="s">
        <v>654</v>
      </c>
      <c r="C34" s="323" t="s">
        <v>655</v>
      </c>
      <c r="D34" s="324"/>
      <c r="E34" s="163">
        <v>8.6999999999999994E-3</v>
      </c>
      <c r="F34" s="163">
        <v>6.6E-3</v>
      </c>
      <c r="G34" s="4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</row>
    <row r="35" spans="1:27" ht="20.25" customHeight="1" x14ac:dyDescent="0.25">
      <c r="A35" s="4"/>
      <c r="B35" s="161" t="s">
        <v>656</v>
      </c>
      <c r="C35" s="323" t="s">
        <v>657</v>
      </c>
      <c r="D35" s="324"/>
      <c r="E35" s="163">
        <v>0.1104</v>
      </c>
      <c r="F35" s="163">
        <v>8.3299999999999999E-2</v>
      </c>
      <c r="G35" s="4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</row>
    <row r="36" spans="1:27" ht="20.25" customHeight="1" x14ac:dyDescent="0.25">
      <c r="A36" s="4"/>
      <c r="B36" s="161" t="s">
        <v>658</v>
      </c>
      <c r="C36" s="323" t="s">
        <v>659</v>
      </c>
      <c r="D36" s="324"/>
      <c r="E36" s="163">
        <v>6.9999999999999999E-4</v>
      </c>
      <c r="F36" s="163">
        <v>5.0000000000000001E-4</v>
      </c>
      <c r="G36" s="4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49"/>
      <c r="X36" s="149"/>
      <c r="Y36" s="149"/>
      <c r="Z36" s="149"/>
      <c r="AA36" s="149"/>
    </row>
    <row r="37" spans="1:27" ht="20.25" customHeight="1" x14ac:dyDescent="0.25">
      <c r="A37" s="4"/>
      <c r="B37" s="161" t="s">
        <v>660</v>
      </c>
      <c r="C37" s="323" t="s">
        <v>661</v>
      </c>
      <c r="D37" s="324"/>
      <c r="E37" s="163">
        <v>7.4000000000000003E-3</v>
      </c>
      <c r="F37" s="163">
        <v>5.5999999999999999E-3</v>
      </c>
      <c r="G37" s="4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T37" s="149"/>
      <c r="U37" s="149"/>
      <c r="V37" s="149"/>
      <c r="W37" s="149"/>
      <c r="X37" s="149"/>
      <c r="Y37" s="149"/>
      <c r="Z37" s="149"/>
      <c r="AA37" s="149"/>
    </row>
    <row r="38" spans="1:27" ht="20.25" customHeight="1" x14ac:dyDescent="0.25">
      <c r="A38" s="4"/>
      <c r="B38" s="161" t="s">
        <v>662</v>
      </c>
      <c r="C38" s="323" t="s">
        <v>663</v>
      </c>
      <c r="D38" s="324"/>
      <c r="E38" s="163">
        <v>1.35E-2</v>
      </c>
      <c r="F38" s="161" t="s">
        <v>651</v>
      </c>
      <c r="G38" s="4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  <c r="T38" s="149"/>
      <c r="U38" s="149"/>
      <c r="V38" s="149"/>
      <c r="W38" s="149"/>
      <c r="X38" s="149"/>
      <c r="Y38" s="149"/>
      <c r="Z38" s="149"/>
      <c r="AA38" s="149"/>
    </row>
    <row r="39" spans="1:27" ht="20.25" customHeight="1" x14ac:dyDescent="0.25">
      <c r="A39" s="4"/>
      <c r="B39" s="161" t="s">
        <v>664</v>
      </c>
      <c r="C39" s="323" t="s">
        <v>665</v>
      </c>
      <c r="D39" s="324"/>
      <c r="E39" s="163">
        <v>1.1000000000000001E-3</v>
      </c>
      <c r="F39" s="163">
        <v>8.0000000000000004E-4</v>
      </c>
      <c r="G39" s="4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</row>
    <row r="40" spans="1:27" ht="20.25" customHeight="1" x14ac:dyDescent="0.25">
      <c r="A40" s="4"/>
      <c r="B40" s="161" t="s">
        <v>666</v>
      </c>
      <c r="C40" s="323" t="s">
        <v>667</v>
      </c>
      <c r="D40" s="324"/>
      <c r="E40" s="163">
        <v>0.11509999999999999</v>
      </c>
      <c r="F40" s="163">
        <v>8.6800000000000002E-2</v>
      </c>
      <c r="G40" s="4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149"/>
      <c r="AA40" s="149"/>
    </row>
    <row r="41" spans="1:27" ht="20.25" customHeight="1" x14ac:dyDescent="0.25">
      <c r="A41" s="4"/>
      <c r="B41" s="176" t="s">
        <v>668</v>
      </c>
      <c r="C41" s="323" t="s">
        <v>669</v>
      </c>
      <c r="D41" s="324"/>
      <c r="E41" s="177">
        <v>4.0000000000000002E-4</v>
      </c>
      <c r="F41" s="177">
        <v>2.9999999999999997E-4</v>
      </c>
      <c r="G41" s="4"/>
      <c r="H41" s="149"/>
      <c r="I41" s="149"/>
      <c r="J41" s="149"/>
      <c r="K41" s="149"/>
      <c r="L41" s="149"/>
      <c r="M41" s="149"/>
      <c r="N41" s="149"/>
      <c r="O41" s="149"/>
      <c r="P41" s="149"/>
      <c r="Q41" s="149"/>
      <c r="R41" s="149"/>
      <c r="S41" s="149"/>
      <c r="T41" s="149"/>
      <c r="U41" s="149"/>
      <c r="V41" s="149"/>
      <c r="W41" s="149"/>
      <c r="X41" s="149"/>
      <c r="Y41" s="149"/>
      <c r="Z41" s="149"/>
      <c r="AA41" s="149"/>
    </row>
    <row r="42" spans="1:27" ht="20.25" customHeight="1" x14ac:dyDescent="0.25">
      <c r="A42" s="4"/>
      <c r="B42" s="178" t="s">
        <v>670</v>
      </c>
      <c r="C42" s="346" t="s">
        <v>39</v>
      </c>
      <c r="D42" s="347"/>
      <c r="E42" s="179">
        <f t="shared" ref="E42:F42" si="1">SUBTOTAL(9,E32:E41)</f>
        <v>0.48399999999999999</v>
      </c>
      <c r="F42" s="179">
        <f t="shared" si="1"/>
        <v>0.18389999999999998</v>
      </c>
      <c r="G42" s="4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</row>
    <row r="43" spans="1:27" ht="6" customHeight="1" x14ac:dyDescent="0.25">
      <c r="A43" s="4"/>
      <c r="B43" s="65"/>
      <c r="C43" s="65"/>
      <c r="D43" s="65"/>
      <c r="E43" s="166"/>
      <c r="F43" s="166"/>
      <c r="G43" s="4"/>
      <c r="H43" s="149"/>
      <c r="I43" s="149"/>
      <c r="J43" s="149"/>
      <c r="K43" s="149"/>
      <c r="L43" s="149"/>
      <c r="M43" s="149"/>
      <c r="N43" s="149"/>
      <c r="O43" s="149"/>
      <c r="P43" s="149"/>
      <c r="Q43" s="149"/>
      <c r="R43" s="149"/>
      <c r="S43" s="149"/>
      <c r="T43" s="149"/>
      <c r="U43" s="149"/>
      <c r="V43" s="149"/>
      <c r="W43" s="149"/>
      <c r="X43" s="149"/>
      <c r="Y43" s="149"/>
      <c r="Z43" s="149"/>
      <c r="AA43" s="149"/>
    </row>
    <row r="44" spans="1:27" ht="20.25" customHeight="1" x14ac:dyDescent="0.25">
      <c r="A44" s="4"/>
      <c r="B44" s="277" t="s">
        <v>671</v>
      </c>
      <c r="C44" s="272"/>
      <c r="D44" s="325"/>
      <c r="E44" s="272"/>
      <c r="F44" s="272"/>
      <c r="G44" s="4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</row>
    <row r="45" spans="1:27" ht="20.25" customHeight="1" x14ac:dyDescent="0.25">
      <c r="A45" s="4"/>
      <c r="B45" s="174" t="s">
        <v>672</v>
      </c>
      <c r="C45" s="323" t="s">
        <v>673</v>
      </c>
      <c r="D45" s="324"/>
      <c r="E45" s="163">
        <v>4.82E-2</v>
      </c>
      <c r="F45" s="163">
        <v>3.6400000000000002E-2</v>
      </c>
      <c r="G45" s="4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</row>
    <row r="46" spans="1:27" ht="20.25" customHeight="1" x14ac:dyDescent="0.25">
      <c r="A46" s="4"/>
      <c r="B46" s="161" t="s">
        <v>674</v>
      </c>
      <c r="C46" s="323" t="s">
        <v>675</v>
      </c>
      <c r="D46" s="324"/>
      <c r="E46" s="163">
        <v>1.1000000000000001E-3</v>
      </c>
      <c r="F46" s="163">
        <v>8.9999999999999998E-4</v>
      </c>
      <c r="G46" s="4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</row>
    <row r="47" spans="1:27" ht="20.25" customHeight="1" x14ac:dyDescent="0.25">
      <c r="A47" s="4"/>
      <c r="B47" s="161" t="s">
        <v>676</v>
      </c>
      <c r="C47" s="323" t="s">
        <v>677</v>
      </c>
      <c r="D47" s="324"/>
      <c r="E47" s="163">
        <v>2.29E-2</v>
      </c>
      <c r="F47" s="163">
        <v>1.7299999999999999E-2</v>
      </c>
      <c r="G47" s="4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</row>
    <row r="48" spans="1:27" ht="20.25" customHeight="1" x14ac:dyDescent="0.25">
      <c r="A48" s="4"/>
      <c r="B48" s="161" t="s">
        <v>678</v>
      </c>
      <c r="C48" s="323" t="s">
        <v>679</v>
      </c>
      <c r="D48" s="324"/>
      <c r="E48" s="163">
        <v>2.7E-2</v>
      </c>
      <c r="F48" s="163">
        <v>2.0299999999999999E-2</v>
      </c>
      <c r="G48" s="4"/>
      <c r="H48" s="149"/>
      <c r="I48" s="149"/>
      <c r="J48" s="149"/>
      <c r="K48" s="149"/>
      <c r="L48" s="149"/>
      <c r="M48" s="149"/>
      <c r="N48" s="149"/>
      <c r="O48" s="149"/>
      <c r="P48" s="149"/>
      <c r="Q48" s="149"/>
      <c r="R48" s="149"/>
      <c r="S48" s="149"/>
      <c r="T48" s="149"/>
      <c r="U48" s="149"/>
      <c r="V48" s="149"/>
      <c r="W48" s="149"/>
      <c r="X48" s="149"/>
      <c r="Y48" s="149"/>
      <c r="Z48" s="149"/>
      <c r="AA48" s="149"/>
    </row>
    <row r="49" spans="1:27" ht="20.25" customHeight="1" x14ac:dyDescent="0.25">
      <c r="A49" s="4"/>
      <c r="B49" s="176" t="s">
        <v>680</v>
      </c>
      <c r="C49" s="323" t="s">
        <v>681</v>
      </c>
      <c r="D49" s="324"/>
      <c r="E49" s="177">
        <v>4.1000000000000003E-3</v>
      </c>
      <c r="F49" s="177">
        <v>3.0999999999999999E-3</v>
      </c>
      <c r="G49" s="4"/>
      <c r="H49" s="149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</row>
    <row r="50" spans="1:27" ht="20.25" customHeight="1" x14ac:dyDescent="0.25">
      <c r="A50" s="4"/>
      <c r="B50" s="178" t="s">
        <v>682</v>
      </c>
      <c r="C50" s="342" t="s">
        <v>39</v>
      </c>
      <c r="D50" s="343"/>
      <c r="E50" s="179">
        <f t="shared" ref="E50:F50" si="2">SUBTOTAL(9,E45:E49)</f>
        <v>0.1033</v>
      </c>
      <c r="F50" s="179">
        <f t="shared" si="2"/>
        <v>7.8E-2</v>
      </c>
      <c r="G50" s="4"/>
      <c r="H50" s="149"/>
      <c r="I50" s="149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</row>
    <row r="51" spans="1:27" ht="6" customHeight="1" x14ac:dyDescent="0.25">
      <c r="A51" s="4"/>
      <c r="B51" s="65"/>
      <c r="C51" s="65"/>
      <c r="D51" s="65"/>
      <c r="E51" s="166"/>
      <c r="F51" s="166"/>
      <c r="G51" s="4"/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</row>
    <row r="52" spans="1:27" ht="20.25" customHeight="1" x14ac:dyDescent="0.25">
      <c r="A52" s="4"/>
      <c r="B52" s="277" t="s">
        <v>683</v>
      </c>
      <c r="C52" s="272"/>
      <c r="D52" s="325"/>
      <c r="E52" s="272"/>
      <c r="F52" s="272"/>
      <c r="G52" s="4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</row>
    <row r="53" spans="1:27" ht="20.25" customHeight="1" x14ac:dyDescent="0.25">
      <c r="A53" s="4"/>
      <c r="B53" s="174" t="s">
        <v>684</v>
      </c>
      <c r="C53" s="323" t="s">
        <v>685</v>
      </c>
      <c r="D53" s="324"/>
      <c r="E53" s="163">
        <f t="shared" ref="E53:F53" si="3">ROUND(E42*E29,4)</f>
        <v>8.6199999999999999E-2</v>
      </c>
      <c r="F53" s="163">
        <f t="shared" si="3"/>
        <v>3.27E-2</v>
      </c>
      <c r="G53" s="4"/>
      <c r="H53" s="149"/>
      <c r="I53" s="149"/>
      <c r="J53" s="149"/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</row>
    <row r="54" spans="1:27" ht="28.8" customHeight="1" x14ac:dyDescent="0.25">
      <c r="A54" s="4"/>
      <c r="B54" s="176" t="s">
        <v>686</v>
      </c>
      <c r="C54" s="323" t="s">
        <v>687</v>
      </c>
      <c r="D54" s="324"/>
      <c r="E54" s="163">
        <f t="shared" ref="E54:F54" si="4">E29*E46+E27*E45</f>
        <v>4.0518000000000004E-3</v>
      </c>
      <c r="F54" s="163">
        <f t="shared" si="4"/>
        <v>3.0722000000000002E-3</v>
      </c>
      <c r="G54" s="4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</row>
    <row r="55" spans="1:27" ht="20.25" customHeight="1" x14ac:dyDescent="0.25">
      <c r="A55" s="4"/>
      <c r="B55" s="180" t="s">
        <v>688</v>
      </c>
      <c r="C55" s="342" t="s">
        <v>39</v>
      </c>
      <c r="D55" s="343"/>
      <c r="E55" s="181">
        <f>SUBTOTAL(9,E53:E54)</f>
        <v>9.0251799999999993E-2</v>
      </c>
      <c r="F55" s="181">
        <f>ROUND(SUBTOTAL(9,F53:F54),4)</f>
        <v>3.5799999999999998E-2</v>
      </c>
      <c r="G55" s="4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</row>
    <row r="56" spans="1:27" ht="26.25" customHeight="1" x14ac:dyDescent="0.25">
      <c r="A56" s="4"/>
      <c r="B56" s="277" t="s">
        <v>689</v>
      </c>
      <c r="C56" s="344"/>
      <c r="D56" s="345"/>
      <c r="E56" s="70">
        <f t="shared" ref="E56:F56" si="5">SUM(E29,E42,E50,E55)</f>
        <v>0.85555179999999986</v>
      </c>
      <c r="F56" s="70">
        <f t="shared" si="5"/>
        <v>0.47570000000000001</v>
      </c>
      <c r="G56" s="4"/>
      <c r="H56" s="149"/>
      <c r="I56" s="149"/>
      <c r="J56" s="149"/>
      <c r="K56" s="149"/>
      <c r="L56" s="149"/>
      <c r="M56" s="149"/>
      <c r="N56" s="149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</row>
    <row r="57" spans="1:27" ht="20.25" customHeight="1" x14ac:dyDescent="0.25">
      <c r="A57" s="4"/>
      <c r="B57" s="4"/>
      <c r="C57" s="4"/>
      <c r="D57" s="4"/>
      <c r="E57" s="4"/>
      <c r="F57" s="4"/>
      <c r="G57" s="4"/>
      <c r="H57" s="149"/>
      <c r="I57" s="149"/>
      <c r="J57" s="149"/>
      <c r="K57" s="149"/>
      <c r="L57" s="149"/>
      <c r="M57" s="149"/>
      <c r="N57" s="149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</row>
    <row r="58" spans="1:27" ht="20.25" customHeight="1" x14ac:dyDescent="0.25">
      <c r="A58" s="4"/>
      <c r="B58" s="182" t="s">
        <v>613</v>
      </c>
      <c r="C58" s="167"/>
      <c r="D58" s="167"/>
      <c r="E58" s="169"/>
      <c r="F58" s="169"/>
      <c r="G58" s="4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  <c r="AA58" s="149"/>
    </row>
    <row r="59" spans="1:27" ht="20.25" customHeight="1" x14ac:dyDescent="0.25">
      <c r="A59" s="4"/>
      <c r="B59" s="32" t="s">
        <v>614</v>
      </c>
      <c r="C59" s="321" t="s">
        <v>690</v>
      </c>
      <c r="D59" s="321"/>
      <c r="E59" s="266"/>
      <c r="F59" s="266"/>
      <c r="G59" s="266"/>
      <c r="H59" s="4"/>
      <c r="I59" s="149"/>
      <c r="J59" s="149"/>
      <c r="K59" s="149"/>
      <c r="L59" s="149"/>
      <c r="M59" s="149"/>
      <c r="N59" s="149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</row>
    <row r="60" spans="1:27" ht="20.25" customHeight="1" x14ac:dyDescent="0.25">
      <c r="A60" s="4"/>
      <c r="B60" s="32"/>
      <c r="C60" s="48"/>
      <c r="D60" s="48"/>
      <c r="E60" s="168"/>
      <c r="F60" s="168"/>
      <c r="G60" s="168"/>
      <c r="H60" s="4"/>
      <c r="I60" s="149"/>
      <c r="J60" s="149"/>
      <c r="K60" s="149"/>
      <c r="L60" s="149"/>
      <c r="M60" s="149"/>
      <c r="N60" s="149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</row>
    <row r="61" spans="1:27" ht="20.25" customHeight="1" x14ac:dyDescent="0.25">
      <c r="A61" s="4"/>
      <c r="B61" s="182" t="s">
        <v>619</v>
      </c>
      <c r="C61" s="167"/>
      <c r="D61" s="167"/>
      <c r="E61" s="169"/>
      <c r="F61" s="169"/>
      <c r="G61" s="4"/>
      <c r="H61" s="149"/>
      <c r="I61" s="149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  <c r="AA61" s="149"/>
    </row>
    <row r="62" spans="1:27" ht="20.25" customHeight="1" x14ac:dyDescent="0.25">
      <c r="A62" s="4"/>
      <c r="B62" s="32" t="s">
        <v>614</v>
      </c>
      <c r="C62" s="321" t="s">
        <v>620</v>
      </c>
      <c r="D62" s="321"/>
      <c r="E62" s="266"/>
      <c r="F62" s="266"/>
      <c r="G62" s="266"/>
      <c r="H62" s="4"/>
      <c r="I62" s="149"/>
      <c r="J62" s="149"/>
      <c r="K62" s="149"/>
      <c r="L62" s="149"/>
      <c r="M62" s="149"/>
      <c r="N62" s="149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</row>
    <row r="63" spans="1:27" ht="20.25" customHeight="1" x14ac:dyDescent="0.25">
      <c r="A63" s="4"/>
      <c r="B63" s="32" t="s">
        <v>616</v>
      </c>
      <c r="C63" s="321" t="s">
        <v>621</v>
      </c>
      <c r="D63" s="321"/>
      <c r="E63" s="266"/>
      <c r="F63" s="266"/>
      <c r="G63" s="266"/>
      <c r="H63" s="4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</row>
    <row r="64" spans="1:27" ht="20.25" customHeight="1" x14ac:dyDescent="0.25">
      <c r="A64" s="4"/>
      <c r="B64" s="183"/>
      <c r="C64" s="169"/>
      <c r="D64" s="169"/>
      <c r="E64" s="169"/>
      <c r="F64" s="169"/>
      <c r="G64" s="4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</row>
    <row r="65" spans="1:27" ht="20.25" customHeight="1" x14ac:dyDescent="0.25">
      <c r="A65" s="4"/>
      <c r="B65" s="4"/>
      <c r="C65" s="4"/>
      <c r="D65" s="4"/>
      <c r="E65" s="169"/>
      <c r="F65" s="169"/>
      <c r="G65" s="4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  <c r="AA65" s="149"/>
    </row>
    <row r="66" spans="1:27" ht="21" customHeight="1" x14ac:dyDescent="0.25">
      <c r="A66" s="4"/>
      <c r="B66" s="316" t="s">
        <v>18</v>
      </c>
      <c r="C66" s="263"/>
      <c r="D66" s="311"/>
      <c r="E66" s="263"/>
      <c r="F66" s="264"/>
      <c r="G66" s="4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</row>
    <row r="67" spans="1:27" ht="20.25" customHeight="1" x14ac:dyDescent="0.25">
      <c r="A67" s="4"/>
      <c r="B67" s="265"/>
      <c r="C67" s="266"/>
      <c r="D67" s="266"/>
      <c r="E67" s="266"/>
      <c r="F67" s="267"/>
      <c r="G67" s="4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</row>
    <row r="68" spans="1:27" ht="20.25" customHeight="1" x14ac:dyDescent="0.25">
      <c r="A68" s="4"/>
      <c r="B68" s="265"/>
      <c r="C68" s="266"/>
      <c r="D68" s="266"/>
      <c r="E68" s="266"/>
      <c r="F68" s="267"/>
      <c r="G68" s="4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</row>
    <row r="69" spans="1:27" ht="20.25" customHeight="1" x14ac:dyDescent="0.25">
      <c r="A69" s="4"/>
      <c r="B69" s="265"/>
      <c r="C69" s="266"/>
      <c r="D69" s="266"/>
      <c r="E69" s="266"/>
      <c r="F69" s="267"/>
      <c r="G69" s="4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</row>
    <row r="70" spans="1:27" ht="20.25" customHeight="1" x14ac:dyDescent="0.25">
      <c r="A70" s="4"/>
      <c r="B70" s="265"/>
      <c r="C70" s="266"/>
      <c r="D70" s="266"/>
      <c r="E70" s="266"/>
      <c r="F70" s="267"/>
      <c r="G70" s="4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</row>
    <row r="71" spans="1:27" ht="20.25" customHeight="1" x14ac:dyDescent="0.3">
      <c r="A71" s="4"/>
      <c r="B71" s="275" t="str">
        <f>'DADOS GERAIS'!C24</f>
        <v>Thaís Ferreira Pellaquim</v>
      </c>
      <c r="C71" s="266"/>
      <c r="D71" s="266"/>
      <c r="E71" s="266"/>
      <c r="F71" s="267"/>
      <c r="G71" s="4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</row>
    <row r="72" spans="1:27" ht="20.25" customHeight="1" x14ac:dyDescent="0.25">
      <c r="A72" s="4"/>
      <c r="B72" s="317" t="str">
        <f>'DADOS GERAIS'!C25</f>
        <v>Engenheira Civil  - CREA MG 247749/D</v>
      </c>
      <c r="C72" s="266"/>
      <c r="D72" s="266"/>
      <c r="E72" s="266"/>
      <c r="F72" s="267"/>
      <c r="G72" s="4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</row>
    <row r="73" spans="1:27" ht="15.75" customHeight="1" x14ac:dyDescent="0.25">
      <c r="A73" s="4"/>
      <c r="B73" s="93"/>
      <c r="C73" s="42"/>
      <c r="D73" s="232"/>
      <c r="E73" s="42"/>
      <c r="F73" s="43"/>
      <c r="G73" s="4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</row>
    <row r="74" spans="1:27" ht="20.25" customHeight="1" x14ac:dyDescent="0.25">
      <c r="A74" s="4"/>
      <c r="B74" s="4"/>
      <c r="C74" s="4"/>
      <c r="D74" s="4"/>
      <c r="E74" s="4"/>
      <c r="F74" s="4"/>
      <c r="G74" s="4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</row>
    <row r="75" spans="1:27" ht="15.75" customHeight="1" x14ac:dyDescent="0.25">
      <c r="A75" s="149"/>
      <c r="B75" s="149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</row>
    <row r="76" spans="1:27" ht="15.75" customHeight="1" x14ac:dyDescent="0.25">
      <c r="A76" s="149"/>
      <c r="B76" s="149"/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</row>
    <row r="77" spans="1:27" ht="15.75" customHeight="1" x14ac:dyDescent="0.25">
      <c r="A77" s="149"/>
      <c r="B77" s="149"/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</row>
    <row r="78" spans="1:27" ht="15.75" customHeight="1" x14ac:dyDescent="0.25">
      <c r="A78" s="149"/>
      <c r="B78" s="149"/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</row>
    <row r="79" spans="1:27" ht="15.75" customHeight="1" x14ac:dyDescent="0.25">
      <c r="A79" s="149"/>
      <c r="B79" s="149"/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</row>
    <row r="80" spans="1:27" ht="15.75" customHeight="1" x14ac:dyDescent="0.25">
      <c r="A80" s="149"/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  <c r="AA80" s="149"/>
    </row>
    <row r="81" spans="1:27" ht="15.75" customHeight="1" x14ac:dyDescent="0.25">
      <c r="A81" s="149"/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</row>
    <row r="82" spans="1:27" ht="15.75" customHeight="1" x14ac:dyDescent="0.25">
      <c r="A82" s="149"/>
      <c r="B82" s="149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</row>
    <row r="83" spans="1:27" ht="15.75" customHeight="1" x14ac:dyDescent="0.25">
      <c r="A83" s="149"/>
      <c r="B83" s="149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</row>
    <row r="84" spans="1:27" ht="15.75" customHeight="1" x14ac:dyDescent="0.25">
      <c r="A84" s="149"/>
      <c r="B84" s="149"/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</row>
    <row r="85" spans="1:27" ht="15.75" customHeight="1" x14ac:dyDescent="0.25">
      <c r="A85" s="149"/>
      <c r="B85" s="149"/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  <c r="AA85" s="149"/>
    </row>
    <row r="86" spans="1:27" ht="15.75" customHeight="1" x14ac:dyDescent="0.25">
      <c r="A86" s="149"/>
      <c r="B86" s="149"/>
      <c r="C86" s="149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  <c r="AA86" s="149"/>
    </row>
    <row r="87" spans="1:27" ht="15.75" customHeight="1" x14ac:dyDescent="0.25">
      <c r="A87" s="149"/>
      <c r="B87" s="149"/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  <c r="AA87" s="149"/>
    </row>
    <row r="88" spans="1:27" ht="15.75" customHeight="1" x14ac:dyDescent="0.25">
      <c r="A88" s="149"/>
      <c r="B88" s="149"/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  <c r="AA88" s="149"/>
    </row>
    <row r="89" spans="1:27" ht="15.75" customHeight="1" x14ac:dyDescent="0.25">
      <c r="A89" s="149"/>
      <c r="B89" s="149"/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</row>
    <row r="90" spans="1:27" ht="15.75" customHeight="1" x14ac:dyDescent="0.25">
      <c r="A90" s="149"/>
      <c r="B90" s="149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</row>
    <row r="91" spans="1:27" ht="15.75" customHeight="1" x14ac:dyDescent="0.25">
      <c r="A91" s="149"/>
      <c r="B91" s="149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</row>
    <row r="92" spans="1:27" ht="15.75" customHeight="1" x14ac:dyDescent="0.25">
      <c r="A92" s="149"/>
      <c r="B92" s="149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</row>
    <row r="93" spans="1:27" ht="15.75" customHeight="1" x14ac:dyDescent="0.25">
      <c r="A93" s="149"/>
      <c r="B93" s="149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</row>
    <row r="94" spans="1:27" ht="15.75" customHeight="1" x14ac:dyDescent="0.25">
      <c r="A94" s="149"/>
      <c r="B94" s="149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</row>
    <row r="95" spans="1:27" ht="15.75" customHeight="1" x14ac:dyDescent="0.25">
      <c r="A95" s="149"/>
      <c r="B95" s="149"/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</row>
    <row r="96" spans="1:27" ht="15.75" customHeight="1" x14ac:dyDescent="0.25">
      <c r="A96" s="149"/>
      <c r="B96" s="149"/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</row>
    <row r="97" spans="1:27" ht="15.75" customHeight="1" x14ac:dyDescent="0.25">
      <c r="A97" s="149"/>
      <c r="B97" s="149"/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</row>
    <row r="98" spans="1:27" ht="15.75" customHeight="1" x14ac:dyDescent="0.25">
      <c r="A98" s="149"/>
      <c r="B98" s="149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</row>
    <row r="99" spans="1:27" ht="15.75" customHeight="1" x14ac:dyDescent="0.25">
      <c r="A99" s="149"/>
      <c r="B99" s="149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  <c r="AA99" s="149"/>
    </row>
    <row r="100" spans="1:27" ht="15.75" customHeight="1" x14ac:dyDescent="0.25">
      <c r="A100" s="149"/>
      <c r="B100" s="149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</row>
    <row r="101" spans="1:27" ht="15.75" customHeight="1" x14ac:dyDescent="0.25">
      <c r="A101" s="149"/>
      <c r="B101" s="149"/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  <c r="AA101" s="149"/>
    </row>
    <row r="102" spans="1:27" ht="15.75" customHeight="1" x14ac:dyDescent="0.25">
      <c r="A102" s="149"/>
      <c r="B102" s="149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  <c r="AA102" s="149"/>
    </row>
    <row r="103" spans="1:27" ht="15.75" customHeight="1" x14ac:dyDescent="0.25">
      <c r="A103" s="149"/>
      <c r="B103" s="149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  <c r="AA103" s="149"/>
    </row>
    <row r="104" spans="1:27" ht="15.75" customHeight="1" x14ac:dyDescent="0.25">
      <c r="A104" s="149"/>
      <c r="B104" s="149"/>
      <c r="C104" s="149"/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</row>
    <row r="105" spans="1:27" ht="15.75" customHeight="1" x14ac:dyDescent="0.25">
      <c r="A105" s="149"/>
      <c r="B105" s="149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</row>
    <row r="106" spans="1:27" ht="15.75" customHeight="1" x14ac:dyDescent="0.25">
      <c r="A106" s="149"/>
      <c r="B106" s="149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  <c r="AA106" s="149"/>
    </row>
    <row r="107" spans="1:27" ht="15.75" customHeight="1" x14ac:dyDescent="0.25">
      <c r="A107" s="149"/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  <c r="AA107" s="149"/>
    </row>
    <row r="108" spans="1:27" ht="15.75" customHeight="1" x14ac:dyDescent="0.25">
      <c r="A108" s="149"/>
      <c r="B108" s="149"/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</row>
    <row r="109" spans="1:27" ht="15.75" customHeight="1" x14ac:dyDescent="0.25">
      <c r="A109" s="149"/>
      <c r="B109" s="149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  <c r="AA109" s="149"/>
    </row>
    <row r="110" spans="1:27" ht="15.75" customHeight="1" x14ac:dyDescent="0.25">
      <c r="A110" s="149"/>
      <c r="B110" s="149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</row>
    <row r="111" spans="1:27" ht="15.75" customHeight="1" x14ac:dyDescent="0.25">
      <c r="A111" s="149"/>
      <c r="B111" s="149"/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  <c r="T111" s="149"/>
      <c r="U111" s="149"/>
      <c r="V111" s="149"/>
      <c r="W111" s="149"/>
      <c r="X111" s="149"/>
      <c r="Y111" s="149"/>
      <c r="Z111" s="149"/>
      <c r="AA111" s="149"/>
    </row>
    <row r="112" spans="1:27" ht="15.75" customHeight="1" x14ac:dyDescent="0.25">
      <c r="A112" s="149"/>
      <c r="B112" s="149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  <c r="T112" s="149"/>
      <c r="U112" s="149"/>
      <c r="V112" s="149"/>
      <c r="W112" s="149"/>
      <c r="X112" s="149"/>
      <c r="Y112" s="149"/>
      <c r="Z112" s="149"/>
      <c r="AA112" s="149"/>
    </row>
    <row r="113" spans="1:27" ht="15.75" customHeight="1" x14ac:dyDescent="0.25">
      <c r="A113" s="149"/>
      <c r="B113" s="149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  <c r="Q113" s="149"/>
      <c r="R113" s="149"/>
      <c r="S113" s="149"/>
      <c r="T113" s="149"/>
      <c r="U113" s="149"/>
      <c r="V113" s="149"/>
      <c r="W113" s="149"/>
      <c r="X113" s="149"/>
      <c r="Y113" s="149"/>
      <c r="Z113" s="149"/>
      <c r="AA113" s="149"/>
    </row>
    <row r="114" spans="1:27" ht="15.75" customHeight="1" x14ac:dyDescent="0.25">
      <c r="A114" s="149"/>
      <c r="B114" s="149"/>
      <c r="C114" s="149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  <c r="Q114" s="149"/>
      <c r="R114" s="149"/>
      <c r="S114" s="149"/>
      <c r="T114" s="149"/>
      <c r="U114" s="149"/>
      <c r="V114" s="149"/>
      <c r="W114" s="149"/>
      <c r="X114" s="149"/>
      <c r="Y114" s="149"/>
      <c r="Z114" s="149"/>
      <c r="AA114" s="149"/>
    </row>
    <row r="115" spans="1:27" ht="15.75" customHeight="1" x14ac:dyDescent="0.25">
      <c r="A115" s="149"/>
      <c r="B115" s="149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  <c r="Q115" s="149"/>
      <c r="R115" s="149"/>
      <c r="S115" s="149"/>
      <c r="T115" s="149"/>
      <c r="U115" s="149"/>
      <c r="V115" s="149"/>
      <c r="W115" s="149"/>
      <c r="X115" s="149"/>
      <c r="Y115" s="149"/>
      <c r="Z115" s="149"/>
      <c r="AA115" s="149"/>
    </row>
    <row r="116" spans="1:27" ht="15.75" customHeight="1" x14ac:dyDescent="0.25">
      <c r="A116" s="149"/>
      <c r="B116" s="149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  <c r="AA116" s="149"/>
    </row>
    <row r="117" spans="1:27" ht="15.75" customHeight="1" x14ac:dyDescent="0.25">
      <c r="A117" s="149"/>
      <c r="B117" s="149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  <c r="Q117" s="149"/>
      <c r="R117" s="149"/>
      <c r="S117" s="149"/>
      <c r="T117" s="149"/>
      <c r="U117" s="149"/>
      <c r="V117" s="149"/>
      <c r="W117" s="149"/>
      <c r="X117" s="149"/>
      <c r="Y117" s="149"/>
      <c r="Z117" s="149"/>
      <c r="AA117" s="149"/>
    </row>
    <row r="118" spans="1:27" ht="15.75" customHeight="1" x14ac:dyDescent="0.25">
      <c r="A118" s="149"/>
      <c r="B118" s="149"/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  <c r="Q118" s="149"/>
      <c r="R118" s="149"/>
      <c r="S118" s="149"/>
      <c r="T118" s="149"/>
      <c r="U118" s="149"/>
      <c r="V118" s="149"/>
      <c r="W118" s="149"/>
      <c r="X118" s="149"/>
      <c r="Y118" s="149"/>
      <c r="Z118" s="149"/>
      <c r="AA118" s="149"/>
    </row>
    <row r="119" spans="1:27" ht="15.75" customHeight="1" x14ac:dyDescent="0.25">
      <c r="A119" s="149"/>
      <c r="B119" s="149"/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  <c r="Q119" s="149"/>
      <c r="R119" s="149"/>
      <c r="S119" s="149"/>
      <c r="T119" s="149"/>
      <c r="U119" s="149"/>
      <c r="V119" s="149"/>
      <c r="W119" s="149"/>
      <c r="X119" s="149"/>
      <c r="Y119" s="149"/>
      <c r="Z119" s="149"/>
      <c r="AA119" s="149"/>
    </row>
    <row r="120" spans="1:27" ht="15.75" customHeight="1" x14ac:dyDescent="0.25">
      <c r="A120" s="149"/>
      <c r="B120" s="149"/>
      <c r="C120" s="149"/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  <c r="Q120" s="149"/>
      <c r="R120" s="149"/>
      <c r="S120" s="149"/>
      <c r="T120" s="149"/>
      <c r="U120" s="149"/>
      <c r="V120" s="149"/>
      <c r="W120" s="149"/>
      <c r="X120" s="149"/>
      <c r="Y120" s="149"/>
      <c r="Z120" s="149"/>
      <c r="AA120" s="149"/>
    </row>
    <row r="121" spans="1:27" ht="15.75" customHeight="1" x14ac:dyDescent="0.25">
      <c r="A121" s="149"/>
      <c r="B121" s="149"/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  <c r="Q121" s="149"/>
      <c r="R121" s="149"/>
      <c r="S121" s="149"/>
      <c r="T121" s="149"/>
      <c r="U121" s="149"/>
      <c r="V121" s="149"/>
      <c r="W121" s="149"/>
      <c r="X121" s="149"/>
      <c r="Y121" s="149"/>
      <c r="Z121" s="149"/>
      <c r="AA121" s="149"/>
    </row>
    <row r="122" spans="1:27" ht="15.75" customHeight="1" x14ac:dyDescent="0.25">
      <c r="A122" s="149"/>
      <c r="B122" s="149"/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  <c r="Q122" s="149"/>
      <c r="R122" s="149"/>
      <c r="S122" s="149"/>
      <c r="T122" s="149"/>
      <c r="U122" s="149"/>
      <c r="V122" s="149"/>
      <c r="W122" s="149"/>
      <c r="X122" s="149"/>
      <c r="Y122" s="149"/>
      <c r="Z122" s="149"/>
      <c r="AA122" s="149"/>
    </row>
    <row r="123" spans="1:27" ht="15.75" customHeight="1" x14ac:dyDescent="0.25">
      <c r="A123" s="149"/>
      <c r="B123" s="149"/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  <c r="AA123" s="149"/>
    </row>
    <row r="124" spans="1:27" ht="15.75" customHeight="1" x14ac:dyDescent="0.25">
      <c r="A124" s="149"/>
      <c r="B124" s="149"/>
      <c r="C124" s="149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  <c r="Q124" s="149"/>
      <c r="R124" s="149"/>
      <c r="S124" s="149"/>
      <c r="T124" s="149"/>
      <c r="U124" s="149"/>
      <c r="V124" s="149"/>
      <c r="W124" s="149"/>
      <c r="X124" s="149"/>
      <c r="Y124" s="149"/>
      <c r="Z124" s="149"/>
      <c r="AA124" s="149"/>
    </row>
    <row r="125" spans="1:27" ht="15.75" customHeight="1" x14ac:dyDescent="0.25">
      <c r="A125" s="149"/>
      <c r="B125" s="149"/>
      <c r="C125" s="149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  <c r="Q125" s="149"/>
      <c r="R125" s="149"/>
      <c r="S125" s="149"/>
      <c r="T125" s="149"/>
      <c r="U125" s="149"/>
      <c r="V125" s="149"/>
      <c r="W125" s="149"/>
      <c r="X125" s="149"/>
      <c r="Y125" s="149"/>
      <c r="Z125" s="149"/>
      <c r="AA125" s="149"/>
    </row>
    <row r="126" spans="1:27" ht="15.75" customHeight="1" x14ac:dyDescent="0.25">
      <c r="A126" s="149"/>
      <c r="B126" s="149"/>
      <c r="C126" s="149"/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  <c r="Q126" s="149"/>
      <c r="R126" s="149"/>
      <c r="S126" s="149"/>
      <c r="T126" s="149"/>
      <c r="U126" s="149"/>
      <c r="V126" s="149"/>
      <c r="W126" s="149"/>
      <c r="X126" s="149"/>
      <c r="Y126" s="149"/>
      <c r="Z126" s="149"/>
      <c r="AA126" s="149"/>
    </row>
    <row r="127" spans="1:27" ht="15.75" customHeight="1" x14ac:dyDescent="0.25">
      <c r="A127" s="149"/>
      <c r="B127" s="149"/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  <c r="Q127" s="149"/>
      <c r="R127" s="149"/>
      <c r="S127" s="149"/>
      <c r="T127" s="149"/>
      <c r="U127" s="149"/>
      <c r="V127" s="149"/>
      <c r="W127" s="149"/>
      <c r="X127" s="149"/>
      <c r="Y127" s="149"/>
      <c r="Z127" s="149"/>
      <c r="AA127" s="149"/>
    </row>
    <row r="128" spans="1:27" ht="15.75" customHeight="1" x14ac:dyDescent="0.25">
      <c r="A128" s="149"/>
      <c r="B128" s="149"/>
      <c r="C128" s="149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  <c r="AA128" s="149"/>
    </row>
    <row r="129" spans="1:27" ht="15.75" customHeight="1" x14ac:dyDescent="0.25">
      <c r="A129" s="149"/>
      <c r="B129" s="149"/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  <c r="AA129" s="149"/>
    </row>
    <row r="130" spans="1:27" ht="15.75" customHeight="1" x14ac:dyDescent="0.25">
      <c r="A130" s="149"/>
      <c r="B130" s="149"/>
      <c r="C130" s="149"/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  <c r="AA130" s="149"/>
    </row>
    <row r="131" spans="1:27" ht="15.75" customHeight="1" x14ac:dyDescent="0.25">
      <c r="A131" s="149"/>
      <c r="B131" s="149"/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  <c r="AA131" s="149"/>
    </row>
    <row r="132" spans="1:27" ht="15.75" customHeight="1" x14ac:dyDescent="0.25">
      <c r="A132" s="149"/>
      <c r="B132" s="149"/>
      <c r="C132" s="149"/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  <c r="Q132" s="149"/>
      <c r="R132" s="149"/>
      <c r="S132" s="149"/>
      <c r="T132" s="149"/>
      <c r="U132" s="149"/>
      <c r="V132" s="149"/>
      <c r="W132" s="149"/>
      <c r="X132" s="149"/>
      <c r="Y132" s="149"/>
      <c r="Z132" s="149"/>
      <c r="AA132" s="149"/>
    </row>
    <row r="133" spans="1:27" ht="15.75" customHeight="1" x14ac:dyDescent="0.25">
      <c r="A133" s="149"/>
      <c r="B133" s="149"/>
      <c r="C133" s="149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  <c r="Q133" s="149"/>
      <c r="R133" s="149"/>
      <c r="S133" s="149"/>
      <c r="T133" s="149"/>
      <c r="U133" s="149"/>
      <c r="V133" s="149"/>
      <c r="W133" s="149"/>
      <c r="X133" s="149"/>
      <c r="Y133" s="149"/>
      <c r="Z133" s="149"/>
      <c r="AA133" s="149"/>
    </row>
    <row r="134" spans="1:27" ht="15.75" customHeight="1" x14ac:dyDescent="0.25">
      <c r="A134" s="149"/>
      <c r="B134" s="149"/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  <c r="Q134" s="149"/>
      <c r="R134" s="149"/>
      <c r="S134" s="149"/>
      <c r="T134" s="149"/>
      <c r="U134" s="149"/>
      <c r="V134" s="149"/>
      <c r="W134" s="149"/>
      <c r="X134" s="149"/>
      <c r="Y134" s="149"/>
      <c r="Z134" s="149"/>
      <c r="AA134" s="149"/>
    </row>
    <row r="135" spans="1:27" ht="15.75" customHeight="1" x14ac:dyDescent="0.25">
      <c r="A135" s="149"/>
      <c r="B135" s="149"/>
      <c r="C135" s="149"/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  <c r="Q135" s="149"/>
      <c r="R135" s="149"/>
      <c r="S135" s="149"/>
      <c r="T135" s="149"/>
      <c r="U135" s="149"/>
      <c r="V135" s="149"/>
      <c r="W135" s="149"/>
      <c r="X135" s="149"/>
      <c r="Y135" s="149"/>
      <c r="Z135" s="149"/>
      <c r="AA135" s="149"/>
    </row>
    <row r="136" spans="1:27" ht="15.75" customHeight="1" x14ac:dyDescent="0.25">
      <c r="A136" s="149"/>
      <c r="B136" s="149"/>
      <c r="C136" s="149"/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  <c r="Q136" s="149"/>
      <c r="R136" s="149"/>
      <c r="S136" s="149"/>
      <c r="T136" s="149"/>
      <c r="U136" s="149"/>
      <c r="V136" s="149"/>
      <c r="W136" s="149"/>
      <c r="X136" s="149"/>
      <c r="Y136" s="149"/>
      <c r="Z136" s="149"/>
      <c r="AA136" s="149"/>
    </row>
    <row r="137" spans="1:27" ht="15.75" customHeight="1" x14ac:dyDescent="0.25">
      <c r="A137" s="149"/>
      <c r="B137" s="149"/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  <c r="Q137" s="149"/>
      <c r="R137" s="149"/>
      <c r="S137" s="149"/>
      <c r="T137" s="149"/>
      <c r="U137" s="149"/>
      <c r="V137" s="149"/>
      <c r="W137" s="149"/>
      <c r="X137" s="149"/>
      <c r="Y137" s="149"/>
      <c r="Z137" s="149"/>
      <c r="AA137" s="149"/>
    </row>
    <row r="138" spans="1:27" ht="15.75" customHeight="1" x14ac:dyDescent="0.25">
      <c r="A138" s="149"/>
      <c r="B138" s="149"/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  <c r="Q138" s="149"/>
      <c r="R138" s="149"/>
      <c r="S138" s="149"/>
      <c r="T138" s="149"/>
      <c r="U138" s="149"/>
      <c r="V138" s="149"/>
      <c r="W138" s="149"/>
      <c r="X138" s="149"/>
      <c r="Y138" s="149"/>
      <c r="Z138" s="149"/>
      <c r="AA138" s="149"/>
    </row>
    <row r="139" spans="1:27" ht="15.75" customHeight="1" x14ac:dyDescent="0.25">
      <c r="A139" s="149"/>
      <c r="B139" s="149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  <c r="Q139" s="149"/>
      <c r="R139" s="149"/>
      <c r="S139" s="149"/>
      <c r="T139" s="149"/>
      <c r="U139" s="149"/>
      <c r="V139" s="149"/>
      <c r="W139" s="149"/>
      <c r="X139" s="149"/>
      <c r="Y139" s="149"/>
      <c r="Z139" s="149"/>
      <c r="AA139" s="149"/>
    </row>
    <row r="140" spans="1:27" ht="15.75" customHeight="1" x14ac:dyDescent="0.25">
      <c r="A140" s="149"/>
      <c r="B140" s="149"/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  <c r="Q140" s="149"/>
      <c r="R140" s="149"/>
      <c r="S140" s="149"/>
      <c r="T140" s="149"/>
      <c r="U140" s="149"/>
      <c r="V140" s="149"/>
      <c r="W140" s="149"/>
      <c r="X140" s="149"/>
      <c r="Y140" s="149"/>
      <c r="Z140" s="149"/>
      <c r="AA140" s="149"/>
    </row>
    <row r="141" spans="1:27" ht="15.75" customHeight="1" x14ac:dyDescent="0.25">
      <c r="A141" s="149"/>
      <c r="B141" s="149"/>
      <c r="C141" s="149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  <c r="Q141" s="149"/>
      <c r="R141" s="149"/>
      <c r="S141" s="149"/>
      <c r="T141" s="149"/>
      <c r="U141" s="149"/>
      <c r="V141" s="149"/>
      <c r="W141" s="149"/>
      <c r="X141" s="149"/>
      <c r="Y141" s="149"/>
      <c r="Z141" s="149"/>
      <c r="AA141" s="149"/>
    </row>
    <row r="142" spans="1:27" ht="15.75" customHeight="1" x14ac:dyDescent="0.25">
      <c r="A142" s="149"/>
      <c r="B142" s="149"/>
      <c r="C142" s="149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  <c r="Q142" s="149"/>
      <c r="R142" s="149"/>
      <c r="S142" s="149"/>
      <c r="T142" s="149"/>
      <c r="U142" s="149"/>
      <c r="V142" s="149"/>
      <c r="W142" s="149"/>
      <c r="X142" s="149"/>
      <c r="Y142" s="149"/>
      <c r="Z142" s="149"/>
      <c r="AA142" s="149"/>
    </row>
    <row r="143" spans="1:27" ht="15.75" customHeight="1" x14ac:dyDescent="0.25">
      <c r="A143" s="149"/>
      <c r="B143" s="149"/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  <c r="Q143" s="149"/>
      <c r="R143" s="149"/>
      <c r="S143" s="149"/>
      <c r="T143" s="149"/>
      <c r="U143" s="149"/>
      <c r="V143" s="149"/>
      <c r="W143" s="149"/>
      <c r="X143" s="149"/>
      <c r="Y143" s="149"/>
      <c r="Z143" s="149"/>
      <c r="AA143" s="149"/>
    </row>
    <row r="144" spans="1:27" ht="15.75" customHeight="1" x14ac:dyDescent="0.25">
      <c r="A144" s="149"/>
      <c r="B144" s="149"/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  <c r="Q144" s="149"/>
      <c r="R144" s="149"/>
      <c r="S144" s="149"/>
      <c r="T144" s="149"/>
      <c r="U144" s="149"/>
      <c r="V144" s="149"/>
      <c r="W144" s="149"/>
      <c r="X144" s="149"/>
      <c r="Y144" s="149"/>
      <c r="Z144" s="149"/>
      <c r="AA144" s="149"/>
    </row>
    <row r="145" spans="1:27" ht="15.75" customHeight="1" x14ac:dyDescent="0.25">
      <c r="A145" s="149"/>
      <c r="B145" s="149"/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49"/>
      <c r="W145" s="149"/>
      <c r="X145" s="149"/>
      <c r="Y145" s="149"/>
      <c r="Z145" s="149"/>
      <c r="AA145" s="149"/>
    </row>
    <row r="146" spans="1:27" ht="15.75" customHeight="1" x14ac:dyDescent="0.25">
      <c r="A146" s="149"/>
      <c r="B146" s="149"/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  <c r="Q146" s="149"/>
      <c r="R146" s="149"/>
      <c r="S146" s="149"/>
      <c r="T146" s="149"/>
      <c r="U146" s="149"/>
      <c r="V146" s="149"/>
      <c r="W146" s="149"/>
      <c r="X146" s="149"/>
      <c r="Y146" s="149"/>
      <c r="Z146" s="149"/>
      <c r="AA146" s="149"/>
    </row>
    <row r="147" spans="1:27" ht="15.75" customHeight="1" x14ac:dyDescent="0.25">
      <c r="A147" s="149"/>
      <c r="B147" s="149"/>
      <c r="C147" s="149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  <c r="Q147" s="149"/>
      <c r="R147" s="149"/>
      <c r="S147" s="149"/>
      <c r="T147" s="149"/>
      <c r="U147" s="149"/>
      <c r="V147" s="149"/>
      <c r="W147" s="149"/>
      <c r="X147" s="149"/>
      <c r="Y147" s="149"/>
      <c r="Z147" s="149"/>
      <c r="AA147" s="149"/>
    </row>
    <row r="148" spans="1:27" ht="15.75" customHeight="1" x14ac:dyDescent="0.25">
      <c r="A148" s="149"/>
      <c r="B148" s="149"/>
      <c r="C148" s="149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  <c r="Q148" s="149"/>
      <c r="R148" s="149"/>
      <c r="S148" s="149"/>
      <c r="T148" s="149"/>
      <c r="U148" s="149"/>
      <c r="V148" s="149"/>
      <c r="W148" s="149"/>
      <c r="X148" s="149"/>
      <c r="Y148" s="149"/>
      <c r="Z148" s="149"/>
      <c r="AA148" s="149"/>
    </row>
    <row r="149" spans="1:27" ht="15.75" customHeight="1" x14ac:dyDescent="0.25">
      <c r="A149" s="149"/>
      <c r="B149" s="149"/>
      <c r="C149" s="149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  <c r="Q149" s="149"/>
      <c r="R149" s="149"/>
      <c r="S149" s="149"/>
      <c r="T149" s="149"/>
      <c r="U149" s="149"/>
      <c r="V149" s="149"/>
      <c r="W149" s="149"/>
      <c r="X149" s="149"/>
      <c r="Y149" s="149"/>
      <c r="Z149" s="149"/>
      <c r="AA149" s="149"/>
    </row>
    <row r="150" spans="1:27" ht="15.75" customHeight="1" x14ac:dyDescent="0.25">
      <c r="A150" s="149"/>
      <c r="B150" s="149"/>
      <c r="C150" s="149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  <c r="Q150" s="149"/>
      <c r="R150" s="149"/>
      <c r="S150" s="149"/>
      <c r="T150" s="149"/>
      <c r="U150" s="149"/>
      <c r="V150" s="149"/>
      <c r="W150" s="149"/>
      <c r="X150" s="149"/>
      <c r="Y150" s="149"/>
      <c r="Z150" s="149"/>
      <c r="AA150" s="149"/>
    </row>
    <row r="151" spans="1:27" ht="15.75" customHeight="1" x14ac:dyDescent="0.25">
      <c r="A151" s="149"/>
      <c r="B151" s="149"/>
      <c r="C151" s="149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  <c r="Q151" s="149"/>
      <c r="R151" s="149"/>
      <c r="S151" s="149"/>
      <c r="T151" s="149"/>
      <c r="U151" s="149"/>
      <c r="V151" s="149"/>
      <c r="W151" s="149"/>
      <c r="X151" s="149"/>
      <c r="Y151" s="149"/>
      <c r="Z151" s="149"/>
      <c r="AA151" s="149"/>
    </row>
    <row r="152" spans="1:27" ht="15.75" customHeight="1" x14ac:dyDescent="0.25">
      <c r="A152" s="149"/>
      <c r="B152" s="149"/>
      <c r="C152" s="149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  <c r="Q152" s="149"/>
      <c r="R152" s="149"/>
      <c r="S152" s="149"/>
      <c r="T152" s="149"/>
      <c r="U152" s="149"/>
      <c r="V152" s="149"/>
      <c r="W152" s="149"/>
      <c r="X152" s="149"/>
      <c r="Y152" s="149"/>
      <c r="Z152" s="149"/>
      <c r="AA152" s="149"/>
    </row>
    <row r="153" spans="1:27" ht="15.75" customHeight="1" x14ac:dyDescent="0.25">
      <c r="A153" s="149"/>
      <c r="B153" s="149"/>
      <c r="C153" s="149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  <c r="Q153" s="149"/>
      <c r="R153" s="149"/>
      <c r="S153" s="149"/>
      <c r="T153" s="149"/>
      <c r="U153" s="149"/>
      <c r="V153" s="149"/>
      <c r="W153" s="149"/>
      <c r="X153" s="149"/>
      <c r="Y153" s="149"/>
      <c r="Z153" s="149"/>
      <c r="AA153" s="149"/>
    </row>
    <row r="154" spans="1:27" ht="15.75" customHeight="1" x14ac:dyDescent="0.25">
      <c r="A154" s="149"/>
      <c r="B154" s="149"/>
      <c r="C154" s="149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  <c r="Q154" s="149"/>
      <c r="R154" s="149"/>
      <c r="S154" s="149"/>
      <c r="T154" s="149"/>
      <c r="U154" s="149"/>
      <c r="V154" s="149"/>
      <c r="W154" s="149"/>
      <c r="X154" s="149"/>
      <c r="Y154" s="149"/>
      <c r="Z154" s="149"/>
      <c r="AA154" s="149"/>
    </row>
    <row r="155" spans="1:27" ht="15.75" customHeight="1" x14ac:dyDescent="0.25">
      <c r="A155" s="149"/>
      <c r="B155" s="149"/>
      <c r="C155" s="149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  <c r="Q155" s="149"/>
      <c r="R155" s="149"/>
      <c r="S155" s="149"/>
      <c r="T155" s="149"/>
      <c r="U155" s="149"/>
      <c r="V155" s="149"/>
      <c r="W155" s="149"/>
      <c r="X155" s="149"/>
      <c r="Y155" s="149"/>
      <c r="Z155" s="149"/>
      <c r="AA155" s="149"/>
    </row>
    <row r="156" spans="1:27" ht="15.75" customHeight="1" x14ac:dyDescent="0.25">
      <c r="A156" s="149"/>
      <c r="B156" s="149"/>
      <c r="C156" s="149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  <c r="T156" s="149"/>
      <c r="U156" s="149"/>
      <c r="V156" s="149"/>
      <c r="W156" s="149"/>
      <c r="X156" s="149"/>
      <c r="Y156" s="149"/>
      <c r="Z156" s="149"/>
      <c r="AA156" s="149"/>
    </row>
    <row r="157" spans="1:27" ht="15.75" customHeight="1" x14ac:dyDescent="0.25">
      <c r="A157" s="149"/>
      <c r="B157" s="149"/>
      <c r="C157" s="149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  <c r="Q157" s="149"/>
      <c r="R157" s="149"/>
      <c r="S157" s="149"/>
      <c r="T157" s="149"/>
      <c r="U157" s="149"/>
      <c r="V157" s="149"/>
      <c r="W157" s="149"/>
      <c r="X157" s="149"/>
      <c r="Y157" s="149"/>
      <c r="Z157" s="149"/>
      <c r="AA157" s="149"/>
    </row>
    <row r="158" spans="1:27" ht="15.75" customHeight="1" x14ac:dyDescent="0.25">
      <c r="A158" s="149"/>
      <c r="B158" s="149"/>
      <c r="C158" s="149"/>
      <c r="D158" s="149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  <c r="Q158" s="149"/>
      <c r="R158" s="149"/>
      <c r="S158" s="149"/>
      <c r="T158" s="149"/>
      <c r="U158" s="149"/>
      <c r="V158" s="149"/>
      <c r="W158" s="149"/>
      <c r="X158" s="149"/>
      <c r="Y158" s="149"/>
      <c r="Z158" s="149"/>
      <c r="AA158" s="149"/>
    </row>
    <row r="159" spans="1:27" ht="15.75" customHeight="1" x14ac:dyDescent="0.25">
      <c r="A159" s="149"/>
      <c r="B159" s="149"/>
      <c r="C159" s="149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  <c r="Q159" s="149"/>
      <c r="R159" s="149"/>
      <c r="S159" s="149"/>
      <c r="T159" s="149"/>
      <c r="U159" s="149"/>
      <c r="V159" s="149"/>
      <c r="W159" s="149"/>
      <c r="X159" s="149"/>
      <c r="Y159" s="149"/>
      <c r="Z159" s="149"/>
      <c r="AA159" s="149"/>
    </row>
    <row r="160" spans="1:27" ht="15.75" customHeight="1" x14ac:dyDescent="0.25">
      <c r="A160" s="149"/>
      <c r="B160" s="149"/>
      <c r="C160" s="149"/>
      <c r="D160" s="149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  <c r="Q160" s="149"/>
      <c r="R160" s="149"/>
      <c r="S160" s="149"/>
      <c r="T160" s="149"/>
      <c r="U160" s="149"/>
      <c r="V160" s="149"/>
      <c r="W160" s="149"/>
      <c r="X160" s="149"/>
      <c r="Y160" s="149"/>
      <c r="Z160" s="149"/>
      <c r="AA160" s="149"/>
    </row>
    <row r="161" spans="1:27" ht="15.75" customHeight="1" x14ac:dyDescent="0.25">
      <c r="A161" s="149"/>
      <c r="B161" s="149"/>
      <c r="C161" s="149"/>
      <c r="D161" s="149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  <c r="Q161" s="149"/>
      <c r="R161" s="149"/>
      <c r="S161" s="149"/>
      <c r="T161" s="149"/>
      <c r="U161" s="149"/>
      <c r="V161" s="149"/>
      <c r="W161" s="149"/>
      <c r="X161" s="149"/>
      <c r="Y161" s="149"/>
      <c r="Z161" s="149"/>
      <c r="AA161" s="149"/>
    </row>
    <row r="162" spans="1:27" ht="15.75" customHeight="1" x14ac:dyDescent="0.25">
      <c r="A162" s="149"/>
      <c r="B162" s="149"/>
      <c r="C162" s="149"/>
      <c r="D162" s="149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  <c r="Q162" s="149"/>
      <c r="R162" s="149"/>
      <c r="S162" s="149"/>
      <c r="T162" s="149"/>
      <c r="U162" s="149"/>
      <c r="V162" s="149"/>
      <c r="W162" s="149"/>
      <c r="X162" s="149"/>
      <c r="Y162" s="149"/>
      <c r="Z162" s="149"/>
      <c r="AA162" s="149"/>
    </row>
    <row r="163" spans="1:27" ht="15.75" customHeight="1" x14ac:dyDescent="0.25">
      <c r="A163" s="149"/>
      <c r="B163" s="149"/>
      <c r="C163" s="149"/>
      <c r="D163" s="149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  <c r="Q163" s="149"/>
      <c r="R163" s="149"/>
      <c r="S163" s="149"/>
      <c r="T163" s="149"/>
      <c r="U163" s="149"/>
      <c r="V163" s="149"/>
      <c r="W163" s="149"/>
      <c r="X163" s="149"/>
      <c r="Y163" s="149"/>
      <c r="Z163" s="149"/>
      <c r="AA163" s="149"/>
    </row>
    <row r="164" spans="1:27" ht="15.75" customHeight="1" x14ac:dyDescent="0.25">
      <c r="A164" s="149"/>
      <c r="B164" s="149"/>
      <c r="C164" s="149"/>
      <c r="D164" s="149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  <c r="T164" s="149"/>
      <c r="U164" s="149"/>
      <c r="V164" s="149"/>
      <c r="W164" s="149"/>
      <c r="X164" s="149"/>
      <c r="Y164" s="149"/>
      <c r="Z164" s="149"/>
      <c r="AA164" s="149"/>
    </row>
    <row r="165" spans="1:27" ht="15.75" customHeight="1" x14ac:dyDescent="0.25">
      <c r="A165" s="149"/>
      <c r="B165" s="149"/>
      <c r="C165" s="149"/>
      <c r="D165" s="149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  <c r="Q165" s="149"/>
      <c r="R165" s="149"/>
      <c r="S165" s="149"/>
      <c r="T165" s="149"/>
      <c r="U165" s="149"/>
      <c r="V165" s="149"/>
      <c r="W165" s="149"/>
      <c r="X165" s="149"/>
      <c r="Y165" s="149"/>
      <c r="Z165" s="149"/>
      <c r="AA165" s="149"/>
    </row>
    <row r="166" spans="1:27" ht="15.75" customHeight="1" x14ac:dyDescent="0.25">
      <c r="A166" s="149"/>
      <c r="B166" s="149"/>
      <c r="C166" s="149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49"/>
      <c r="X166" s="149"/>
      <c r="Y166" s="149"/>
      <c r="Z166" s="149"/>
      <c r="AA166" s="149"/>
    </row>
    <row r="167" spans="1:27" ht="15.75" customHeight="1" x14ac:dyDescent="0.25">
      <c r="A167" s="149"/>
      <c r="B167" s="149"/>
      <c r="C167" s="149"/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  <c r="Q167" s="149"/>
      <c r="R167" s="149"/>
      <c r="S167" s="149"/>
      <c r="T167" s="149"/>
      <c r="U167" s="149"/>
      <c r="V167" s="149"/>
      <c r="W167" s="149"/>
      <c r="X167" s="149"/>
      <c r="Y167" s="149"/>
      <c r="Z167" s="149"/>
      <c r="AA167" s="149"/>
    </row>
    <row r="168" spans="1:27" ht="15.75" customHeight="1" x14ac:dyDescent="0.25">
      <c r="A168" s="149"/>
      <c r="B168" s="149"/>
      <c r="C168" s="149"/>
      <c r="D168" s="149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  <c r="Q168" s="149"/>
      <c r="R168" s="149"/>
      <c r="S168" s="149"/>
      <c r="T168" s="149"/>
      <c r="U168" s="149"/>
      <c r="V168" s="149"/>
      <c r="W168" s="149"/>
      <c r="X168" s="149"/>
      <c r="Y168" s="149"/>
      <c r="Z168" s="149"/>
      <c r="AA168" s="149"/>
    </row>
    <row r="169" spans="1:27" ht="15.75" customHeight="1" x14ac:dyDescent="0.25">
      <c r="A169" s="149"/>
      <c r="B169" s="149"/>
      <c r="C169" s="149"/>
      <c r="D169" s="149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  <c r="Q169" s="149"/>
      <c r="R169" s="149"/>
      <c r="S169" s="149"/>
      <c r="T169" s="149"/>
      <c r="U169" s="149"/>
      <c r="V169" s="149"/>
      <c r="W169" s="149"/>
      <c r="X169" s="149"/>
      <c r="Y169" s="149"/>
      <c r="Z169" s="149"/>
      <c r="AA169" s="149"/>
    </row>
    <row r="170" spans="1:27" ht="15.75" customHeight="1" x14ac:dyDescent="0.25">
      <c r="A170" s="149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  <c r="Q170" s="149"/>
      <c r="R170" s="149"/>
      <c r="S170" s="149"/>
      <c r="T170" s="149"/>
      <c r="U170" s="149"/>
      <c r="V170" s="149"/>
      <c r="W170" s="149"/>
      <c r="X170" s="149"/>
      <c r="Y170" s="149"/>
      <c r="Z170" s="149"/>
      <c r="AA170" s="149"/>
    </row>
    <row r="171" spans="1:27" ht="15.75" customHeight="1" x14ac:dyDescent="0.25">
      <c r="A171" s="149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  <c r="Q171" s="149"/>
      <c r="R171" s="149"/>
      <c r="S171" s="149"/>
      <c r="T171" s="149"/>
      <c r="U171" s="149"/>
      <c r="V171" s="149"/>
      <c r="W171" s="149"/>
      <c r="X171" s="149"/>
      <c r="Y171" s="149"/>
      <c r="Z171" s="149"/>
      <c r="AA171" s="149"/>
    </row>
    <row r="172" spans="1:27" ht="15.75" customHeight="1" x14ac:dyDescent="0.25">
      <c r="A172" s="149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  <c r="Q172" s="149"/>
      <c r="R172" s="149"/>
      <c r="S172" s="149"/>
      <c r="T172" s="149"/>
      <c r="U172" s="149"/>
      <c r="V172" s="149"/>
      <c r="W172" s="149"/>
      <c r="X172" s="149"/>
      <c r="Y172" s="149"/>
      <c r="Z172" s="149"/>
      <c r="AA172" s="149"/>
    </row>
    <row r="173" spans="1:27" ht="15.75" customHeight="1" x14ac:dyDescent="0.25">
      <c r="A173" s="149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  <c r="Q173" s="149"/>
      <c r="R173" s="149"/>
      <c r="S173" s="149"/>
      <c r="T173" s="149"/>
      <c r="U173" s="149"/>
      <c r="V173" s="149"/>
      <c r="W173" s="149"/>
      <c r="X173" s="149"/>
      <c r="Y173" s="149"/>
      <c r="Z173" s="149"/>
      <c r="AA173" s="149"/>
    </row>
    <row r="174" spans="1:27" ht="15.75" customHeight="1" x14ac:dyDescent="0.25">
      <c r="A174" s="149"/>
      <c r="B174" s="149"/>
      <c r="C174" s="149"/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  <c r="Q174" s="149"/>
      <c r="R174" s="149"/>
      <c r="S174" s="149"/>
      <c r="T174" s="149"/>
      <c r="U174" s="149"/>
      <c r="V174" s="149"/>
      <c r="W174" s="149"/>
      <c r="X174" s="149"/>
      <c r="Y174" s="149"/>
      <c r="Z174" s="149"/>
      <c r="AA174" s="149"/>
    </row>
    <row r="175" spans="1:27" ht="15.75" customHeight="1" x14ac:dyDescent="0.25">
      <c r="A175" s="149"/>
      <c r="B175" s="149"/>
      <c r="C175" s="149"/>
      <c r="D175" s="149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  <c r="Q175" s="149"/>
      <c r="R175" s="149"/>
      <c r="S175" s="149"/>
      <c r="T175" s="149"/>
      <c r="U175" s="149"/>
      <c r="V175" s="149"/>
      <c r="W175" s="149"/>
      <c r="X175" s="149"/>
      <c r="Y175" s="149"/>
      <c r="Z175" s="149"/>
      <c r="AA175" s="149"/>
    </row>
    <row r="176" spans="1:27" ht="15.75" customHeight="1" x14ac:dyDescent="0.25">
      <c r="A176" s="149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  <c r="Q176" s="149"/>
      <c r="R176" s="149"/>
      <c r="S176" s="149"/>
      <c r="T176" s="149"/>
      <c r="U176" s="149"/>
      <c r="V176" s="149"/>
      <c r="W176" s="149"/>
      <c r="X176" s="149"/>
      <c r="Y176" s="149"/>
      <c r="Z176" s="149"/>
      <c r="AA176" s="149"/>
    </row>
    <row r="177" spans="1:27" ht="15.75" customHeight="1" x14ac:dyDescent="0.25">
      <c r="A177" s="149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  <c r="Q177" s="149"/>
      <c r="R177" s="149"/>
      <c r="S177" s="149"/>
      <c r="T177" s="149"/>
      <c r="U177" s="149"/>
      <c r="V177" s="149"/>
      <c r="W177" s="149"/>
      <c r="X177" s="149"/>
      <c r="Y177" s="149"/>
      <c r="Z177" s="149"/>
      <c r="AA177" s="149"/>
    </row>
    <row r="178" spans="1:27" ht="15.75" customHeight="1" x14ac:dyDescent="0.25">
      <c r="A178" s="149"/>
      <c r="B178" s="149"/>
      <c r="C178" s="149"/>
      <c r="D178" s="149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  <c r="Q178" s="149"/>
      <c r="R178" s="149"/>
      <c r="S178" s="149"/>
      <c r="T178" s="149"/>
      <c r="U178" s="149"/>
      <c r="V178" s="149"/>
      <c r="W178" s="149"/>
      <c r="X178" s="149"/>
      <c r="Y178" s="149"/>
      <c r="Z178" s="149"/>
      <c r="AA178" s="149"/>
    </row>
    <row r="179" spans="1:27" ht="15.75" customHeight="1" x14ac:dyDescent="0.25">
      <c r="A179" s="149"/>
      <c r="B179" s="149"/>
      <c r="C179" s="149"/>
      <c r="D179" s="149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  <c r="Q179" s="149"/>
      <c r="R179" s="149"/>
      <c r="S179" s="149"/>
      <c r="T179" s="149"/>
      <c r="U179" s="149"/>
      <c r="V179" s="149"/>
      <c r="W179" s="149"/>
      <c r="X179" s="149"/>
      <c r="Y179" s="149"/>
      <c r="Z179" s="149"/>
      <c r="AA179" s="149"/>
    </row>
    <row r="180" spans="1:27" ht="15.75" customHeight="1" x14ac:dyDescent="0.25">
      <c r="A180" s="149"/>
      <c r="B180" s="149"/>
      <c r="C180" s="149"/>
      <c r="D180" s="149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  <c r="T180" s="149"/>
      <c r="U180" s="149"/>
      <c r="V180" s="149"/>
      <c r="W180" s="149"/>
      <c r="X180" s="149"/>
      <c r="Y180" s="149"/>
      <c r="Z180" s="149"/>
      <c r="AA180" s="149"/>
    </row>
    <row r="181" spans="1:27" ht="15.75" customHeight="1" x14ac:dyDescent="0.25">
      <c r="A181" s="149"/>
      <c r="B181" s="149"/>
      <c r="C181" s="149"/>
      <c r="D181" s="149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  <c r="Q181" s="149"/>
      <c r="R181" s="149"/>
      <c r="S181" s="149"/>
      <c r="T181" s="149"/>
      <c r="U181" s="149"/>
      <c r="V181" s="149"/>
      <c r="W181" s="149"/>
      <c r="X181" s="149"/>
      <c r="Y181" s="149"/>
      <c r="Z181" s="149"/>
      <c r="AA181" s="149"/>
    </row>
    <row r="182" spans="1:27" ht="15.75" customHeight="1" x14ac:dyDescent="0.25">
      <c r="A182" s="149"/>
      <c r="B182" s="149"/>
      <c r="C182" s="149"/>
      <c r="D182" s="149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  <c r="Q182" s="149"/>
      <c r="R182" s="149"/>
      <c r="S182" s="149"/>
      <c r="T182" s="149"/>
      <c r="U182" s="149"/>
      <c r="V182" s="149"/>
      <c r="W182" s="149"/>
      <c r="X182" s="149"/>
      <c r="Y182" s="149"/>
      <c r="Z182" s="149"/>
      <c r="AA182" s="149"/>
    </row>
    <row r="183" spans="1:27" ht="15.75" customHeight="1" x14ac:dyDescent="0.25">
      <c r="A183" s="149"/>
      <c r="B183" s="149"/>
      <c r="C183" s="149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  <c r="Q183" s="149"/>
      <c r="R183" s="149"/>
      <c r="S183" s="149"/>
      <c r="T183" s="149"/>
      <c r="U183" s="149"/>
      <c r="V183" s="149"/>
      <c r="W183" s="149"/>
      <c r="X183" s="149"/>
      <c r="Y183" s="149"/>
      <c r="Z183" s="149"/>
      <c r="AA183" s="149"/>
    </row>
    <row r="184" spans="1:27" ht="15.75" customHeight="1" x14ac:dyDescent="0.25">
      <c r="A184" s="149"/>
      <c r="B184" s="149"/>
      <c r="C184" s="149"/>
      <c r="D184" s="149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  <c r="Q184" s="149"/>
      <c r="R184" s="149"/>
      <c r="S184" s="149"/>
      <c r="T184" s="149"/>
      <c r="U184" s="149"/>
      <c r="V184" s="149"/>
      <c r="W184" s="149"/>
      <c r="X184" s="149"/>
      <c r="Y184" s="149"/>
      <c r="Z184" s="149"/>
      <c r="AA184" s="149"/>
    </row>
    <row r="185" spans="1:27" ht="15.75" customHeight="1" x14ac:dyDescent="0.25">
      <c r="A185" s="149"/>
      <c r="B185" s="149"/>
      <c r="C185" s="149"/>
      <c r="D185" s="149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  <c r="Q185" s="149"/>
      <c r="R185" s="149"/>
      <c r="S185" s="149"/>
      <c r="T185" s="149"/>
      <c r="U185" s="149"/>
      <c r="V185" s="149"/>
      <c r="W185" s="149"/>
      <c r="X185" s="149"/>
      <c r="Y185" s="149"/>
      <c r="Z185" s="149"/>
      <c r="AA185" s="149"/>
    </row>
    <row r="186" spans="1:27" ht="15.75" customHeight="1" x14ac:dyDescent="0.25">
      <c r="A186" s="149"/>
      <c r="B186" s="149"/>
      <c r="C186" s="149"/>
      <c r="D186" s="149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  <c r="Q186" s="149"/>
      <c r="R186" s="149"/>
      <c r="S186" s="149"/>
      <c r="T186" s="149"/>
      <c r="U186" s="149"/>
      <c r="V186" s="149"/>
      <c r="W186" s="149"/>
      <c r="X186" s="149"/>
      <c r="Y186" s="149"/>
      <c r="Z186" s="149"/>
      <c r="AA186" s="149"/>
    </row>
    <row r="187" spans="1:27" ht="15.75" customHeight="1" x14ac:dyDescent="0.25">
      <c r="A187" s="149"/>
      <c r="B187" s="149"/>
      <c r="C187" s="149"/>
      <c r="D187" s="149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  <c r="Q187" s="149"/>
      <c r="R187" s="149"/>
      <c r="S187" s="149"/>
      <c r="T187" s="149"/>
      <c r="U187" s="149"/>
      <c r="V187" s="149"/>
      <c r="W187" s="149"/>
      <c r="X187" s="149"/>
      <c r="Y187" s="149"/>
      <c r="Z187" s="149"/>
      <c r="AA187" s="149"/>
    </row>
    <row r="188" spans="1:27" ht="15.75" customHeight="1" x14ac:dyDescent="0.25">
      <c r="A188" s="149"/>
      <c r="B188" s="149"/>
      <c r="C188" s="149"/>
      <c r="D188" s="149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  <c r="T188" s="149"/>
      <c r="U188" s="149"/>
      <c r="V188" s="149"/>
      <c r="W188" s="149"/>
      <c r="X188" s="149"/>
      <c r="Y188" s="149"/>
      <c r="Z188" s="149"/>
      <c r="AA188" s="149"/>
    </row>
    <row r="189" spans="1:27" ht="15.75" customHeight="1" x14ac:dyDescent="0.25">
      <c r="A189" s="149"/>
      <c r="B189" s="149"/>
      <c r="C189" s="149"/>
      <c r="D189" s="149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  <c r="Q189" s="149"/>
      <c r="R189" s="149"/>
      <c r="S189" s="149"/>
      <c r="T189" s="149"/>
      <c r="U189" s="149"/>
      <c r="V189" s="149"/>
      <c r="W189" s="149"/>
      <c r="X189" s="149"/>
      <c r="Y189" s="149"/>
      <c r="Z189" s="149"/>
      <c r="AA189" s="149"/>
    </row>
    <row r="190" spans="1:27" ht="15.75" customHeight="1" x14ac:dyDescent="0.25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  <c r="Q190" s="149"/>
      <c r="R190" s="149"/>
      <c r="S190" s="149"/>
      <c r="T190" s="149"/>
      <c r="U190" s="149"/>
      <c r="V190" s="149"/>
      <c r="W190" s="149"/>
      <c r="X190" s="149"/>
      <c r="Y190" s="149"/>
      <c r="Z190" s="149"/>
      <c r="AA190" s="149"/>
    </row>
    <row r="191" spans="1:27" ht="15.75" customHeight="1" x14ac:dyDescent="0.25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  <c r="Q191" s="149"/>
      <c r="R191" s="149"/>
      <c r="S191" s="149"/>
      <c r="T191" s="149"/>
      <c r="U191" s="149"/>
      <c r="V191" s="149"/>
      <c r="W191" s="149"/>
      <c r="X191" s="149"/>
      <c r="Y191" s="149"/>
      <c r="Z191" s="149"/>
      <c r="AA191" s="149"/>
    </row>
    <row r="192" spans="1:27" ht="15.75" customHeight="1" x14ac:dyDescent="0.25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  <c r="Q192" s="149"/>
      <c r="R192" s="149"/>
      <c r="S192" s="149"/>
      <c r="T192" s="149"/>
      <c r="U192" s="149"/>
      <c r="V192" s="149"/>
      <c r="W192" s="149"/>
      <c r="X192" s="149"/>
      <c r="Y192" s="149"/>
      <c r="Z192" s="149"/>
      <c r="AA192" s="149"/>
    </row>
    <row r="193" spans="1:27" ht="15.75" customHeight="1" x14ac:dyDescent="0.25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  <c r="Q193" s="149"/>
      <c r="R193" s="149"/>
      <c r="S193" s="149"/>
      <c r="T193" s="149"/>
      <c r="U193" s="149"/>
      <c r="V193" s="149"/>
      <c r="W193" s="149"/>
      <c r="X193" s="149"/>
      <c r="Y193" s="149"/>
      <c r="Z193" s="149"/>
      <c r="AA193" s="149"/>
    </row>
    <row r="194" spans="1:27" ht="15.75" customHeight="1" x14ac:dyDescent="0.25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  <c r="Q194" s="149"/>
      <c r="R194" s="149"/>
      <c r="S194" s="149"/>
      <c r="T194" s="149"/>
      <c r="U194" s="149"/>
      <c r="V194" s="149"/>
      <c r="W194" s="149"/>
      <c r="X194" s="149"/>
      <c r="Y194" s="149"/>
      <c r="Z194" s="149"/>
      <c r="AA194" s="149"/>
    </row>
    <row r="195" spans="1:27" ht="15.75" customHeight="1" x14ac:dyDescent="0.25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  <c r="Q195" s="149"/>
      <c r="R195" s="149"/>
      <c r="S195" s="149"/>
      <c r="T195" s="149"/>
      <c r="U195" s="149"/>
      <c r="V195" s="149"/>
      <c r="W195" s="149"/>
      <c r="X195" s="149"/>
      <c r="Y195" s="149"/>
      <c r="Z195" s="149"/>
      <c r="AA195" s="149"/>
    </row>
    <row r="196" spans="1:27" ht="15.75" customHeight="1" x14ac:dyDescent="0.25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  <c r="T196" s="149"/>
      <c r="U196" s="149"/>
      <c r="V196" s="149"/>
      <c r="W196" s="149"/>
      <c r="X196" s="149"/>
      <c r="Y196" s="149"/>
      <c r="Z196" s="149"/>
      <c r="AA196" s="149"/>
    </row>
    <row r="197" spans="1:27" ht="15.75" customHeight="1" x14ac:dyDescent="0.25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  <c r="Q197" s="149"/>
      <c r="R197" s="149"/>
      <c r="S197" s="149"/>
      <c r="T197" s="149"/>
      <c r="U197" s="149"/>
      <c r="V197" s="149"/>
      <c r="W197" s="149"/>
      <c r="X197" s="149"/>
      <c r="Y197" s="149"/>
      <c r="Z197" s="149"/>
      <c r="AA197" s="149"/>
    </row>
    <row r="198" spans="1:27" ht="15.75" customHeight="1" x14ac:dyDescent="0.25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  <c r="Q198" s="149"/>
      <c r="R198" s="149"/>
      <c r="S198" s="149"/>
      <c r="T198" s="149"/>
      <c r="U198" s="149"/>
      <c r="V198" s="149"/>
      <c r="W198" s="149"/>
      <c r="X198" s="149"/>
      <c r="Y198" s="149"/>
      <c r="Z198" s="149"/>
      <c r="AA198" s="149"/>
    </row>
    <row r="199" spans="1:27" ht="15.75" customHeight="1" x14ac:dyDescent="0.25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  <c r="Q199" s="149"/>
      <c r="R199" s="149"/>
      <c r="S199" s="149"/>
      <c r="T199" s="149"/>
      <c r="U199" s="149"/>
      <c r="V199" s="149"/>
      <c r="W199" s="149"/>
      <c r="X199" s="149"/>
      <c r="Y199" s="149"/>
      <c r="Z199" s="149"/>
      <c r="AA199" s="149"/>
    </row>
    <row r="200" spans="1:27" ht="15.75" customHeight="1" x14ac:dyDescent="0.25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  <c r="Q200" s="149"/>
      <c r="R200" s="149"/>
      <c r="S200" s="149"/>
      <c r="T200" s="149"/>
      <c r="U200" s="149"/>
      <c r="V200" s="149"/>
      <c r="W200" s="149"/>
      <c r="X200" s="149"/>
      <c r="Y200" s="149"/>
      <c r="Z200" s="149"/>
      <c r="AA200" s="149"/>
    </row>
    <row r="201" spans="1:27" ht="15.75" customHeight="1" x14ac:dyDescent="0.25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  <c r="Q201" s="149"/>
      <c r="R201" s="149"/>
      <c r="S201" s="149"/>
      <c r="T201" s="149"/>
      <c r="U201" s="149"/>
      <c r="V201" s="149"/>
      <c r="W201" s="149"/>
      <c r="X201" s="149"/>
      <c r="Y201" s="149"/>
      <c r="Z201" s="149"/>
      <c r="AA201" s="149"/>
    </row>
    <row r="202" spans="1:27" ht="15.75" customHeight="1" x14ac:dyDescent="0.25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  <c r="Q202" s="149"/>
      <c r="R202" s="149"/>
      <c r="S202" s="149"/>
      <c r="T202" s="149"/>
      <c r="U202" s="149"/>
      <c r="V202" s="149"/>
      <c r="W202" s="149"/>
      <c r="X202" s="149"/>
      <c r="Y202" s="149"/>
      <c r="Z202" s="149"/>
      <c r="AA202" s="149"/>
    </row>
    <row r="203" spans="1:27" ht="15.75" customHeight="1" x14ac:dyDescent="0.25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  <c r="Q203" s="149"/>
      <c r="R203" s="149"/>
      <c r="S203" s="149"/>
      <c r="T203" s="149"/>
      <c r="U203" s="149"/>
      <c r="V203" s="149"/>
      <c r="W203" s="149"/>
      <c r="X203" s="149"/>
      <c r="Y203" s="149"/>
      <c r="Z203" s="149"/>
      <c r="AA203" s="149"/>
    </row>
    <row r="204" spans="1:27" ht="15.75" customHeight="1" x14ac:dyDescent="0.25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  <c r="Q204" s="149"/>
      <c r="R204" s="149"/>
      <c r="S204" s="149"/>
      <c r="T204" s="149"/>
      <c r="U204" s="149"/>
      <c r="V204" s="149"/>
      <c r="W204" s="149"/>
      <c r="X204" s="149"/>
      <c r="Y204" s="149"/>
      <c r="Z204" s="149"/>
      <c r="AA204" s="149"/>
    </row>
    <row r="205" spans="1:27" ht="15.75" customHeight="1" x14ac:dyDescent="0.25">
      <c r="A205" s="149"/>
      <c r="B205" s="149"/>
      <c r="C205" s="149"/>
      <c r="D205" s="149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  <c r="Q205" s="149"/>
      <c r="R205" s="149"/>
      <c r="S205" s="149"/>
      <c r="T205" s="149"/>
      <c r="U205" s="149"/>
      <c r="V205" s="149"/>
      <c r="W205" s="149"/>
      <c r="X205" s="149"/>
      <c r="Y205" s="149"/>
      <c r="Z205" s="149"/>
      <c r="AA205" s="149"/>
    </row>
    <row r="206" spans="1:27" ht="15.75" customHeight="1" x14ac:dyDescent="0.25">
      <c r="A206" s="149"/>
      <c r="B206" s="149"/>
      <c r="C206" s="149"/>
      <c r="D206" s="149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  <c r="Q206" s="149"/>
      <c r="R206" s="149"/>
      <c r="S206" s="149"/>
      <c r="T206" s="149"/>
      <c r="U206" s="149"/>
      <c r="V206" s="149"/>
      <c r="W206" s="149"/>
      <c r="X206" s="149"/>
      <c r="Y206" s="149"/>
      <c r="Z206" s="149"/>
      <c r="AA206" s="149"/>
    </row>
    <row r="207" spans="1:27" ht="15.75" customHeight="1" x14ac:dyDescent="0.25">
      <c r="A207" s="149"/>
      <c r="B207" s="149"/>
      <c r="C207" s="149"/>
      <c r="D207" s="149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  <c r="Q207" s="149"/>
      <c r="R207" s="149"/>
      <c r="S207" s="149"/>
      <c r="T207" s="149"/>
      <c r="U207" s="149"/>
      <c r="V207" s="149"/>
      <c r="W207" s="149"/>
      <c r="X207" s="149"/>
      <c r="Y207" s="149"/>
      <c r="Z207" s="149"/>
      <c r="AA207" s="149"/>
    </row>
    <row r="208" spans="1:27" ht="15.75" customHeight="1" x14ac:dyDescent="0.25">
      <c r="A208" s="149"/>
      <c r="B208" s="149"/>
      <c r="C208" s="149"/>
      <c r="D208" s="149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  <c r="Q208" s="149"/>
      <c r="R208" s="149"/>
      <c r="S208" s="149"/>
      <c r="T208" s="149"/>
      <c r="U208" s="149"/>
      <c r="V208" s="149"/>
      <c r="W208" s="149"/>
      <c r="X208" s="149"/>
      <c r="Y208" s="149"/>
      <c r="Z208" s="149"/>
      <c r="AA208" s="149"/>
    </row>
    <row r="209" spans="1:27" ht="15.75" customHeight="1" x14ac:dyDescent="0.25">
      <c r="A209" s="149"/>
      <c r="B209" s="149"/>
      <c r="C209" s="149"/>
      <c r="D209" s="149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  <c r="Q209" s="149"/>
      <c r="R209" s="149"/>
      <c r="S209" s="149"/>
      <c r="T209" s="149"/>
      <c r="U209" s="149"/>
      <c r="V209" s="149"/>
      <c r="W209" s="149"/>
      <c r="X209" s="149"/>
      <c r="Y209" s="149"/>
      <c r="Z209" s="149"/>
      <c r="AA209" s="149"/>
    </row>
    <row r="210" spans="1:27" ht="15.75" customHeight="1" x14ac:dyDescent="0.25">
      <c r="A210" s="149"/>
      <c r="B210" s="149"/>
      <c r="C210" s="149"/>
      <c r="D210" s="149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  <c r="Q210" s="149"/>
      <c r="R210" s="149"/>
      <c r="S210" s="149"/>
      <c r="T210" s="149"/>
      <c r="U210" s="149"/>
      <c r="V210" s="149"/>
      <c r="W210" s="149"/>
      <c r="X210" s="149"/>
      <c r="Y210" s="149"/>
      <c r="Z210" s="149"/>
      <c r="AA210" s="149"/>
    </row>
    <row r="211" spans="1:27" ht="15.75" customHeight="1" x14ac:dyDescent="0.25">
      <c r="A211" s="149"/>
      <c r="B211" s="149"/>
      <c r="C211" s="149"/>
      <c r="D211" s="149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  <c r="T211" s="149"/>
      <c r="U211" s="149"/>
      <c r="V211" s="149"/>
      <c r="W211" s="149"/>
      <c r="X211" s="149"/>
      <c r="Y211" s="149"/>
      <c r="Z211" s="149"/>
      <c r="AA211" s="149"/>
    </row>
    <row r="212" spans="1:27" ht="15.75" customHeight="1" x14ac:dyDescent="0.25">
      <c r="A212" s="149"/>
      <c r="B212" s="149"/>
      <c r="C212" s="149"/>
      <c r="D212" s="149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  <c r="Q212" s="149"/>
      <c r="R212" s="149"/>
      <c r="S212" s="149"/>
      <c r="T212" s="149"/>
      <c r="U212" s="149"/>
      <c r="V212" s="149"/>
      <c r="W212" s="149"/>
      <c r="X212" s="149"/>
      <c r="Y212" s="149"/>
      <c r="Z212" s="149"/>
      <c r="AA212" s="149"/>
    </row>
    <row r="213" spans="1:27" ht="15.75" customHeight="1" x14ac:dyDescent="0.25">
      <c r="A213" s="149"/>
      <c r="B213" s="149"/>
      <c r="C213" s="149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  <c r="Q213" s="149"/>
      <c r="R213" s="149"/>
      <c r="S213" s="149"/>
      <c r="T213" s="149"/>
      <c r="U213" s="149"/>
      <c r="V213" s="149"/>
      <c r="W213" s="149"/>
      <c r="X213" s="149"/>
      <c r="Y213" s="149"/>
      <c r="Z213" s="149"/>
      <c r="AA213" s="149"/>
    </row>
    <row r="214" spans="1:27" ht="15.75" customHeight="1" x14ac:dyDescent="0.25">
      <c r="A214" s="149"/>
      <c r="B214" s="149"/>
      <c r="C214" s="149"/>
      <c r="D214" s="149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  <c r="Q214" s="149"/>
      <c r="R214" s="149"/>
      <c r="S214" s="149"/>
      <c r="T214" s="149"/>
      <c r="U214" s="149"/>
      <c r="V214" s="149"/>
      <c r="W214" s="149"/>
      <c r="X214" s="149"/>
      <c r="Y214" s="149"/>
      <c r="Z214" s="149"/>
      <c r="AA214" s="149"/>
    </row>
    <row r="215" spans="1:27" ht="15.75" customHeight="1" x14ac:dyDescent="0.25">
      <c r="A215" s="149"/>
      <c r="B215" s="149"/>
      <c r="C215" s="149"/>
      <c r="D215" s="149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  <c r="Q215" s="149"/>
      <c r="R215" s="149"/>
      <c r="S215" s="149"/>
      <c r="T215" s="149"/>
      <c r="U215" s="149"/>
      <c r="V215" s="149"/>
      <c r="W215" s="149"/>
      <c r="X215" s="149"/>
      <c r="Y215" s="149"/>
      <c r="Z215" s="149"/>
      <c r="AA215" s="149"/>
    </row>
    <row r="216" spans="1:27" ht="15.75" customHeight="1" x14ac:dyDescent="0.25">
      <c r="A216" s="149"/>
      <c r="B216" s="149"/>
      <c r="C216" s="149"/>
      <c r="D216" s="149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  <c r="Q216" s="149"/>
      <c r="R216" s="149"/>
      <c r="S216" s="149"/>
      <c r="T216" s="149"/>
      <c r="U216" s="149"/>
      <c r="V216" s="149"/>
      <c r="W216" s="149"/>
      <c r="X216" s="149"/>
      <c r="Y216" s="149"/>
      <c r="Z216" s="149"/>
      <c r="AA216" s="149"/>
    </row>
    <row r="217" spans="1:27" ht="15.75" customHeight="1" x14ac:dyDescent="0.25">
      <c r="A217" s="149"/>
      <c r="B217" s="149"/>
      <c r="C217" s="149"/>
      <c r="D217" s="149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  <c r="Q217" s="149"/>
      <c r="R217" s="149"/>
      <c r="S217" s="149"/>
      <c r="T217" s="149"/>
      <c r="U217" s="149"/>
      <c r="V217" s="149"/>
      <c r="W217" s="149"/>
      <c r="X217" s="149"/>
      <c r="Y217" s="149"/>
      <c r="Z217" s="149"/>
      <c r="AA217" s="149"/>
    </row>
    <row r="218" spans="1:27" ht="15.75" customHeight="1" x14ac:dyDescent="0.25">
      <c r="A218" s="149"/>
      <c r="B218" s="149"/>
      <c r="C218" s="149"/>
      <c r="D218" s="149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  <c r="Q218" s="149"/>
      <c r="R218" s="149"/>
      <c r="S218" s="149"/>
      <c r="T218" s="149"/>
      <c r="U218" s="149"/>
      <c r="V218" s="149"/>
      <c r="W218" s="149"/>
      <c r="X218" s="149"/>
      <c r="Y218" s="149"/>
      <c r="Z218" s="149"/>
      <c r="AA218" s="149"/>
    </row>
    <row r="219" spans="1:27" ht="15.75" customHeight="1" x14ac:dyDescent="0.25">
      <c r="A219" s="149"/>
      <c r="B219" s="149"/>
      <c r="C219" s="149"/>
      <c r="D219" s="149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  <c r="T219" s="149"/>
      <c r="U219" s="149"/>
      <c r="V219" s="149"/>
      <c r="W219" s="149"/>
      <c r="X219" s="149"/>
      <c r="Y219" s="149"/>
      <c r="Z219" s="149"/>
      <c r="AA219" s="149"/>
    </row>
    <row r="220" spans="1:27" ht="15.75" customHeight="1" x14ac:dyDescent="0.25">
      <c r="A220" s="149"/>
      <c r="B220" s="149"/>
      <c r="C220" s="149"/>
      <c r="D220" s="149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  <c r="Q220" s="149"/>
      <c r="R220" s="149"/>
      <c r="S220" s="149"/>
      <c r="T220" s="149"/>
      <c r="U220" s="149"/>
      <c r="V220" s="149"/>
      <c r="W220" s="149"/>
      <c r="X220" s="149"/>
      <c r="Y220" s="149"/>
      <c r="Z220" s="149"/>
      <c r="AA220" s="149"/>
    </row>
    <row r="221" spans="1:27" ht="15.75" customHeight="1" x14ac:dyDescent="0.25">
      <c r="A221" s="149"/>
      <c r="B221" s="149"/>
      <c r="C221" s="149"/>
      <c r="D221" s="149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  <c r="Q221" s="149"/>
      <c r="R221" s="149"/>
      <c r="S221" s="149"/>
      <c r="T221" s="149"/>
      <c r="U221" s="149"/>
      <c r="V221" s="149"/>
      <c r="W221" s="149"/>
      <c r="X221" s="149"/>
      <c r="Y221" s="149"/>
      <c r="Z221" s="149"/>
      <c r="AA221" s="149"/>
    </row>
    <row r="222" spans="1:27" ht="15.75" customHeight="1" x14ac:dyDescent="0.25">
      <c r="A222" s="149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  <c r="Q222" s="149"/>
      <c r="R222" s="149"/>
      <c r="S222" s="149"/>
      <c r="T222" s="149"/>
      <c r="U222" s="149"/>
      <c r="V222" s="149"/>
      <c r="W222" s="149"/>
      <c r="X222" s="149"/>
      <c r="Y222" s="149"/>
      <c r="Z222" s="149"/>
      <c r="AA222" s="149"/>
    </row>
    <row r="223" spans="1:27" ht="15.75" customHeight="1" x14ac:dyDescent="0.25">
      <c r="A223" s="149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  <c r="Q223" s="149"/>
      <c r="R223" s="149"/>
      <c r="S223" s="149"/>
      <c r="T223" s="149"/>
      <c r="U223" s="149"/>
      <c r="V223" s="149"/>
      <c r="W223" s="149"/>
      <c r="X223" s="149"/>
      <c r="Y223" s="149"/>
      <c r="Z223" s="149"/>
      <c r="AA223" s="149"/>
    </row>
    <row r="224" spans="1:27" ht="15.75" customHeight="1" x14ac:dyDescent="0.25">
      <c r="A224" s="149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  <c r="Q224" s="149"/>
      <c r="R224" s="149"/>
      <c r="S224" s="149"/>
      <c r="T224" s="149"/>
      <c r="U224" s="149"/>
      <c r="V224" s="149"/>
      <c r="W224" s="149"/>
      <c r="X224" s="149"/>
      <c r="Y224" s="149"/>
      <c r="Z224" s="149"/>
      <c r="AA224" s="149"/>
    </row>
    <row r="225" spans="1:27" ht="15.75" customHeight="1" x14ac:dyDescent="0.25">
      <c r="A225" s="149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  <c r="Q225" s="149"/>
      <c r="R225" s="149"/>
      <c r="S225" s="149"/>
      <c r="T225" s="149"/>
      <c r="U225" s="149"/>
      <c r="V225" s="149"/>
      <c r="W225" s="149"/>
      <c r="X225" s="149"/>
      <c r="Y225" s="149"/>
      <c r="Z225" s="149"/>
      <c r="AA225" s="149"/>
    </row>
    <row r="226" spans="1:27" ht="15.75" customHeight="1" x14ac:dyDescent="0.25">
      <c r="A226" s="149"/>
      <c r="B226" s="149"/>
      <c r="C226" s="149"/>
      <c r="D226" s="149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  <c r="Q226" s="149"/>
      <c r="R226" s="149"/>
      <c r="S226" s="149"/>
      <c r="T226" s="149"/>
      <c r="U226" s="149"/>
      <c r="V226" s="149"/>
      <c r="W226" s="149"/>
      <c r="X226" s="149"/>
      <c r="Y226" s="149"/>
      <c r="Z226" s="149"/>
      <c r="AA226" s="149"/>
    </row>
    <row r="227" spans="1:27" ht="15.75" customHeight="1" x14ac:dyDescent="0.25">
      <c r="A227" s="149"/>
      <c r="B227" s="149"/>
      <c r="C227" s="149"/>
      <c r="D227" s="149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  <c r="Q227" s="149"/>
      <c r="R227" s="149"/>
      <c r="S227" s="149"/>
      <c r="T227" s="149"/>
      <c r="U227" s="149"/>
      <c r="V227" s="149"/>
      <c r="W227" s="149"/>
      <c r="X227" s="149"/>
      <c r="Y227" s="149"/>
      <c r="Z227" s="149"/>
      <c r="AA227" s="149"/>
    </row>
    <row r="228" spans="1:27" ht="15.75" customHeight="1" x14ac:dyDescent="0.25">
      <c r="A228" s="149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  <c r="Q228" s="149"/>
      <c r="R228" s="149"/>
      <c r="S228" s="149"/>
      <c r="T228" s="149"/>
      <c r="U228" s="149"/>
      <c r="V228" s="149"/>
      <c r="W228" s="149"/>
      <c r="X228" s="149"/>
      <c r="Y228" s="149"/>
      <c r="Z228" s="149"/>
      <c r="AA228" s="149"/>
    </row>
    <row r="229" spans="1:27" ht="15.75" customHeight="1" x14ac:dyDescent="0.25">
      <c r="A229" s="149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  <c r="Q229" s="149"/>
      <c r="R229" s="149"/>
      <c r="S229" s="149"/>
      <c r="T229" s="149"/>
      <c r="U229" s="149"/>
      <c r="V229" s="149"/>
      <c r="W229" s="149"/>
      <c r="X229" s="149"/>
      <c r="Y229" s="149"/>
      <c r="Z229" s="149"/>
      <c r="AA229" s="149"/>
    </row>
    <row r="230" spans="1:27" ht="15.75" customHeight="1" x14ac:dyDescent="0.25">
      <c r="A230" s="149"/>
      <c r="B230" s="149"/>
      <c r="C230" s="149"/>
      <c r="D230" s="149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  <c r="Q230" s="149"/>
      <c r="R230" s="149"/>
      <c r="S230" s="149"/>
      <c r="T230" s="149"/>
      <c r="U230" s="149"/>
      <c r="V230" s="149"/>
      <c r="W230" s="149"/>
      <c r="X230" s="149"/>
      <c r="Y230" s="149"/>
      <c r="Z230" s="149"/>
      <c r="AA230" s="149"/>
    </row>
    <row r="231" spans="1:27" ht="15.75" customHeight="1" x14ac:dyDescent="0.25">
      <c r="A231" s="149"/>
      <c r="B231" s="149"/>
      <c r="C231" s="149"/>
      <c r="D231" s="149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  <c r="Q231" s="149"/>
      <c r="R231" s="149"/>
      <c r="S231" s="149"/>
      <c r="T231" s="149"/>
      <c r="U231" s="149"/>
      <c r="V231" s="149"/>
      <c r="W231" s="149"/>
      <c r="X231" s="149"/>
      <c r="Y231" s="149"/>
      <c r="Z231" s="149"/>
      <c r="AA231" s="149"/>
    </row>
    <row r="232" spans="1:27" ht="15.75" customHeight="1" x14ac:dyDescent="0.25">
      <c r="A232" s="149"/>
      <c r="B232" s="149"/>
      <c r="C232" s="149"/>
      <c r="D232" s="149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  <c r="Q232" s="149"/>
      <c r="R232" s="149"/>
      <c r="S232" s="149"/>
      <c r="T232" s="149"/>
      <c r="U232" s="149"/>
      <c r="V232" s="149"/>
      <c r="W232" s="149"/>
      <c r="X232" s="149"/>
      <c r="Y232" s="149"/>
      <c r="Z232" s="149"/>
      <c r="AA232" s="149"/>
    </row>
    <row r="233" spans="1:27" ht="15.75" customHeight="1" x14ac:dyDescent="0.25">
      <c r="A233" s="149"/>
      <c r="B233" s="149"/>
      <c r="C233" s="149"/>
      <c r="D233" s="149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  <c r="Q233" s="149"/>
      <c r="R233" s="149"/>
      <c r="S233" s="149"/>
      <c r="T233" s="149"/>
      <c r="U233" s="149"/>
      <c r="V233" s="149"/>
      <c r="W233" s="149"/>
      <c r="X233" s="149"/>
      <c r="Y233" s="149"/>
      <c r="Z233" s="149"/>
      <c r="AA233" s="149"/>
    </row>
    <row r="234" spans="1:27" ht="15.75" customHeight="1" x14ac:dyDescent="0.25">
      <c r="A234" s="149"/>
      <c r="B234" s="149"/>
      <c r="C234" s="149"/>
      <c r="D234" s="149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  <c r="Q234" s="149"/>
      <c r="R234" s="149"/>
      <c r="S234" s="149"/>
      <c r="T234" s="149"/>
      <c r="U234" s="149"/>
      <c r="V234" s="149"/>
      <c r="W234" s="149"/>
      <c r="X234" s="149"/>
      <c r="Y234" s="149"/>
      <c r="Z234" s="149"/>
      <c r="AA234" s="149"/>
    </row>
    <row r="235" spans="1:27" ht="15.75" customHeight="1" x14ac:dyDescent="0.25">
      <c r="A235" s="149"/>
      <c r="B235" s="149"/>
      <c r="C235" s="149"/>
      <c r="D235" s="149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  <c r="AA235" s="149"/>
    </row>
    <row r="236" spans="1:27" ht="15.75" customHeight="1" x14ac:dyDescent="0.25">
      <c r="A236" s="149"/>
      <c r="B236" s="149"/>
      <c r="C236" s="149"/>
      <c r="D236" s="149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  <c r="Q236" s="149"/>
      <c r="R236" s="149"/>
      <c r="S236" s="149"/>
      <c r="T236" s="149"/>
      <c r="U236" s="149"/>
      <c r="V236" s="149"/>
      <c r="W236" s="149"/>
      <c r="X236" s="149"/>
      <c r="Y236" s="149"/>
      <c r="Z236" s="149"/>
      <c r="AA236" s="149"/>
    </row>
    <row r="237" spans="1:27" ht="15.75" customHeight="1" x14ac:dyDescent="0.25">
      <c r="A237" s="149"/>
      <c r="B237" s="149"/>
      <c r="C237" s="149"/>
      <c r="D237" s="149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  <c r="Q237" s="149"/>
      <c r="R237" s="149"/>
      <c r="S237" s="149"/>
      <c r="T237" s="149"/>
      <c r="U237" s="149"/>
      <c r="V237" s="149"/>
      <c r="W237" s="149"/>
      <c r="X237" s="149"/>
      <c r="Y237" s="149"/>
      <c r="Z237" s="149"/>
      <c r="AA237" s="149"/>
    </row>
    <row r="238" spans="1:27" ht="15.75" customHeight="1" x14ac:dyDescent="0.25">
      <c r="A238" s="149"/>
      <c r="B238" s="149"/>
      <c r="C238" s="149"/>
      <c r="D238" s="149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  <c r="AA238" s="149"/>
    </row>
    <row r="239" spans="1:27" ht="15.75" customHeight="1" x14ac:dyDescent="0.25">
      <c r="A239" s="149"/>
      <c r="B239" s="149"/>
      <c r="C239" s="149"/>
      <c r="D239" s="149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  <c r="Q239" s="149"/>
      <c r="R239" s="149"/>
      <c r="S239" s="149"/>
      <c r="T239" s="149"/>
      <c r="U239" s="149"/>
      <c r="V239" s="149"/>
      <c r="W239" s="149"/>
      <c r="X239" s="149"/>
      <c r="Y239" s="149"/>
      <c r="Z239" s="149"/>
      <c r="AA239" s="149"/>
    </row>
    <row r="240" spans="1:27" ht="15.75" customHeight="1" x14ac:dyDescent="0.25">
      <c r="A240" s="149"/>
      <c r="B240" s="149"/>
      <c r="C240" s="149"/>
      <c r="D240" s="149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  <c r="Q240" s="149"/>
      <c r="R240" s="149"/>
      <c r="S240" s="149"/>
      <c r="T240" s="149"/>
      <c r="U240" s="149"/>
      <c r="V240" s="149"/>
      <c r="W240" s="149"/>
      <c r="X240" s="149"/>
      <c r="Y240" s="149"/>
      <c r="Z240" s="149"/>
      <c r="AA240" s="149"/>
    </row>
    <row r="241" spans="1:27" ht="15.75" customHeight="1" x14ac:dyDescent="0.25">
      <c r="A241" s="149"/>
      <c r="B241" s="149"/>
      <c r="C241" s="149"/>
      <c r="D241" s="149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  <c r="Q241" s="149"/>
      <c r="R241" s="149"/>
      <c r="S241" s="149"/>
      <c r="T241" s="149"/>
      <c r="U241" s="149"/>
      <c r="V241" s="149"/>
      <c r="W241" s="149"/>
      <c r="X241" s="149"/>
      <c r="Y241" s="149"/>
      <c r="Z241" s="149"/>
      <c r="AA241" s="149"/>
    </row>
    <row r="242" spans="1:27" ht="15.75" customHeight="1" x14ac:dyDescent="0.25">
      <c r="A242" s="149"/>
      <c r="B242" s="149"/>
      <c r="C242" s="149"/>
      <c r="D242" s="149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  <c r="Q242" s="149"/>
      <c r="R242" s="149"/>
      <c r="S242" s="149"/>
      <c r="T242" s="149"/>
      <c r="U242" s="149"/>
      <c r="V242" s="149"/>
      <c r="W242" s="149"/>
      <c r="X242" s="149"/>
      <c r="Y242" s="149"/>
      <c r="Z242" s="149"/>
      <c r="AA242" s="149"/>
    </row>
    <row r="243" spans="1:27" ht="15.75" customHeight="1" x14ac:dyDescent="0.25">
      <c r="A243" s="149"/>
      <c r="B243" s="149"/>
      <c r="C243" s="149"/>
      <c r="D243" s="149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  <c r="Q243" s="149"/>
      <c r="R243" s="149"/>
      <c r="S243" s="149"/>
      <c r="T243" s="149"/>
      <c r="U243" s="149"/>
      <c r="V243" s="149"/>
      <c r="W243" s="149"/>
      <c r="X243" s="149"/>
      <c r="Y243" s="149"/>
      <c r="Z243" s="149"/>
      <c r="AA243" s="149"/>
    </row>
    <row r="244" spans="1:27" ht="15.75" customHeight="1" x14ac:dyDescent="0.25">
      <c r="A244" s="149"/>
      <c r="B244" s="149"/>
      <c r="C244" s="149"/>
      <c r="D244" s="149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  <c r="Q244" s="149"/>
      <c r="R244" s="149"/>
      <c r="S244" s="149"/>
      <c r="T244" s="149"/>
      <c r="U244" s="149"/>
      <c r="V244" s="149"/>
      <c r="W244" s="149"/>
      <c r="X244" s="149"/>
      <c r="Y244" s="149"/>
      <c r="Z244" s="149"/>
      <c r="AA244" s="149"/>
    </row>
    <row r="245" spans="1:27" ht="15.75" customHeight="1" x14ac:dyDescent="0.25">
      <c r="A245" s="149"/>
      <c r="B245" s="149"/>
      <c r="C245" s="149"/>
      <c r="D245" s="149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  <c r="Q245" s="149"/>
      <c r="R245" s="149"/>
      <c r="S245" s="149"/>
      <c r="T245" s="149"/>
      <c r="U245" s="149"/>
      <c r="V245" s="149"/>
      <c r="W245" s="149"/>
      <c r="X245" s="149"/>
      <c r="Y245" s="149"/>
      <c r="Z245" s="149"/>
      <c r="AA245" s="149"/>
    </row>
    <row r="246" spans="1:27" ht="15.75" customHeight="1" x14ac:dyDescent="0.25">
      <c r="A246" s="149"/>
      <c r="B246" s="149"/>
      <c r="C246" s="149"/>
      <c r="D246" s="149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  <c r="Q246" s="149"/>
      <c r="R246" s="149"/>
      <c r="S246" s="149"/>
      <c r="T246" s="149"/>
      <c r="U246" s="149"/>
      <c r="V246" s="149"/>
      <c r="W246" s="149"/>
      <c r="X246" s="149"/>
      <c r="Y246" s="149"/>
      <c r="Z246" s="149"/>
      <c r="AA246" s="149"/>
    </row>
    <row r="247" spans="1:27" ht="15.75" customHeight="1" x14ac:dyDescent="0.25">
      <c r="A247" s="149"/>
      <c r="B247" s="149"/>
      <c r="C247" s="149"/>
      <c r="D247" s="149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  <c r="AA247" s="149"/>
    </row>
    <row r="248" spans="1:27" ht="15.75" customHeight="1" x14ac:dyDescent="0.25">
      <c r="A248" s="149"/>
      <c r="B248" s="149"/>
      <c r="C248" s="149"/>
      <c r="D248" s="149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  <c r="Q248" s="149"/>
      <c r="R248" s="149"/>
      <c r="S248" s="149"/>
      <c r="T248" s="149"/>
      <c r="U248" s="149"/>
      <c r="V248" s="149"/>
      <c r="W248" s="149"/>
      <c r="X248" s="149"/>
      <c r="Y248" s="149"/>
      <c r="Z248" s="149"/>
      <c r="AA248" s="149"/>
    </row>
    <row r="249" spans="1:27" ht="15.75" customHeight="1" x14ac:dyDescent="0.25">
      <c r="A249" s="149"/>
      <c r="B249" s="149"/>
      <c r="C249" s="149"/>
      <c r="D249" s="149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  <c r="Q249" s="149"/>
      <c r="R249" s="149"/>
      <c r="S249" s="149"/>
      <c r="T249" s="149"/>
      <c r="U249" s="149"/>
      <c r="V249" s="149"/>
      <c r="W249" s="149"/>
      <c r="X249" s="149"/>
      <c r="Y249" s="149"/>
      <c r="Z249" s="149"/>
      <c r="AA249" s="149"/>
    </row>
    <row r="250" spans="1:27" ht="15.75" customHeight="1" x14ac:dyDescent="0.25">
      <c r="A250" s="149"/>
      <c r="B250" s="149"/>
      <c r="C250" s="149"/>
      <c r="D250" s="149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  <c r="AA250" s="149"/>
    </row>
    <row r="251" spans="1:27" ht="15.75" customHeight="1" x14ac:dyDescent="0.25">
      <c r="A251" s="149"/>
      <c r="B251" s="149"/>
      <c r="C251" s="149"/>
      <c r="D251" s="149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  <c r="Q251" s="149"/>
      <c r="R251" s="149"/>
      <c r="S251" s="149"/>
      <c r="T251" s="149"/>
      <c r="U251" s="149"/>
      <c r="V251" s="149"/>
      <c r="W251" s="149"/>
      <c r="X251" s="149"/>
      <c r="Y251" s="149"/>
      <c r="Z251" s="149"/>
      <c r="AA251" s="149"/>
    </row>
    <row r="252" spans="1:27" ht="15.75" customHeight="1" x14ac:dyDescent="0.25">
      <c r="A252" s="149"/>
      <c r="B252" s="149"/>
      <c r="C252" s="149"/>
      <c r="D252" s="149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  <c r="Q252" s="149"/>
      <c r="R252" s="149"/>
      <c r="S252" s="149"/>
      <c r="T252" s="149"/>
      <c r="U252" s="149"/>
      <c r="V252" s="149"/>
      <c r="W252" s="149"/>
      <c r="X252" s="149"/>
      <c r="Y252" s="149"/>
      <c r="Z252" s="149"/>
      <c r="AA252" s="149"/>
    </row>
    <row r="253" spans="1:27" ht="15.75" customHeight="1" x14ac:dyDescent="0.25">
      <c r="A253" s="149"/>
      <c r="B253" s="149"/>
      <c r="C253" s="149"/>
      <c r="D253" s="149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  <c r="Q253" s="149"/>
      <c r="R253" s="149"/>
      <c r="S253" s="149"/>
      <c r="T253" s="149"/>
      <c r="U253" s="149"/>
      <c r="V253" s="149"/>
      <c r="W253" s="149"/>
      <c r="X253" s="149"/>
      <c r="Y253" s="149"/>
      <c r="Z253" s="149"/>
      <c r="AA253" s="149"/>
    </row>
    <row r="254" spans="1:27" ht="15.75" customHeight="1" x14ac:dyDescent="0.25">
      <c r="A254" s="149"/>
      <c r="B254" s="149"/>
      <c r="C254" s="149"/>
      <c r="D254" s="149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  <c r="Q254" s="149"/>
      <c r="R254" s="149"/>
      <c r="S254" s="149"/>
      <c r="T254" s="149"/>
      <c r="U254" s="149"/>
      <c r="V254" s="149"/>
      <c r="W254" s="149"/>
      <c r="X254" s="149"/>
      <c r="Y254" s="149"/>
      <c r="Z254" s="149"/>
      <c r="AA254" s="149"/>
    </row>
    <row r="255" spans="1:27" ht="15.75" customHeight="1" x14ac:dyDescent="0.25">
      <c r="A255" s="149"/>
      <c r="B255" s="149"/>
      <c r="C255" s="149"/>
      <c r="D255" s="149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  <c r="Q255" s="149"/>
      <c r="R255" s="149"/>
      <c r="S255" s="149"/>
      <c r="T255" s="149"/>
      <c r="U255" s="149"/>
      <c r="V255" s="149"/>
      <c r="W255" s="149"/>
      <c r="X255" s="149"/>
      <c r="Y255" s="149"/>
      <c r="Z255" s="149"/>
      <c r="AA255" s="149"/>
    </row>
    <row r="256" spans="1:27" ht="15.75" customHeight="1" x14ac:dyDescent="0.25">
      <c r="A256" s="149"/>
      <c r="B256" s="149"/>
      <c r="C256" s="149"/>
      <c r="D256" s="149"/>
      <c r="E256" s="14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  <c r="Q256" s="149"/>
      <c r="R256" s="149"/>
      <c r="S256" s="149"/>
      <c r="T256" s="149"/>
      <c r="U256" s="149"/>
      <c r="V256" s="149"/>
      <c r="W256" s="149"/>
      <c r="X256" s="149"/>
      <c r="Y256" s="149"/>
      <c r="Z256" s="149"/>
      <c r="AA256" s="149"/>
    </row>
    <row r="257" spans="1:27" ht="15.75" customHeight="1" x14ac:dyDescent="0.25">
      <c r="A257" s="149"/>
      <c r="B257" s="149"/>
      <c r="C257" s="149"/>
      <c r="D257" s="149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  <c r="Q257" s="149"/>
      <c r="R257" s="149"/>
      <c r="S257" s="149"/>
      <c r="T257" s="149"/>
      <c r="U257" s="149"/>
      <c r="V257" s="149"/>
      <c r="W257" s="149"/>
      <c r="X257" s="149"/>
      <c r="Y257" s="149"/>
      <c r="Z257" s="149"/>
      <c r="AA257" s="149"/>
    </row>
    <row r="258" spans="1:27" ht="15.75" customHeight="1" x14ac:dyDescent="0.25">
      <c r="A258" s="149"/>
      <c r="B258" s="149"/>
      <c r="C258" s="149"/>
      <c r="D258" s="149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  <c r="Q258" s="149"/>
      <c r="R258" s="149"/>
      <c r="S258" s="149"/>
      <c r="T258" s="149"/>
      <c r="U258" s="149"/>
      <c r="V258" s="149"/>
      <c r="W258" s="149"/>
      <c r="X258" s="149"/>
      <c r="Y258" s="149"/>
      <c r="Z258" s="149"/>
      <c r="AA258" s="149"/>
    </row>
    <row r="259" spans="1:27" ht="15.75" customHeight="1" x14ac:dyDescent="0.25">
      <c r="A259" s="149"/>
      <c r="B259" s="149"/>
      <c r="C259" s="149"/>
      <c r="D259" s="149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  <c r="AA259" s="149"/>
    </row>
    <row r="260" spans="1:27" ht="15.75" customHeight="1" x14ac:dyDescent="0.25">
      <c r="A260" s="149"/>
      <c r="B260" s="149"/>
      <c r="C260" s="149"/>
      <c r="D260" s="149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  <c r="Q260" s="149"/>
      <c r="R260" s="149"/>
      <c r="S260" s="149"/>
      <c r="T260" s="149"/>
      <c r="U260" s="149"/>
      <c r="V260" s="149"/>
      <c r="W260" s="149"/>
      <c r="X260" s="149"/>
      <c r="Y260" s="149"/>
      <c r="Z260" s="149"/>
      <c r="AA260" s="149"/>
    </row>
    <row r="261" spans="1:27" ht="15.75" customHeight="1" x14ac:dyDescent="0.25">
      <c r="A261" s="149"/>
      <c r="B261" s="149"/>
      <c r="C261" s="149"/>
      <c r="D261" s="149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  <c r="Q261" s="149"/>
      <c r="R261" s="149"/>
      <c r="S261" s="149"/>
      <c r="T261" s="149"/>
      <c r="U261" s="149"/>
      <c r="V261" s="149"/>
      <c r="W261" s="149"/>
      <c r="X261" s="149"/>
      <c r="Y261" s="149"/>
      <c r="Z261" s="149"/>
      <c r="AA261" s="149"/>
    </row>
    <row r="262" spans="1:27" ht="15.75" customHeight="1" x14ac:dyDescent="0.25">
      <c r="A262" s="149"/>
      <c r="B262" s="149"/>
      <c r="C262" s="149"/>
      <c r="D262" s="149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  <c r="AA262" s="149"/>
    </row>
    <row r="263" spans="1:27" ht="15.75" customHeight="1" x14ac:dyDescent="0.25">
      <c r="A263" s="149"/>
      <c r="B263" s="149"/>
      <c r="C263" s="149"/>
      <c r="D263" s="149"/>
      <c r="E263" s="14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  <c r="AA263" s="149"/>
    </row>
    <row r="264" spans="1:27" ht="15.75" customHeight="1" x14ac:dyDescent="0.25">
      <c r="A264" s="149"/>
      <c r="B264" s="149"/>
      <c r="C264" s="149"/>
      <c r="D264" s="149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  <c r="Q264" s="149"/>
      <c r="R264" s="149"/>
      <c r="S264" s="149"/>
      <c r="T264" s="149"/>
      <c r="U264" s="149"/>
      <c r="V264" s="149"/>
      <c r="W264" s="149"/>
      <c r="X264" s="149"/>
      <c r="Y264" s="149"/>
      <c r="Z264" s="149"/>
      <c r="AA264" s="149"/>
    </row>
    <row r="265" spans="1:27" ht="15.75" customHeight="1" x14ac:dyDescent="0.25">
      <c r="A265" s="149"/>
      <c r="B265" s="149"/>
      <c r="C265" s="149"/>
      <c r="D265" s="149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  <c r="Q265" s="149"/>
      <c r="R265" s="149"/>
      <c r="S265" s="149"/>
      <c r="T265" s="149"/>
      <c r="U265" s="149"/>
      <c r="V265" s="149"/>
      <c r="W265" s="149"/>
      <c r="X265" s="149"/>
      <c r="Y265" s="149"/>
      <c r="Z265" s="149"/>
      <c r="AA265" s="149"/>
    </row>
    <row r="266" spans="1:27" ht="15.75" customHeight="1" x14ac:dyDescent="0.25">
      <c r="A266" s="149"/>
      <c r="B266" s="149"/>
      <c r="C266" s="149"/>
      <c r="D266" s="149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  <c r="Q266" s="149"/>
      <c r="R266" s="149"/>
      <c r="S266" s="149"/>
      <c r="T266" s="149"/>
      <c r="U266" s="149"/>
      <c r="V266" s="149"/>
      <c r="W266" s="149"/>
      <c r="X266" s="149"/>
      <c r="Y266" s="149"/>
      <c r="Z266" s="149"/>
      <c r="AA266" s="149"/>
    </row>
    <row r="267" spans="1:27" ht="15.75" customHeight="1" x14ac:dyDescent="0.25">
      <c r="A267" s="149"/>
      <c r="B267" s="149"/>
      <c r="C267" s="149"/>
      <c r="D267" s="149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  <c r="Q267" s="149"/>
      <c r="R267" s="149"/>
      <c r="S267" s="149"/>
      <c r="T267" s="149"/>
      <c r="U267" s="149"/>
      <c r="V267" s="149"/>
      <c r="W267" s="149"/>
      <c r="X267" s="149"/>
      <c r="Y267" s="149"/>
      <c r="Z267" s="149"/>
      <c r="AA267" s="149"/>
    </row>
    <row r="268" spans="1:27" ht="15.75" customHeight="1" x14ac:dyDescent="0.25">
      <c r="A268" s="149"/>
      <c r="B268" s="149"/>
      <c r="C268" s="149"/>
      <c r="D268" s="149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  <c r="Q268" s="149"/>
      <c r="R268" s="149"/>
      <c r="S268" s="149"/>
      <c r="T268" s="149"/>
      <c r="U268" s="149"/>
      <c r="V268" s="149"/>
      <c r="W268" s="149"/>
      <c r="X268" s="149"/>
      <c r="Y268" s="149"/>
      <c r="Z268" s="149"/>
      <c r="AA268" s="149"/>
    </row>
    <row r="269" spans="1:27" ht="15.75" customHeight="1" x14ac:dyDescent="0.25">
      <c r="A269" s="149"/>
      <c r="B269" s="149"/>
      <c r="C269" s="149"/>
      <c r="D269" s="149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  <c r="Q269" s="149"/>
      <c r="R269" s="149"/>
      <c r="S269" s="149"/>
      <c r="T269" s="149"/>
      <c r="U269" s="149"/>
      <c r="V269" s="149"/>
      <c r="W269" s="149"/>
      <c r="X269" s="149"/>
      <c r="Y269" s="149"/>
      <c r="Z269" s="149"/>
      <c r="AA269" s="149"/>
    </row>
    <row r="270" spans="1:27" ht="15.75" customHeight="1" x14ac:dyDescent="0.25">
      <c r="A270" s="149"/>
      <c r="B270" s="149"/>
      <c r="C270" s="149"/>
      <c r="D270" s="149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  <c r="Q270" s="149"/>
      <c r="R270" s="149"/>
      <c r="S270" s="149"/>
      <c r="T270" s="149"/>
      <c r="U270" s="149"/>
      <c r="V270" s="149"/>
      <c r="W270" s="149"/>
      <c r="X270" s="149"/>
      <c r="Y270" s="149"/>
      <c r="Z270" s="149"/>
      <c r="AA270" s="149"/>
    </row>
    <row r="271" spans="1:27" ht="15.75" customHeight="1" x14ac:dyDescent="0.25">
      <c r="A271" s="149"/>
      <c r="B271" s="149"/>
      <c r="C271" s="149"/>
      <c r="D271" s="149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  <c r="Q271" s="149"/>
      <c r="R271" s="149"/>
      <c r="S271" s="149"/>
      <c r="T271" s="149"/>
      <c r="U271" s="149"/>
      <c r="V271" s="149"/>
      <c r="W271" s="149"/>
      <c r="X271" s="149"/>
      <c r="Y271" s="149"/>
      <c r="Z271" s="149"/>
      <c r="AA271" s="149"/>
    </row>
    <row r="272" spans="1:27" ht="15.75" customHeight="1" x14ac:dyDescent="0.25">
      <c r="A272" s="149"/>
      <c r="B272" s="149"/>
      <c r="C272" s="149"/>
      <c r="D272" s="149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  <c r="Q272" s="149"/>
      <c r="R272" s="149"/>
      <c r="S272" s="149"/>
      <c r="T272" s="149"/>
      <c r="U272" s="149"/>
      <c r="V272" s="149"/>
      <c r="W272" s="149"/>
      <c r="X272" s="149"/>
      <c r="Y272" s="149"/>
      <c r="Z272" s="149"/>
      <c r="AA272" s="149"/>
    </row>
    <row r="273" spans="1:27" ht="15.75" customHeight="1" x14ac:dyDescent="0.25">
      <c r="A273" s="149"/>
      <c r="B273" s="149"/>
      <c r="C273" s="149"/>
      <c r="D273" s="149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  <c r="Q273" s="149"/>
      <c r="R273" s="149"/>
      <c r="S273" s="149"/>
      <c r="T273" s="149"/>
      <c r="U273" s="149"/>
      <c r="V273" s="149"/>
      <c r="W273" s="149"/>
      <c r="X273" s="149"/>
      <c r="Y273" s="149"/>
      <c r="Z273" s="149"/>
      <c r="AA273" s="149"/>
    </row>
    <row r="274" spans="1:27" ht="15.75" customHeight="1" x14ac:dyDescent="0.25">
      <c r="A274" s="149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  <c r="Q274" s="149"/>
      <c r="R274" s="149"/>
      <c r="S274" s="149"/>
      <c r="T274" s="149"/>
      <c r="U274" s="149"/>
      <c r="V274" s="149"/>
      <c r="W274" s="149"/>
      <c r="X274" s="149"/>
      <c r="Y274" s="149"/>
      <c r="Z274" s="149"/>
      <c r="AA274" s="149"/>
    </row>
    <row r="275" spans="1:27" ht="15.75" customHeight="1" x14ac:dyDescent="0.25">
      <c r="A275" s="149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  <c r="Q275" s="149"/>
      <c r="R275" s="149"/>
      <c r="S275" s="149"/>
      <c r="T275" s="149"/>
      <c r="U275" s="149"/>
      <c r="V275" s="149"/>
      <c r="W275" s="149"/>
      <c r="X275" s="149"/>
      <c r="Y275" s="149"/>
      <c r="Z275" s="149"/>
      <c r="AA275" s="149"/>
    </row>
    <row r="276" spans="1:27" ht="15.75" customHeight="1" x14ac:dyDescent="0.25">
      <c r="A276" s="149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  <c r="Q276" s="149"/>
      <c r="R276" s="149"/>
      <c r="S276" s="149"/>
      <c r="T276" s="149"/>
      <c r="U276" s="149"/>
      <c r="V276" s="149"/>
      <c r="W276" s="149"/>
      <c r="X276" s="149"/>
      <c r="Y276" s="149"/>
      <c r="Z276" s="149"/>
      <c r="AA276" s="149"/>
    </row>
    <row r="277" spans="1:27" ht="15.75" customHeight="1" x14ac:dyDescent="0.25">
      <c r="A277" s="149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  <c r="Q277" s="149"/>
      <c r="R277" s="149"/>
      <c r="S277" s="149"/>
      <c r="T277" s="149"/>
      <c r="U277" s="149"/>
      <c r="V277" s="149"/>
      <c r="W277" s="149"/>
      <c r="X277" s="149"/>
      <c r="Y277" s="149"/>
      <c r="Z277" s="149"/>
      <c r="AA277" s="149"/>
    </row>
    <row r="278" spans="1:27" ht="15.75" customHeight="1" x14ac:dyDescent="0.25">
      <c r="A278" s="149"/>
      <c r="B278" s="149"/>
      <c r="C278" s="149"/>
      <c r="D278" s="149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  <c r="Q278" s="149"/>
      <c r="R278" s="149"/>
      <c r="S278" s="149"/>
      <c r="T278" s="149"/>
      <c r="U278" s="149"/>
      <c r="V278" s="149"/>
      <c r="W278" s="149"/>
      <c r="X278" s="149"/>
      <c r="Y278" s="149"/>
      <c r="Z278" s="149"/>
      <c r="AA278" s="149"/>
    </row>
    <row r="279" spans="1:27" ht="15.75" customHeight="1" x14ac:dyDescent="0.25">
      <c r="A279" s="149"/>
      <c r="B279" s="149"/>
      <c r="C279" s="149"/>
      <c r="D279" s="149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  <c r="Q279" s="149"/>
      <c r="R279" s="149"/>
      <c r="S279" s="149"/>
      <c r="T279" s="149"/>
      <c r="U279" s="149"/>
      <c r="V279" s="149"/>
      <c r="W279" s="149"/>
      <c r="X279" s="149"/>
      <c r="Y279" s="149"/>
      <c r="Z279" s="149"/>
      <c r="AA279" s="149"/>
    </row>
    <row r="280" spans="1:27" ht="15.75" customHeight="1" x14ac:dyDescent="0.25">
      <c r="A280" s="149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  <c r="Q280" s="149"/>
      <c r="R280" s="149"/>
      <c r="S280" s="149"/>
      <c r="T280" s="149"/>
      <c r="U280" s="149"/>
      <c r="V280" s="149"/>
      <c r="W280" s="149"/>
      <c r="X280" s="149"/>
      <c r="Y280" s="149"/>
      <c r="Z280" s="149"/>
      <c r="AA280" s="149"/>
    </row>
    <row r="281" spans="1:27" ht="15.75" customHeight="1" x14ac:dyDescent="0.25">
      <c r="A281" s="149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  <c r="Q281" s="149"/>
      <c r="R281" s="149"/>
      <c r="S281" s="149"/>
      <c r="T281" s="149"/>
      <c r="U281" s="149"/>
      <c r="V281" s="149"/>
      <c r="W281" s="149"/>
      <c r="X281" s="149"/>
      <c r="Y281" s="149"/>
      <c r="Z281" s="149"/>
      <c r="AA281" s="149"/>
    </row>
    <row r="282" spans="1:27" ht="15.75" customHeight="1" x14ac:dyDescent="0.25">
      <c r="A282" s="149"/>
      <c r="B282" s="149"/>
      <c r="C282" s="149"/>
      <c r="D282" s="149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  <c r="Q282" s="149"/>
      <c r="R282" s="149"/>
      <c r="S282" s="149"/>
      <c r="T282" s="149"/>
      <c r="U282" s="149"/>
      <c r="V282" s="149"/>
      <c r="W282" s="149"/>
      <c r="X282" s="149"/>
      <c r="Y282" s="149"/>
      <c r="Z282" s="149"/>
      <c r="AA282" s="149"/>
    </row>
    <row r="283" spans="1:27" ht="15.75" customHeight="1" x14ac:dyDescent="0.25">
      <c r="A283" s="149"/>
      <c r="B283" s="149"/>
      <c r="C283" s="149"/>
      <c r="D283" s="149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  <c r="Q283" s="149"/>
      <c r="R283" s="149"/>
      <c r="S283" s="149"/>
      <c r="T283" s="149"/>
      <c r="U283" s="149"/>
      <c r="V283" s="149"/>
      <c r="W283" s="149"/>
      <c r="X283" s="149"/>
      <c r="Y283" s="149"/>
      <c r="Z283" s="149"/>
      <c r="AA283" s="149"/>
    </row>
    <row r="284" spans="1:27" ht="15.75" customHeight="1" x14ac:dyDescent="0.25">
      <c r="A284" s="149"/>
      <c r="B284" s="149"/>
      <c r="C284" s="149"/>
      <c r="D284" s="149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  <c r="Q284" s="149"/>
      <c r="R284" s="149"/>
      <c r="S284" s="149"/>
      <c r="T284" s="149"/>
      <c r="U284" s="149"/>
      <c r="V284" s="149"/>
      <c r="W284" s="149"/>
      <c r="X284" s="149"/>
      <c r="Y284" s="149"/>
      <c r="Z284" s="149"/>
      <c r="AA284" s="149"/>
    </row>
    <row r="285" spans="1:27" ht="15.75" customHeight="1" x14ac:dyDescent="0.25">
      <c r="A285" s="149"/>
      <c r="B285" s="149"/>
      <c r="C285" s="149"/>
      <c r="D285" s="149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  <c r="Q285" s="149"/>
      <c r="R285" s="149"/>
      <c r="S285" s="149"/>
      <c r="T285" s="149"/>
      <c r="U285" s="149"/>
      <c r="V285" s="149"/>
      <c r="W285" s="149"/>
      <c r="X285" s="149"/>
      <c r="Y285" s="149"/>
      <c r="Z285" s="149"/>
      <c r="AA285" s="149"/>
    </row>
    <row r="286" spans="1:27" ht="15.75" customHeight="1" x14ac:dyDescent="0.25">
      <c r="A286" s="149"/>
      <c r="B286" s="149"/>
      <c r="C286" s="149"/>
      <c r="D286" s="149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  <c r="Q286" s="149"/>
      <c r="R286" s="149"/>
      <c r="S286" s="149"/>
      <c r="T286" s="149"/>
      <c r="U286" s="149"/>
      <c r="V286" s="149"/>
      <c r="W286" s="149"/>
      <c r="X286" s="149"/>
      <c r="Y286" s="149"/>
      <c r="Z286" s="149"/>
      <c r="AA286" s="149"/>
    </row>
    <row r="287" spans="1:27" ht="15.75" customHeight="1" x14ac:dyDescent="0.25">
      <c r="A287" s="149"/>
      <c r="B287" s="149"/>
      <c r="C287" s="149"/>
      <c r="D287" s="149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  <c r="Q287" s="149"/>
      <c r="R287" s="149"/>
      <c r="S287" s="149"/>
      <c r="T287" s="149"/>
      <c r="U287" s="149"/>
      <c r="V287" s="149"/>
      <c r="W287" s="149"/>
      <c r="X287" s="149"/>
      <c r="Y287" s="149"/>
      <c r="Z287" s="149"/>
      <c r="AA287" s="149"/>
    </row>
    <row r="288" spans="1:27" ht="15.75" customHeight="1" x14ac:dyDescent="0.25">
      <c r="A288" s="149"/>
      <c r="B288" s="149"/>
      <c r="C288" s="149"/>
      <c r="D288" s="149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  <c r="Q288" s="149"/>
      <c r="R288" s="149"/>
      <c r="S288" s="149"/>
      <c r="T288" s="149"/>
      <c r="U288" s="149"/>
      <c r="V288" s="149"/>
      <c r="W288" s="149"/>
      <c r="X288" s="149"/>
      <c r="Y288" s="149"/>
      <c r="Z288" s="149"/>
      <c r="AA288" s="149"/>
    </row>
    <row r="289" spans="1:27" ht="15.75" customHeight="1" x14ac:dyDescent="0.25">
      <c r="A289" s="149"/>
      <c r="B289" s="149"/>
      <c r="C289" s="149"/>
      <c r="D289" s="149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  <c r="Q289" s="149"/>
      <c r="R289" s="149"/>
      <c r="S289" s="149"/>
      <c r="T289" s="149"/>
      <c r="U289" s="149"/>
      <c r="V289" s="149"/>
      <c r="W289" s="149"/>
      <c r="X289" s="149"/>
      <c r="Y289" s="149"/>
      <c r="Z289" s="149"/>
      <c r="AA289" s="149"/>
    </row>
    <row r="290" spans="1:27" ht="15.75" customHeight="1" x14ac:dyDescent="0.25">
      <c r="A290" s="149"/>
      <c r="B290" s="149"/>
      <c r="C290" s="149"/>
      <c r="D290" s="149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  <c r="Q290" s="149"/>
      <c r="R290" s="149"/>
      <c r="S290" s="149"/>
      <c r="T290" s="149"/>
      <c r="U290" s="149"/>
      <c r="V290" s="149"/>
      <c r="W290" s="149"/>
      <c r="X290" s="149"/>
      <c r="Y290" s="149"/>
      <c r="Z290" s="149"/>
      <c r="AA290" s="149"/>
    </row>
    <row r="291" spans="1:27" ht="15.75" customHeight="1" x14ac:dyDescent="0.25">
      <c r="A291" s="149"/>
      <c r="B291" s="149"/>
      <c r="C291" s="149"/>
      <c r="D291" s="149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  <c r="Q291" s="149"/>
      <c r="R291" s="149"/>
      <c r="S291" s="149"/>
      <c r="T291" s="149"/>
      <c r="U291" s="149"/>
      <c r="V291" s="149"/>
      <c r="W291" s="149"/>
      <c r="X291" s="149"/>
      <c r="Y291" s="149"/>
      <c r="Z291" s="149"/>
      <c r="AA291" s="149"/>
    </row>
    <row r="292" spans="1:27" ht="15.75" customHeight="1" x14ac:dyDescent="0.25">
      <c r="A292" s="149"/>
      <c r="B292" s="149"/>
      <c r="C292" s="149"/>
      <c r="D292" s="149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  <c r="Q292" s="149"/>
      <c r="R292" s="149"/>
      <c r="S292" s="149"/>
      <c r="T292" s="149"/>
      <c r="U292" s="149"/>
      <c r="V292" s="149"/>
      <c r="W292" s="149"/>
      <c r="X292" s="149"/>
      <c r="Y292" s="149"/>
      <c r="Z292" s="149"/>
      <c r="AA292" s="149"/>
    </row>
    <row r="293" spans="1:27" ht="15.75" customHeight="1" x14ac:dyDescent="0.25">
      <c r="A293" s="149"/>
      <c r="B293" s="149"/>
      <c r="C293" s="149"/>
      <c r="D293" s="149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  <c r="Q293" s="149"/>
      <c r="R293" s="149"/>
      <c r="S293" s="149"/>
      <c r="T293" s="149"/>
      <c r="U293" s="149"/>
      <c r="V293" s="149"/>
      <c r="W293" s="149"/>
      <c r="X293" s="149"/>
      <c r="Y293" s="149"/>
      <c r="Z293" s="149"/>
      <c r="AA293" s="149"/>
    </row>
    <row r="294" spans="1:27" ht="15.75" customHeight="1" x14ac:dyDescent="0.25">
      <c r="A294" s="149"/>
      <c r="B294" s="149"/>
      <c r="C294" s="149"/>
      <c r="D294" s="149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  <c r="Q294" s="149"/>
      <c r="R294" s="149"/>
      <c r="S294" s="149"/>
      <c r="T294" s="149"/>
      <c r="U294" s="149"/>
      <c r="V294" s="149"/>
      <c r="W294" s="149"/>
      <c r="X294" s="149"/>
      <c r="Y294" s="149"/>
      <c r="Z294" s="149"/>
      <c r="AA294" s="149"/>
    </row>
    <row r="295" spans="1:27" ht="15.75" customHeight="1" x14ac:dyDescent="0.25">
      <c r="A295" s="149"/>
      <c r="B295" s="149"/>
      <c r="C295" s="149"/>
      <c r="D295" s="149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  <c r="Q295" s="149"/>
      <c r="R295" s="149"/>
      <c r="S295" s="149"/>
      <c r="T295" s="149"/>
      <c r="U295" s="149"/>
      <c r="V295" s="149"/>
      <c r="W295" s="149"/>
      <c r="X295" s="149"/>
      <c r="Y295" s="149"/>
      <c r="Z295" s="149"/>
      <c r="AA295" s="149"/>
    </row>
    <row r="296" spans="1:27" ht="15.75" customHeight="1" x14ac:dyDescent="0.25">
      <c r="A296" s="149"/>
      <c r="B296" s="149"/>
      <c r="C296" s="149"/>
      <c r="D296" s="149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  <c r="Q296" s="149"/>
      <c r="R296" s="149"/>
      <c r="S296" s="149"/>
      <c r="T296" s="149"/>
      <c r="U296" s="149"/>
      <c r="V296" s="149"/>
      <c r="W296" s="149"/>
      <c r="X296" s="149"/>
      <c r="Y296" s="149"/>
      <c r="Z296" s="149"/>
      <c r="AA296" s="149"/>
    </row>
    <row r="297" spans="1:27" ht="15.75" customHeight="1" x14ac:dyDescent="0.25">
      <c r="A297" s="149"/>
      <c r="B297" s="149"/>
      <c r="C297" s="149"/>
      <c r="D297" s="149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  <c r="Q297" s="149"/>
      <c r="R297" s="149"/>
      <c r="S297" s="149"/>
      <c r="T297" s="149"/>
      <c r="U297" s="149"/>
      <c r="V297" s="149"/>
      <c r="W297" s="149"/>
      <c r="X297" s="149"/>
      <c r="Y297" s="149"/>
      <c r="Z297" s="149"/>
      <c r="AA297" s="149"/>
    </row>
    <row r="298" spans="1:27" ht="15.75" customHeight="1" x14ac:dyDescent="0.25">
      <c r="A298" s="149"/>
      <c r="B298" s="149"/>
      <c r="C298" s="149"/>
      <c r="D298" s="149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  <c r="Q298" s="149"/>
      <c r="R298" s="149"/>
      <c r="S298" s="149"/>
      <c r="T298" s="149"/>
      <c r="U298" s="149"/>
      <c r="V298" s="149"/>
      <c r="W298" s="149"/>
      <c r="X298" s="149"/>
      <c r="Y298" s="149"/>
      <c r="Z298" s="149"/>
      <c r="AA298" s="149"/>
    </row>
    <row r="299" spans="1:27" ht="15.75" customHeight="1" x14ac:dyDescent="0.25">
      <c r="A299" s="149"/>
      <c r="B299" s="149"/>
      <c r="C299" s="149"/>
      <c r="D299" s="149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  <c r="Q299" s="149"/>
      <c r="R299" s="149"/>
      <c r="S299" s="149"/>
      <c r="T299" s="149"/>
      <c r="U299" s="149"/>
      <c r="V299" s="149"/>
      <c r="W299" s="149"/>
      <c r="X299" s="149"/>
      <c r="Y299" s="149"/>
      <c r="Z299" s="149"/>
      <c r="AA299" s="149"/>
    </row>
    <row r="300" spans="1:27" ht="15.75" customHeight="1" x14ac:dyDescent="0.25">
      <c r="A300" s="149"/>
      <c r="B300" s="149"/>
      <c r="C300" s="149"/>
      <c r="D300" s="149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  <c r="Q300" s="149"/>
      <c r="R300" s="149"/>
      <c r="S300" s="149"/>
      <c r="T300" s="149"/>
      <c r="U300" s="149"/>
      <c r="V300" s="149"/>
      <c r="W300" s="149"/>
      <c r="X300" s="149"/>
      <c r="Y300" s="149"/>
      <c r="Z300" s="149"/>
      <c r="AA300" s="149"/>
    </row>
    <row r="301" spans="1:27" ht="15.75" customHeight="1" x14ac:dyDescent="0.25">
      <c r="A301" s="149"/>
      <c r="B301" s="149"/>
      <c r="C301" s="149"/>
      <c r="D301" s="149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  <c r="Q301" s="149"/>
      <c r="R301" s="149"/>
      <c r="S301" s="149"/>
      <c r="T301" s="149"/>
      <c r="U301" s="149"/>
      <c r="V301" s="149"/>
      <c r="W301" s="149"/>
      <c r="X301" s="149"/>
      <c r="Y301" s="149"/>
      <c r="Z301" s="149"/>
      <c r="AA301" s="149"/>
    </row>
    <row r="302" spans="1:27" ht="15.75" customHeight="1" x14ac:dyDescent="0.25">
      <c r="A302" s="149"/>
      <c r="B302" s="149"/>
      <c r="C302" s="149"/>
      <c r="D302" s="149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  <c r="Q302" s="149"/>
      <c r="R302" s="149"/>
      <c r="S302" s="149"/>
      <c r="T302" s="149"/>
      <c r="U302" s="149"/>
      <c r="V302" s="149"/>
      <c r="W302" s="149"/>
      <c r="X302" s="149"/>
      <c r="Y302" s="149"/>
      <c r="Z302" s="149"/>
      <c r="AA302" s="149"/>
    </row>
    <row r="303" spans="1:27" ht="15.75" customHeight="1" x14ac:dyDescent="0.25">
      <c r="A303" s="149"/>
      <c r="B303" s="149"/>
      <c r="C303" s="149"/>
      <c r="D303" s="149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  <c r="Q303" s="149"/>
      <c r="R303" s="149"/>
      <c r="S303" s="149"/>
      <c r="T303" s="149"/>
      <c r="U303" s="149"/>
      <c r="V303" s="149"/>
      <c r="W303" s="149"/>
      <c r="X303" s="149"/>
      <c r="Y303" s="149"/>
      <c r="Z303" s="149"/>
      <c r="AA303" s="149"/>
    </row>
    <row r="304" spans="1:27" ht="15.75" customHeight="1" x14ac:dyDescent="0.25">
      <c r="A304" s="149"/>
      <c r="B304" s="149"/>
      <c r="C304" s="149"/>
      <c r="D304" s="149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  <c r="Q304" s="149"/>
      <c r="R304" s="149"/>
      <c r="S304" s="149"/>
      <c r="T304" s="149"/>
      <c r="U304" s="149"/>
      <c r="V304" s="149"/>
      <c r="W304" s="149"/>
      <c r="X304" s="149"/>
      <c r="Y304" s="149"/>
      <c r="Z304" s="149"/>
      <c r="AA304" s="149"/>
    </row>
    <row r="305" spans="1:27" ht="15.75" customHeight="1" x14ac:dyDescent="0.25">
      <c r="A305" s="149"/>
      <c r="B305" s="149"/>
      <c r="C305" s="149"/>
      <c r="D305" s="149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  <c r="Q305" s="149"/>
      <c r="R305" s="149"/>
      <c r="S305" s="149"/>
      <c r="T305" s="149"/>
      <c r="U305" s="149"/>
      <c r="V305" s="149"/>
      <c r="W305" s="149"/>
      <c r="X305" s="149"/>
      <c r="Y305" s="149"/>
      <c r="Z305" s="149"/>
      <c r="AA305" s="149"/>
    </row>
    <row r="306" spans="1:27" ht="15.75" customHeight="1" x14ac:dyDescent="0.25">
      <c r="A306" s="149"/>
      <c r="B306" s="149"/>
      <c r="C306" s="149"/>
      <c r="D306" s="149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  <c r="Q306" s="149"/>
      <c r="R306" s="149"/>
      <c r="S306" s="149"/>
      <c r="T306" s="149"/>
      <c r="U306" s="149"/>
      <c r="V306" s="149"/>
      <c r="W306" s="149"/>
      <c r="X306" s="149"/>
      <c r="Y306" s="149"/>
      <c r="Z306" s="149"/>
      <c r="AA306" s="149"/>
    </row>
    <row r="307" spans="1:27" ht="15.75" customHeight="1" x14ac:dyDescent="0.25">
      <c r="A307" s="149"/>
      <c r="B307" s="149"/>
      <c r="C307" s="149"/>
      <c r="D307" s="149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  <c r="Q307" s="149"/>
      <c r="R307" s="149"/>
      <c r="S307" s="149"/>
      <c r="T307" s="149"/>
      <c r="U307" s="149"/>
      <c r="V307" s="149"/>
      <c r="W307" s="149"/>
      <c r="X307" s="149"/>
      <c r="Y307" s="149"/>
      <c r="Z307" s="149"/>
      <c r="AA307" s="149"/>
    </row>
    <row r="308" spans="1:27" ht="15.75" customHeight="1" x14ac:dyDescent="0.25">
      <c r="A308" s="149"/>
      <c r="B308" s="149"/>
      <c r="C308" s="149"/>
      <c r="D308" s="149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  <c r="Q308" s="149"/>
      <c r="R308" s="149"/>
      <c r="S308" s="149"/>
      <c r="T308" s="149"/>
      <c r="U308" s="149"/>
      <c r="V308" s="149"/>
      <c r="W308" s="149"/>
      <c r="X308" s="149"/>
      <c r="Y308" s="149"/>
      <c r="Z308" s="149"/>
      <c r="AA308" s="149"/>
    </row>
    <row r="309" spans="1:27" ht="15.75" customHeight="1" x14ac:dyDescent="0.25">
      <c r="A309" s="149"/>
      <c r="B309" s="149"/>
      <c r="C309" s="149"/>
      <c r="D309" s="149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  <c r="Q309" s="149"/>
      <c r="R309" s="149"/>
      <c r="S309" s="149"/>
      <c r="T309" s="149"/>
      <c r="U309" s="149"/>
      <c r="V309" s="149"/>
      <c r="W309" s="149"/>
      <c r="X309" s="149"/>
      <c r="Y309" s="149"/>
      <c r="Z309" s="149"/>
      <c r="AA309" s="149"/>
    </row>
    <row r="310" spans="1:27" ht="15.75" customHeight="1" x14ac:dyDescent="0.25">
      <c r="A310" s="149"/>
      <c r="B310" s="149"/>
      <c r="C310" s="149"/>
      <c r="D310" s="149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  <c r="Q310" s="149"/>
      <c r="R310" s="149"/>
      <c r="S310" s="149"/>
      <c r="T310" s="149"/>
      <c r="U310" s="149"/>
      <c r="V310" s="149"/>
      <c r="W310" s="149"/>
      <c r="X310" s="149"/>
      <c r="Y310" s="149"/>
      <c r="Z310" s="149"/>
      <c r="AA310" s="149"/>
    </row>
    <row r="311" spans="1:27" ht="15.75" customHeight="1" x14ac:dyDescent="0.25">
      <c r="A311" s="149"/>
      <c r="B311" s="149"/>
      <c r="C311" s="149"/>
      <c r="D311" s="149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  <c r="Q311" s="149"/>
      <c r="R311" s="149"/>
      <c r="S311" s="149"/>
      <c r="T311" s="149"/>
      <c r="U311" s="149"/>
      <c r="V311" s="149"/>
      <c r="W311" s="149"/>
      <c r="X311" s="149"/>
      <c r="Y311" s="149"/>
      <c r="Z311" s="149"/>
      <c r="AA311" s="149"/>
    </row>
    <row r="312" spans="1:27" ht="15.75" customHeight="1" x14ac:dyDescent="0.25">
      <c r="A312" s="149"/>
      <c r="B312" s="149"/>
      <c r="C312" s="149"/>
      <c r="D312" s="149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  <c r="Q312" s="149"/>
      <c r="R312" s="149"/>
      <c r="S312" s="149"/>
      <c r="T312" s="149"/>
      <c r="U312" s="149"/>
      <c r="V312" s="149"/>
      <c r="W312" s="149"/>
      <c r="X312" s="149"/>
      <c r="Y312" s="149"/>
      <c r="Z312" s="149"/>
      <c r="AA312" s="149"/>
    </row>
    <row r="313" spans="1:27" ht="15.75" customHeight="1" x14ac:dyDescent="0.25">
      <c r="A313" s="149"/>
      <c r="B313" s="149"/>
      <c r="C313" s="149"/>
      <c r="D313" s="149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  <c r="Q313" s="149"/>
      <c r="R313" s="149"/>
      <c r="S313" s="149"/>
      <c r="T313" s="149"/>
      <c r="U313" s="149"/>
      <c r="V313" s="149"/>
      <c r="W313" s="149"/>
      <c r="X313" s="149"/>
      <c r="Y313" s="149"/>
      <c r="Z313" s="149"/>
      <c r="AA313" s="149"/>
    </row>
    <row r="314" spans="1:27" ht="15.75" customHeight="1" x14ac:dyDescent="0.25">
      <c r="A314" s="149"/>
      <c r="B314" s="149"/>
      <c r="C314" s="149"/>
      <c r="D314" s="149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  <c r="Q314" s="149"/>
      <c r="R314" s="149"/>
      <c r="S314" s="149"/>
      <c r="T314" s="149"/>
      <c r="U314" s="149"/>
      <c r="V314" s="149"/>
      <c r="W314" s="149"/>
      <c r="X314" s="149"/>
      <c r="Y314" s="149"/>
      <c r="Z314" s="149"/>
      <c r="AA314" s="149"/>
    </row>
    <row r="315" spans="1:27" ht="15.75" customHeight="1" x14ac:dyDescent="0.25">
      <c r="A315" s="149"/>
      <c r="B315" s="149"/>
      <c r="C315" s="149"/>
      <c r="D315" s="149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  <c r="Q315" s="149"/>
      <c r="R315" s="149"/>
      <c r="S315" s="149"/>
      <c r="T315" s="149"/>
      <c r="U315" s="149"/>
      <c r="V315" s="149"/>
      <c r="W315" s="149"/>
      <c r="X315" s="149"/>
      <c r="Y315" s="149"/>
      <c r="Z315" s="149"/>
      <c r="AA315" s="149"/>
    </row>
    <row r="316" spans="1:27" ht="15.75" customHeight="1" x14ac:dyDescent="0.25">
      <c r="A316" s="149"/>
      <c r="B316" s="149"/>
      <c r="C316" s="149"/>
      <c r="D316" s="149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  <c r="Q316" s="149"/>
      <c r="R316" s="149"/>
      <c r="S316" s="149"/>
      <c r="T316" s="149"/>
      <c r="U316" s="149"/>
      <c r="V316" s="149"/>
      <c r="W316" s="149"/>
      <c r="X316" s="149"/>
      <c r="Y316" s="149"/>
      <c r="Z316" s="149"/>
      <c r="AA316" s="149"/>
    </row>
    <row r="317" spans="1:27" ht="15.75" customHeight="1" x14ac:dyDescent="0.25">
      <c r="A317" s="149"/>
      <c r="B317" s="149"/>
      <c r="C317" s="149"/>
      <c r="D317" s="149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  <c r="Q317" s="149"/>
      <c r="R317" s="149"/>
      <c r="S317" s="149"/>
      <c r="T317" s="149"/>
      <c r="U317" s="149"/>
      <c r="V317" s="149"/>
      <c r="W317" s="149"/>
      <c r="X317" s="149"/>
      <c r="Y317" s="149"/>
      <c r="Z317" s="149"/>
      <c r="AA317" s="149"/>
    </row>
    <row r="318" spans="1:27" ht="15.75" customHeight="1" x14ac:dyDescent="0.25">
      <c r="A318" s="149"/>
      <c r="B318" s="149"/>
      <c r="C318" s="149"/>
      <c r="D318" s="149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  <c r="Q318" s="149"/>
      <c r="R318" s="149"/>
      <c r="S318" s="149"/>
      <c r="T318" s="149"/>
      <c r="U318" s="149"/>
      <c r="V318" s="149"/>
      <c r="W318" s="149"/>
      <c r="X318" s="149"/>
      <c r="Y318" s="149"/>
      <c r="Z318" s="149"/>
      <c r="AA318" s="149"/>
    </row>
    <row r="319" spans="1:27" ht="15.75" customHeight="1" x14ac:dyDescent="0.25">
      <c r="A319" s="149"/>
      <c r="B319" s="149"/>
      <c r="C319" s="149"/>
      <c r="D319" s="149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  <c r="Q319" s="149"/>
      <c r="R319" s="149"/>
      <c r="S319" s="149"/>
      <c r="T319" s="149"/>
      <c r="U319" s="149"/>
      <c r="V319" s="149"/>
      <c r="W319" s="149"/>
      <c r="X319" s="149"/>
      <c r="Y319" s="149"/>
      <c r="Z319" s="149"/>
      <c r="AA319" s="149"/>
    </row>
    <row r="320" spans="1:27" ht="15.75" customHeight="1" x14ac:dyDescent="0.25">
      <c r="A320" s="149"/>
      <c r="B320" s="149"/>
      <c r="C320" s="149"/>
      <c r="D320" s="149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  <c r="Q320" s="149"/>
      <c r="R320" s="149"/>
      <c r="S320" s="149"/>
      <c r="T320" s="149"/>
      <c r="U320" s="149"/>
      <c r="V320" s="149"/>
      <c r="W320" s="149"/>
      <c r="X320" s="149"/>
      <c r="Y320" s="149"/>
      <c r="Z320" s="149"/>
      <c r="AA320" s="149"/>
    </row>
    <row r="321" spans="1:27" ht="15.75" customHeight="1" x14ac:dyDescent="0.25">
      <c r="A321" s="149"/>
      <c r="B321" s="149"/>
      <c r="C321" s="149"/>
      <c r="D321" s="149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  <c r="Q321" s="149"/>
      <c r="R321" s="149"/>
      <c r="S321" s="149"/>
      <c r="T321" s="149"/>
      <c r="U321" s="149"/>
      <c r="V321" s="149"/>
      <c r="W321" s="149"/>
      <c r="X321" s="149"/>
      <c r="Y321" s="149"/>
      <c r="Z321" s="149"/>
      <c r="AA321" s="149"/>
    </row>
    <row r="322" spans="1:27" ht="15.75" customHeight="1" x14ac:dyDescent="0.25">
      <c r="A322" s="149"/>
      <c r="B322" s="149"/>
      <c r="C322" s="149"/>
      <c r="D322" s="149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  <c r="Q322" s="149"/>
      <c r="R322" s="149"/>
      <c r="S322" s="149"/>
      <c r="T322" s="149"/>
      <c r="U322" s="149"/>
      <c r="V322" s="149"/>
      <c r="W322" s="149"/>
      <c r="X322" s="149"/>
      <c r="Y322" s="149"/>
      <c r="Z322" s="149"/>
      <c r="AA322" s="149"/>
    </row>
    <row r="323" spans="1:27" ht="15.75" customHeight="1" x14ac:dyDescent="0.25">
      <c r="A323" s="149"/>
      <c r="B323" s="149"/>
      <c r="C323" s="149"/>
      <c r="D323" s="149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  <c r="Q323" s="149"/>
      <c r="R323" s="149"/>
      <c r="S323" s="149"/>
      <c r="T323" s="149"/>
      <c r="U323" s="149"/>
      <c r="V323" s="149"/>
      <c r="W323" s="149"/>
      <c r="X323" s="149"/>
      <c r="Y323" s="149"/>
      <c r="Z323" s="149"/>
      <c r="AA323" s="149"/>
    </row>
    <row r="324" spans="1:27" ht="15.75" customHeight="1" x14ac:dyDescent="0.25">
      <c r="A324" s="149"/>
      <c r="B324" s="149"/>
      <c r="C324" s="149"/>
      <c r="D324" s="149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  <c r="Q324" s="149"/>
      <c r="R324" s="149"/>
      <c r="S324" s="149"/>
      <c r="T324" s="149"/>
      <c r="U324" s="149"/>
      <c r="V324" s="149"/>
      <c r="W324" s="149"/>
      <c r="X324" s="149"/>
      <c r="Y324" s="149"/>
      <c r="Z324" s="149"/>
      <c r="AA324" s="149"/>
    </row>
    <row r="325" spans="1:27" ht="15.75" customHeight="1" x14ac:dyDescent="0.25">
      <c r="A325" s="149"/>
      <c r="B325" s="149"/>
      <c r="C325" s="149"/>
      <c r="D325" s="149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  <c r="Q325" s="149"/>
      <c r="R325" s="149"/>
      <c r="S325" s="149"/>
      <c r="T325" s="149"/>
      <c r="U325" s="149"/>
      <c r="V325" s="149"/>
      <c r="W325" s="149"/>
      <c r="X325" s="149"/>
      <c r="Y325" s="149"/>
      <c r="Z325" s="149"/>
      <c r="AA325" s="149"/>
    </row>
    <row r="326" spans="1:27" ht="15.75" customHeight="1" x14ac:dyDescent="0.25">
      <c r="A326" s="149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  <c r="Q326" s="149"/>
      <c r="R326" s="149"/>
      <c r="S326" s="149"/>
      <c r="T326" s="149"/>
      <c r="U326" s="149"/>
      <c r="V326" s="149"/>
      <c r="W326" s="149"/>
      <c r="X326" s="149"/>
      <c r="Y326" s="149"/>
      <c r="Z326" s="149"/>
      <c r="AA326" s="149"/>
    </row>
    <row r="327" spans="1:27" ht="15.75" customHeight="1" x14ac:dyDescent="0.25">
      <c r="A327" s="149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  <c r="Q327" s="149"/>
      <c r="R327" s="149"/>
      <c r="S327" s="149"/>
      <c r="T327" s="149"/>
      <c r="U327" s="149"/>
      <c r="V327" s="149"/>
      <c r="W327" s="149"/>
      <c r="X327" s="149"/>
      <c r="Y327" s="149"/>
      <c r="Z327" s="149"/>
      <c r="AA327" s="149"/>
    </row>
    <row r="328" spans="1:27" ht="15.75" customHeight="1" x14ac:dyDescent="0.25">
      <c r="A328" s="149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  <c r="Q328" s="149"/>
      <c r="R328" s="149"/>
      <c r="S328" s="149"/>
      <c r="T328" s="149"/>
      <c r="U328" s="149"/>
      <c r="V328" s="149"/>
      <c r="W328" s="149"/>
      <c r="X328" s="149"/>
      <c r="Y328" s="149"/>
      <c r="Z328" s="149"/>
      <c r="AA328" s="149"/>
    </row>
    <row r="329" spans="1:27" ht="15.75" customHeight="1" x14ac:dyDescent="0.25">
      <c r="A329" s="149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  <c r="Q329" s="149"/>
      <c r="R329" s="149"/>
      <c r="S329" s="149"/>
      <c r="T329" s="149"/>
      <c r="U329" s="149"/>
      <c r="V329" s="149"/>
      <c r="W329" s="149"/>
      <c r="X329" s="149"/>
      <c r="Y329" s="149"/>
      <c r="Z329" s="149"/>
      <c r="AA329" s="149"/>
    </row>
    <row r="330" spans="1:27" ht="15.75" customHeight="1" x14ac:dyDescent="0.25">
      <c r="A330" s="149"/>
      <c r="B330" s="149"/>
      <c r="C330" s="149"/>
      <c r="D330" s="149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  <c r="Q330" s="149"/>
      <c r="R330" s="149"/>
      <c r="S330" s="149"/>
      <c r="T330" s="149"/>
      <c r="U330" s="149"/>
      <c r="V330" s="149"/>
      <c r="W330" s="149"/>
      <c r="X330" s="149"/>
      <c r="Y330" s="149"/>
      <c r="Z330" s="149"/>
      <c r="AA330" s="149"/>
    </row>
    <row r="331" spans="1:27" ht="15.75" customHeight="1" x14ac:dyDescent="0.25">
      <c r="A331" s="149"/>
      <c r="B331" s="149"/>
      <c r="C331" s="149"/>
      <c r="D331" s="149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  <c r="Q331" s="149"/>
      <c r="R331" s="149"/>
      <c r="S331" s="149"/>
      <c r="T331" s="149"/>
      <c r="U331" s="149"/>
      <c r="V331" s="149"/>
      <c r="W331" s="149"/>
      <c r="X331" s="149"/>
      <c r="Y331" s="149"/>
      <c r="Z331" s="149"/>
      <c r="AA331" s="149"/>
    </row>
    <row r="332" spans="1:27" ht="15.75" customHeight="1" x14ac:dyDescent="0.25">
      <c r="A332" s="149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  <c r="Q332" s="149"/>
      <c r="R332" s="149"/>
      <c r="S332" s="149"/>
      <c r="T332" s="149"/>
      <c r="U332" s="149"/>
      <c r="V332" s="149"/>
      <c r="W332" s="149"/>
      <c r="X332" s="149"/>
      <c r="Y332" s="149"/>
      <c r="Z332" s="149"/>
      <c r="AA332" s="149"/>
    </row>
    <row r="333" spans="1:27" ht="15.75" customHeight="1" x14ac:dyDescent="0.25">
      <c r="A333" s="149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  <c r="Q333" s="149"/>
      <c r="R333" s="149"/>
      <c r="S333" s="149"/>
      <c r="T333" s="149"/>
      <c r="U333" s="149"/>
      <c r="V333" s="149"/>
      <c r="W333" s="149"/>
      <c r="X333" s="149"/>
      <c r="Y333" s="149"/>
      <c r="Z333" s="149"/>
      <c r="AA333" s="149"/>
    </row>
    <row r="334" spans="1:27" ht="15.75" customHeight="1" x14ac:dyDescent="0.25">
      <c r="A334" s="149"/>
      <c r="B334" s="149"/>
      <c r="C334" s="149"/>
      <c r="D334" s="149"/>
      <c r="E334" s="14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  <c r="Q334" s="149"/>
      <c r="R334" s="149"/>
      <c r="S334" s="149"/>
      <c r="T334" s="149"/>
      <c r="U334" s="149"/>
      <c r="V334" s="149"/>
      <c r="W334" s="149"/>
      <c r="X334" s="149"/>
      <c r="Y334" s="149"/>
      <c r="Z334" s="149"/>
      <c r="AA334" s="149"/>
    </row>
    <row r="335" spans="1:27" ht="15.75" customHeight="1" x14ac:dyDescent="0.25">
      <c r="A335" s="149"/>
      <c r="B335" s="149"/>
      <c r="C335" s="149"/>
      <c r="D335" s="149"/>
      <c r="E335" s="14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  <c r="Q335" s="149"/>
      <c r="R335" s="149"/>
      <c r="S335" s="149"/>
      <c r="T335" s="149"/>
      <c r="U335" s="149"/>
      <c r="V335" s="149"/>
      <c r="W335" s="149"/>
      <c r="X335" s="149"/>
      <c r="Y335" s="149"/>
      <c r="Z335" s="149"/>
      <c r="AA335" s="149"/>
    </row>
    <row r="336" spans="1:27" ht="15.75" customHeight="1" x14ac:dyDescent="0.25">
      <c r="A336" s="149"/>
      <c r="B336" s="149"/>
      <c r="C336" s="149"/>
      <c r="D336" s="149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  <c r="Q336" s="149"/>
      <c r="R336" s="149"/>
      <c r="S336" s="149"/>
      <c r="T336" s="149"/>
      <c r="U336" s="149"/>
      <c r="V336" s="149"/>
      <c r="W336" s="149"/>
      <c r="X336" s="149"/>
      <c r="Y336" s="149"/>
      <c r="Z336" s="149"/>
      <c r="AA336" s="149"/>
    </row>
    <row r="337" spans="1:27" ht="15.75" customHeight="1" x14ac:dyDescent="0.25">
      <c r="A337" s="149"/>
      <c r="B337" s="149"/>
      <c r="C337" s="149"/>
      <c r="D337" s="149"/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  <c r="Q337" s="149"/>
      <c r="R337" s="149"/>
      <c r="S337" s="149"/>
      <c r="T337" s="149"/>
      <c r="U337" s="149"/>
      <c r="V337" s="149"/>
      <c r="W337" s="149"/>
      <c r="X337" s="149"/>
      <c r="Y337" s="149"/>
      <c r="Z337" s="149"/>
      <c r="AA337" s="149"/>
    </row>
    <row r="338" spans="1:27" ht="15.75" customHeight="1" x14ac:dyDescent="0.25">
      <c r="A338" s="149"/>
      <c r="B338" s="149"/>
      <c r="C338" s="149"/>
      <c r="D338" s="149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  <c r="Q338" s="149"/>
      <c r="R338" s="149"/>
      <c r="S338" s="149"/>
      <c r="T338" s="149"/>
      <c r="U338" s="149"/>
      <c r="V338" s="149"/>
      <c r="W338" s="149"/>
      <c r="X338" s="149"/>
      <c r="Y338" s="149"/>
      <c r="Z338" s="149"/>
      <c r="AA338" s="149"/>
    </row>
    <row r="339" spans="1:27" ht="15.75" customHeight="1" x14ac:dyDescent="0.25">
      <c r="A339" s="149"/>
      <c r="B339" s="149"/>
      <c r="C339" s="149"/>
      <c r="D339" s="149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  <c r="Q339" s="149"/>
      <c r="R339" s="149"/>
      <c r="S339" s="149"/>
      <c r="T339" s="149"/>
      <c r="U339" s="149"/>
      <c r="V339" s="149"/>
      <c r="W339" s="149"/>
      <c r="X339" s="149"/>
      <c r="Y339" s="149"/>
      <c r="Z339" s="149"/>
      <c r="AA339" s="149"/>
    </row>
    <row r="340" spans="1:27" ht="15.75" customHeight="1" x14ac:dyDescent="0.25">
      <c r="A340" s="149"/>
      <c r="B340" s="149"/>
      <c r="C340" s="149"/>
      <c r="D340" s="149"/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  <c r="Q340" s="149"/>
      <c r="R340" s="149"/>
      <c r="S340" s="149"/>
      <c r="T340" s="149"/>
      <c r="U340" s="149"/>
      <c r="V340" s="149"/>
      <c r="W340" s="149"/>
      <c r="X340" s="149"/>
      <c r="Y340" s="149"/>
      <c r="Z340" s="149"/>
      <c r="AA340" s="149"/>
    </row>
    <row r="341" spans="1:27" ht="15.75" customHeight="1" x14ac:dyDescent="0.25">
      <c r="A341" s="149"/>
      <c r="B341" s="149"/>
      <c r="C341" s="149"/>
      <c r="D341" s="149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  <c r="Q341" s="149"/>
      <c r="R341" s="149"/>
      <c r="S341" s="149"/>
      <c r="T341" s="149"/>
      <c r="U341" s="149"/>
      <c r="V341" s="149"/>
      <c r="W341" s="149"/>
      <c r="X341" s="149"/>
      <c r="Y341" s="149"/>
      <c r="Z341" s="149"/>
      <c r="AA341" s="149"/>
    </row>
    <row r="342" spans="1:27" ht="15.75" customHeight="1" x14ac:dyDescent="0.25">
      <c r="A342" s="149"/>
      <c r="B342" s="149"/>
      <c r="C342" s="149"/>
      <c r="D342" s="149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  <c r="Q342" s="149"/>
      <c r="R342" s="149"/>
      <c r="S342" s="149"/>
      <c r="T342" s="149"/>
      <c r="U342" s="149"/>
      <c r="V342" s="149"/>
      <c r="W342" s="149"/>
      <c r="X342" s="149"/>
      <c r="Y342" s="149"/>
      <c r="Z342" s="149"/>
      <c r="AA342" s="149"/>
    </row>
    <row r="343" spans="1:27" ht="15.75" customHeight="1" x14ac:dyDescent="0.25">
      <c r="A343" s="149"/>
      <c r="B343" s="149"/>
      <c r="C343" s="149"/>
      <c r="D343" s="149"/>
      <c r="E343" s="14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  <c r="Q343" s="149"/>
      <c r="R343" s="149"/>
      <c r="S343" s="149"/>
      <c r="T343" s="149"/>
      <c r="U343" s="149"/>
      <c r="V343" s="149"/>
      <c r="W343" s="149"/>
      <c r="X343" s="149"/>
      <c r="Y343" s="149"/>
      <c r="Z343" s="149"/>
      <c r="AA343" s="149"/>
    </row>
    <row r="344" spans="1:27" ht="15.75" customHeight="1" x14ac:dyDescent="0.25">
      <c r="A344" s="149"/>
      <c r="B344" s="149"/>
      <c r="C344" s="149"/>
      <c r="D344" s="149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  <c r="Q344" s="149"/>
      <c r="R344" s="149"/>
      <c r="S344" s="149"/>
      <c r="T344" s="149"/>
      <c r="U344" s="149"/>
      <c r="V344" s="149"/>
      <c r="W344" s="149"/>
      <c r="X344" s="149"/>
      <c r="Y344" s="149"/>
      <c r="Z344" s="149"/>
      <c r="AA344" s="149"/>
    </row>
    <row r="345" spans="1:27" ht="15.75" customHeight="1" x14ac:dyDescent="0.25">
      <c r="A345" s="149"/>
      <c r="B345" s="149"/>
      <c r="C345" s="149"/>
      <c r="D345" s="149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  <c r="Q345" s="149"/>
      <c r="R345" s="149"/>
      <c r="S345" s="149"/>
      <c r="T345" s="149"/>
      <c r="U345" s="149"/>
      <c r="V345" s="149"/>
      <c r="W345" s="149"/>
      <c r="X345" s="149"/>
      <c r="Y345" s="149"/>
      <c r="Z345" s="149"/>
      <c r="AA345" s="149"/>
    </row>
    <row r="346" spans="1:27" ht="15.75" customHeight="1" x14ac:dyDescent="0.25">
      <c r="A346" s="149"/>
      <c r="B346" s="149"/>
      <c r="C346" s="149"/>
      <c r="D346" s="149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  <c r="Q346" s="149"/>
      <c r="R346" s="149"/>
      <c r="S346" s="149"/>
      <c r="T346" s="149"/>
      <c r="U346" s="149"/>
      <c r="V346" s="149"/>
      <c r="W346" s="149"/>
      <c r="X346" s="149"/>
      <c r="Y346" s="149"/>
      <c r="Z346" s="149"/>
      <c r="AA346" s="149"/>
    </row>
    <row r="347" spans="1:27" ht="15.75" customHeight="1" x14ac:dyDescent="0.25">
      <c r="A347" s="149"/>
      <c r="B347" s="149"/>
      <c r="C347" s="149"/>
      <c r="D347" s="149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  <c r="Q347" s="149"/>
      <c r="R347" s="149"/>
      <c r="S347" s="149"/>
      <c r="T347" s="149"/>
      <c r="U347" s="149"/>
      <c r="V347" s="149"/>
      <c r="W347" s="149"/>
      <c r="X347" s="149"/>
      <c r="Y347" s="149"/>
      <c r="Z347" s="149"/>
      <c r="AA347" s="149"/>
    </row>
    <row r="348" spans="1:27" ht="15.75" customHeight="1" x14ac:dyDescent="0.25">
      <c r="A348" s="149"/>
      <c r="B348" s="149"/>
      <c r="C348" s="149"/>
      <c r="D348" s="149"/>
      <c r="E348" s="14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  <c r="Q348" s="149"/>
      <c r="R348" s="149"/>
      <c r="S348" s="149"/>
      <c r="T348" s="149"/>
      <c r="U348" s="149"/>
      <c r="V348" s="149"/>
      <c r="W348" s="149"/>
      <c r="X348" s="149"/>
      <c r="Y348" s="149"/>
      <c r="Z348" s="149"/>
      <c r="AA348" s="149"/>
    </row>
    <row r="349" spans="1:27" ht="15.75" customHeight="1" x14ac:dyDescent="0.25">
      <c r="A349" s="149"/>
      <c r="B349" s="149"/>
      <c r="C349" s="149"/>
      <c r="D349" s="149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  <c r="Q349" s="149"/>
      <c r="R349" s="149"/>
      <c r="S349" s="149"/>
      <c r="T349" s="149"/>
      <c r="U349" s="149"/>
      <c r="V349" s="149"/>
      <c r="W349" s="149"/>
      <c r="X349" s="149"/>
      <c r="Y349" s="149"/>
      <c r="Z349" s="149"/>
      <c r="AA349" s="149"/>
    </row>
    <row r="350" spans="1:27" ht="15.75" customHeight="1" x14ac:dyDescent="0.25">
      <c r="A350" s="149"/>
      <c r="B350" s="149"/>
      <c r="C350" s="149"/>
      <c r="D350" s="149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  <c r="Q350" s="149"/>
      <c r="R350" s="149"/>
      <c r="S350" s="149"/>
      <c r="T350" s="149"/>
      <c r="U350" s="149"/>
      <c r="V350" s="149"/>
      <c r="W350" s="149"/>
      <c r="X350" s="149"/>
      <c r="Y350" s="149"/>
      <c r="Z350" s="149"/>
      <c r="AA350" s="149"/>
    </row>
    <row r="351" spans="1:27" ht="15.75" customHeight="1" x14ac:dyDescent="0.25">
      <c r="A351" s="149"/>
      <c r="B351" s="149"/>
      <c r="C351" s="149"/>
      <c r="D351" s="149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  <c r="Q351" s="149"/>
      <c r="R351" s="149"/>
      <c r="S351" s="149"/>
      <c r="T351" s="149"/>
      <c r="U351" s="149"/>
      <c r="V351" s="149"/>
      <c r="W351" s="149"/>
      <c r="X351" s="149"/>
      <c r="Y351" s="149"/>
      <c r="Z351" s="149"/>
      <c r="AA351" s="149"/>
    </row>
    <row r="352" spans="1:27" ht="15.75" customHeight="1" x14ac:dyDescent="0.25">
      <c r="A352" s="149"/>
      <c r="B352" s="149"/>
      <c r="C352" s="149"/>
      <c r="D352" s="149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  <c r="Q352" s="149"/>
      <c r="R352" s="149"/>
      <c r="S352" s="149"/>
      <c r="T352" s="149"/>
      <c r="U352" s="149"/>
      <c r="V352" s="149"/>
      <c r="W352" s="149"/>
      <c r="X352" s="149"/>
      <c r="Y352" s="149"/>
      <c r="Z352" s="149"/>
      <c r="AA352" s="149"/>
    </row>
    <row r="353" spans="1:27" ht="15.75" customHeight="1" x14ac:dyDescent="0.25">
      <c r="A353" s="149"/>
      <c r="B353" s="149"/>
      <c r="C353" s="149"/>
      <c r="D353" s="149"/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  <c r="Q353" s="149"/>
      <c r="R353" s="149"/>
      <c r="S353" s="149"/>
      <c r="T353" s="149"/>
      <c r="U353" s="149"/>
      <c r="V353" s="149"/>
      <c r="W353" s="149"/>
      <c r="X353" s="149"/>
      <c r="Y353" s="149"/>
      <c r="Z353" s="149"/>
      <c r="AA353" s="149"/>
    </row>
    <row r="354" spans="1:27" ht="15.75" customHeight="1" x14ac:dyDescent="0.25">
      <c r="A354" s="149"/>
      <c r="B354" s="149"/>
      <c r="C354" s="149"/>
      <c r="D354" s="149"/>
      <c r="E354" s="14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  <c r="Q354" s="149"/>
      <c r="R354" s="149"/>
      <c r="S354" s="149"/>
      <c r="T354" s="149"/>
      <c r="U354" s="149"/>
      <c r="V354" s="149"/>
      <c r="W354" s="149"/>
      <c r="X354" s="149"/>
      <c r="Y354" s="149"/>
      <c r="Z354" s="149"/>
      <c r="AA354" s="149"/>
    </row>
    <row r="355" spans="1:27" ht="15.75" customHeight="1" x14ac:dyDescent="0.25">
      <c r="A355" s="149"/>
      <c r="B355" s="149"/>
      <c r="C355" s="149"/>
      <c r="D355" s="149"/>
      <c r="E355" s="14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  <c r="Q355" s="149"/>
      <c r="R355" s="149"/>
      <c r="S355" s="149"/>
      <c r="T355" s="149"/>
      <c r="U355" s="149"/>
      <c r="V355" s="149"/>
      <c r="W355" s="149"/>
      <c r="X355" s="149"/>
      <c r="Y355" s="149"/>
      <c r="Z355" s="149"/>
      <c r="AA355" s="149"/>
    </row>
    <row r="356" spans="1:27" ht="15.75" customHeight="1" x14ac:dyDescent="0.25">
      <c r="A356" s="149"/>
      <c r="B356" s="149"/>
      <c r="C356" s="149"/>
      <c r="D356" s="149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  <c r="Q356" s="149"/>
      <c r="R356" s="149"/>
      <c r="S356" s="149"/>
      <c r="T356" s="149"/>
      <c r="U356" s="149"/>
      <c r="V356" s="149"/>
      <c r="W356" s="149"/>
      <c r="X356" s="149"/>
      <c r="Y356" s="149"/>
      <c r="Z356" s="149"/>
      <c r="AA356" s="149"/>
    </row>
    <row r="357" spans="1:27" ht="15.75" customHeight="1" x14ac:dyDescent="0.25">
      <c r="A357" s="149"/>
      <c r="B357" s="149"/>
      <c r="C357" s="149"/>
      <c r="D357" s="149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  <c r="Q357" s="149"/>
      <c r="R357" s="149"/>
      <c r="S357" s="149"/>
      <c r="T357" s="149"/>
      <c r="U357" s="149"/>
      <c r="V357" s="149"/>
      <c r="W357" s="149"/>
      <c r="X357" s="149"/>
      <c r="Y357" s="149"/>
      <c r="Z357" s="149"/>
      <c r="AA357" s="149"/>
    </row>
    <row r="358" spans="1:27" ht="15.75" customHeight="1" x14ac:dyDescent="0.25">
      <c r="A358" s="149"/>
      <c r="B358" s="149"/>
      <c r="C358" s="149"/>
      <c r="D358" s="149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  <c r="Q358" s="149"/>
      <c r="R358" s="149"/>
      <c r="S358" s="149"/>
      <c r="T358" s="149"/>
      <c r="U358" s="149"/>
      <c r="V358" s="149"/>
      <c r="W358" s="149"/>
      <c r="X358" s="149"/>
      <c r="Y358" s="149"/>
      <c r="Z358" s="149"/>
      <c r="AA358" s="149"/>
    </row>
    <row r="359" spans="1:27" ht="15.75" customHeight="1" x14ac:dyDescent="0.25">
      <c r="A359" s="149"/>
      <c r="B359" s="149"/>
      <c r="C359" s="149"/>
      <c r="D359" s="149"/>
      <c r="E359" s="14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  <c r="Q359" s="149"/>
      <c r="R359" s="149"/>
      <c r="S359" s="149"/>
      <c r="T359" s="149"/>
      <c r="U359" s="149"/>
      <c r="V359" s="149"/>
      <c r="W359" s="149"/>
      <c r="X359" s="149"/>
      <c r="Y359" s="149"/>
      <c r="Z359" s="149"/>
      <c r="AA359" s="149"/>
    </row>
    <row r="360" spans="1:27" ht="15.75" customHeight="1" x14ac:dyDescent="0.25">
      <c r="A360" s="149"/>
      <c r="B360" s="149"/>
      <c r="C360" s="149"/>
      <c r="D360" s="149"/>
      <c r="E360" s="14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  <c r="Q360" s="149"/>
      <c r="R360" s="149"/>
      <c r="S360" s="149"/>
      <c r="T360" s="149"/>
      <c r="U360" s="149"/>
      <c r="V360" s="149"/>
      <c r="W360" s="149"/>
      <c r="X360" s="149"/>
      <c r="Y360" s="149"/>
      <c r="Z360" s="149"/>
      <c r="AA360" s="149"/>
    </row>
    <row r="361" spans="1:27" ht="15.75" customHeight="1" x14ac:dyDescent="0.25">
      <c r="A361" s="149"/>
      <c r="B361" s="149"/>
      <c r="C361" s="149"/>
      <c r="D361" s="149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  <c r="Q361" s="149"/>
      <c r="R361" s="149"/>
      <c r="S361" s="149"/>
      <c r="T361" s="149"/>
      <c r="U361" s="149"/>
      <c r="V361" s="149"/>
      <c r="W361" s="149"/>
      <c r="X361" s="149"/>
      <c r="Y361" s="149"/>
      <c r="Z361" s="149"/>
      <c r="AA361" s="149"/>
    </row>
    <row r="362" spans="1:27" ht="15.75" customHeight="1" x14ac:dyDescent="0.25">
      <c r="A362" s="149"/>
      <c r="B362" s="149"/>
      <c r="C362" s="149"/>
      <c r="D362" s="149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  <c r="Q362" s="149"/>
      <c r="R362" s="149"/>
      <c r="S362" s="149"/>
      <c r="T362" s="149"/>
      <c r="U362" s="149"/>
      <c r="V362" s="149"/>
      <c r="W362" s="149"/>
      <c r="X362" s="149"/>
      <c r="Y362" s="149"/>
      <c r="Z362" s="149"/>
      <c r="AA362" s="149"/>
    </row>
    <row r="363" spans="1:27" ht="15.75" customHeight="1" x14ac:dyDescent="0.25">
      <c r="A363" s="149"/>
      <c r="B363" s="149"/>
      <c r="C363" s="149"/>
      <c r="D363" s="149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  <c r="Q363" s="149"/>
      <c r="R363" s="149"/>
      <c r="S363" s="149"/>
      <c r="T363" s="149"/>
      <c r="U363" s="149"/>
      <c r="V363" s="149"/>
      <c r="W363" s="149"/>
      <c r="X363" s="149"/>
      <c r="Y363" s="149"/>
      <c r="Z363" s="149"/>
      <c r="AA363" s="149"/>
    </row>
    <row r="364" spans="1:27" ht="15.75" customHeight="1" x14ac:dyDescent="0.25">
      <c r="A364" s="149"/>
      <c r="B364" s="149"/>
      <c r="C364" s="149"/>
      <c r="D364" s="149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  <c r="Q364" s="149"/>
      <c r="R364" s="149"/>
      <c r="S364" s="149"/>
      <c r="T364" s="149"/>
      <c r="U364" s="149"/>
      <c r="V364" s="149"/>
      <c r="W364" s="149"/>
      <c r="X364" s="149"/>
      <c r="Y364" s="149"/>
      <c r="Z364" s="149"/>
      <c r="AA364" s="149"/>
    </row>
    <row r="365" spans="1:27" ht="15.75" customHeight="1" x14ac:dyDescent="0.25">
      <c r="A365" s="149"/>
      <c r="B365" s="149"/>
      <c r="C365" s="149"/>
      <c r="D365" s="149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  <c r="Q365" s="149"/>
      <c r="R365" s="149"/>
      <c r="S365" s="149"/>
      <c r="T365" s="149"/>
      <c r="U365" s="149"/>
      <c r="V365" s="149"/>
      <c r="W365" s="149"/>
      <c r="X365" s="149"/>
      <c r="Y365" s="149"/>
      <c r="Z365" s="149"/>
      <c r="AA365" s="149"/>
    </row>
    <row r="366" spans="1:27" ht="15.75" customHeight="1" x14ac:dyDescent="0.25">
      <c r="A366" s="149"/>
      <c r="B366" s="149"/>
      <c r="C366" s="149"/>
      <c r="D366" s="149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  <c r="Q366" s="149"/>
      <c r="R366" s="149"/>
      <c r="S366" s="149"/>
      <c r="T366" s="149"/>
      <c r="U366" s="149"/>
      <c r="V366" s="149"/>
      <c r="W366" s="149"/>
      <c r="X366" s="149"/>
      <c r="Y366" s="149"/>
      <c r="Z366" s="149"/>
      <c r="AA366" s="149"/>
    </row>
    <row r="367" spans="1:27" ht="15.75" customHeight="1" x14ac:dyDescent="0.25">
      <c r="A367" s="149"/>
      <c r="B367" s="149"/>
      <c r="C367" s="149"/>
      <c r="D367" s="149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  <c r="Q367" s="149"/>
      <c r="R367" s="149"/>
      <c r="S367" s="149"/>
      <c r="T367" s="149"/>
      <c r="U367" s="149"/>
      <c r="V367" s="149"/>
      <c r="W367" s="149"/>
      <c r="X367" s="149"/>
      <c r="Y367" s="149"/>
      <c r="Z367" s="149"/>
      <c r="AA367" s="149"/>
    </row>
    <row r="368" spans="1:27" ht="15.75" customHeight="1" x14ac:dyDescent="0.25">
      <c r="A368" s="149"/>
      <c r="B368" s="149"/>
      <c r="C368" s="149"/>
      <c r="D368" s="149"/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  <c r="Q368" s="149"/>
      <c r="R368" s="149"/>
      <c r="S368" s="149"/>
      <c r="T368" s="149"/>
      <c r="U368" s="149"/>
      <c r="V368" s="149"/>
      <c r="W368" s="149"/>
      <c r="X368" s="149"/>
      <c r="Y368" s="149"/>
      <c r="Z368" s="149"/>
      <c r="AA368" s="149"/>
    </row>
    <row r="369" spans="1:27" ht="15.75" customHeight="1" x14ac:dyDescent="0.25">
      <c r="A369" s="149"/>
      <c r="B369" s="149"/>
      <c r="C369" s="149"/>
      <c r="D369" s="149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  <c r="Q369" s="149"/>
      <c r="R369" s="149"/>
      <c r="S369" s="149"/>
      <c r="T369" s="149"/>
      <c r="U369" s="149"/>
      <c r="V369" s="149"/>
      <c r="W369" s="149"/>
      <c r="X369" s="149"/>
      <c r="Y369" s="149"/>
      <c r="Z369" s="149"/>
      <c r="AA369" s="149"/>
    </row>
    <row r="370" spans="1:27" ht="15.75" customHeight="1" x14ac:dyDescent="0.25">
      <c r="A370" s="149"/>
      <c r="B370" s="149"/>
      <c r="C370" s="149"/>
      <c r="D370" s="149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  <c r="Q370" s="149"/>
      <c r="R370" s="149"/>
      <c r="S370" s="149"/>
      <c r="T370" s="149"/>
      <c r="U370" s="149"/>
      <c r="V370" s="149"/>
      <c r="W370" s="149"/>
      <c r="X370" s="149"/>
      <c r="Y370" s="149"/>
      <c r="Z370" s="149"/>
      <c r="AA370" s="149"/>
    </row>
    <row r="371" spans="1:27" ht="15.75" customHeight="1" x14ac:dyDescent="0.25">
      <c r="A371" s="149"/>
      <c r="B371" s="149"/>
      <c r="C371" s="149"/>
      <c r="D371" s="149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  <c r="Q371" s="149"/>
      <c r="R371" s="149"/>
      <c r="S371" s="149"/>
      <c r="T371" s="149"/>
      <c r="U371" s="149"/>
      <c r="V371" s="149"/>
      <c r="W371" s="149"/>
      <c r="X371" s="149"/>
      <c r="Y371" s="149"/>
      <c r="Z371" s="149"/>
      <c r="AA371" s="149"/>
    </row>
    <row r="372" spans="1:27" ht="15.75" customHeight="1" x14ac:dyDescent="0.25">
      <c r="A372" s="149"/>
      <c r="B372" s="149"/>
      <c r="C372" s="149"/>
      <c r="D372" s="149"/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  <c r="Q372" s="149"/>
      <c r="R372" s="149"/>
      <c r="S372" s="149"/>
      <c r="T372" s="149"/>
      <c r="U372" s="149"/>
      <c r="V372" s="149"/>
      <c r="W372" s="149"/>
      <c r="X372" s="149"/>
      <c r="Y372" s="149"/>
      <c r="Z372" s="149"/>
      <c r="AA372" s="149"/>
    </row>
    <row r="373" spans="1:27" ht="15.75" customHeight="1" x14ac:dyDescent="0.25">
      <c r="A373" s="149"/>
      <c r="B373" s="149"/>
      <c r="C373" s="149"/>
      <c r="D373" s="149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  <c r="Q373" s="149"/>
      <c r="R373" s="149"/>
      <c r="S373" s="149"/>
      <c r="T373" s="149"/>
      <c r="U373" s="149"/>
      <c r="V373" s="149"/>
      <c r="W373" s="149"/>
      <c r="X373" s="149"/>
      <c r="Y373" s="149"/>
      <c r="Z373" s="149"/>
      <c r="AA373" s="149"/>
    </row>
    <row r="374" spans="1:27" ht="15.75" customHeight="1" x14ac:dyDescent="0.25">
      <c r="A374" s="149"/>
      <c r="B374" s="149"/>
      <c r="C374" s="149"/>
      <c r="D374" s="149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  <c r="Q374" s="149"/>
      <c r="R374" s="149"/>
      <c r="S374" s="149"/>
      <c r="T374" s="149"/>
      <c r="U374" s="149"/>
      <c r="V374" s="149"/>
      <c r="W374" s="149"/>
      <c r="X374" s="149"/>
      <c r="Y374" s="149"/>
      <c r="Z374" s="149"/>
      <c r="AA374" s="149"/>
    </row>
    <row r="375" spans="1:27" ht="15.75" customHeight="1" x14ac:dyDescent="0.25">
      <c r="A375" s="149"/>
      <c r="B375" s="149"/>
      <c r="C375" s="149"/>
      <c r="D375" s="149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  <c r="Q375" s="149"/>
      <c r="R375" s="149"/>
      <c r="S375" s="149"/>
      <c r="T375" s="149"/>
      <c r="U375" s="149"/>
      <c r="V375" s="149"/>
      <c r="W375" s="149"/>
      <c r="X375" s="149"/>
      <c r="Y375" s="149"/>
      <c r="Z375" s="149"/>
      <c r="AA375" s="149"/>
    </row>
    <row r="376" spans="1:27" ht="15.75" customHeight="1" x14ac:dyDescent="0.25">
      <c r="A376" s="149"/>
      <c r="B376" s="149"/>
      <c r="C376" s="149"/>
      <c r="D376" s="149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  <c r="Q376" s="149"/>
      <c r="R376" s="149"/>
      <c r="S376" s="149"/>
      <c r="T376" s="149"/>
      <c r="U376" s="149"/>
      <c r="V376" s="149"/>
      <c r="W376" s="149"/>
      <c r="X376" s="149"/>
      <c r="Y376" s="149"/>
      <c r="Z376" s="149"/>
      <c r="AA376" s="149"/>
    </row>
    <row r="377" spans="1:27" ht="15.75" customHeight="1" x14ac:dyDescent="0.25">
      <c r="A377" s="149"/>
      <c r="B377" s="149"/>
      <c r="C377" s="149"/>
      <c r="D377" s="149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  <c r="Q377" s="149"/>
      <c r="R377" s="149"/>
      <c r="S377" s="149"/>
      <c r="T377" s="149"/>
      <c r="U377" s="149"/>
      <c r="V377" s="149"/>
      <c r="W377" s="149"/>
      <c r="X377" s="149"/>
      <c r="Y377" s="149"/>
      <c r="Z377" s="149"/>
      <c r="AA377" s="149"/>
    </row>
    <row r="378" spans="1:27" ht="15.75" customHeight="1" x14ac:dyDescent="0.25">
      <c r="A378" s="149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  <c r="Q378" s="149"/>
      <c r="R378" s="149"/>
      <c r="S378" s="149"/>
      <c r="T378" s="149"/>
      <c r="U378" s="149"/>
      <c r="V378" s="149"/>
      <c r="W378" s="149"/>
      <c r="X378" s="149"/>
      <c r="Y378" s="149"/>
      <c r="Z378" s="149"/>
      <c r="AA378" s="149"/>
    </row>
    <row r="379" spans="1:27" ht="15.75" customHeight="1" x14ac:dyDescent="0.25">
      <c r="A379" s="149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  <c r="Q379" s="149"/>
      <c r="R379" s="149"/>
      <c r="S379" s="149"/>
      <c r="T379" s="149"/>
      <c r="U379" s="149"/>
      <c r="V379" s="149"/>
      <c r="W379" s="149"/>
      <c r="X379" s="149"/>
      <c r="Y379" s="149"/>
      <c r="Z379" s="149"/>
      <c r="AA379" s="149"/>
    </row>
    <row r="380" spans="1:27" ht="15.75" customHeight="1" x14ac:dyDescent="0.25">
      <c r="A380" s="149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  <c r="Q380" s="149"/>
      <c r="R380" s="149"/>
      <c r="S380" s="149"/>
      <c r="T380" s="149"/>
      <c r="U380" s="149"/>
      <c r="V380" s="149"/>
      <c r="W380" s="149"/>
      <c r="X380" s="149"/>
      <c r="Y380" s="149"/>
      <c r="Z380" s="149"/>
      <c r="AA380" s="149"/>
    </row>
    <row r="381" spans="1:27" ht="15.75" customHeight="1" x14ac:dyDescent="0.25">
      <c r="A381" s="149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  <c r="Q381" s="149"/>
      <c r="R381" s="149"/>
      <c r="S381" s="149"/>
      <c r="T381" s="149"/>
      <c r="U381" s="149"/>
      <c r="V381" s="149"/>
      <c r="W381" s="149"/>
      <c r="X381" s="149"/>
      <c r="Y381" s="149"/>
      <c r="Z381" s="149"/>
      <c r="AA381" s="149"/>
    </row>
    <row r="382" spans="1:27" ht="15.75" customHeight="1" x14ac:dyDescent="0.25">
      <c r="A382" s="149"/>
      <c r="B382" s="149"/>
      <c r="C382" s="149"/>
      <c r="D382" s="149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  <c r="Q382" s="149"/>
      <c r="R382" s="149"/>
      <c r="S382" s="149"/>
      <c r="T382" s="149"/>
      <c r="U382" s="149"/>
      <c r="V382" s="149"/>
      <c r="W382" s="149"/>
      <c r="X382" s="149"/>
      <c r="Y382" s="149"/>
      <c r="Z382" s="149"/>
      <c r="AA382" s="149"/>
    </row>
    <row r="383" spans="1:27" ht="15.75" customHeight="1" x14ac:dyDescent="0.25">
      <c r="A383" s="149"/>
      <c r="B383" s="149"/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  <c r="Q383" s="149"/>
      <c r="R383" s="149"/>
      <c r="S383" s="149"/>
      <c r="T383" s="149"/>
      <c r="U383" s="149"/>
      <c r="V383" s="149"/>
      <c r="W383" s="149"/>
      <c r="X383" s="149"/>
      <c r="Y383" s="149"/>
      <c r="Z383" s="149"/>
      <c r="AA383" s="149"/>
    </row>
    <row r="384" spans="1:27" ht="15.75" customHeight="1" x14ac:dyDescent="0.25">
      <c r="A384" s="149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  <c r="Q384" s="149"/>
      <c r="R384" s="149"/>
      <c r="S384" s="149"/>
      <c r="T384" s="149"/>
      <c r="U384" s="149"/>
      <c r="V384" s="149"/>
      <c r="W384" s="149"/>
      <c r="X384" s="149"/>
      <c r="Y384" s="149"/>
      <c r="Z384" s="149"/>
      <c r="AA384" s="149"/>
    </row>
    <row r="385" spans="1:27" ht="15.75" customHeight="1" x14ac:dyDescent="0.25">
      <c r="A385" s="149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  <c r="Q385" s="149"/>
      <c r="R385" s="149"/>
      <c r="S385" s="149"/>
      <c r="T385" s="149"/>
      <c r="U385" s="149"/>
      <c r="V385" s="149"/>
      <c r="W385" s="149"/>
      <c r="X385" s="149"/>
      <c r="Y385" s="149"/>
      <c r="Z385" s="149"/>
      <c r="AA385" s="149"/>
    </row>
    <row r="386" spans="1:27" ht="15.75" customHeight="1" x14ac:dyDescent="0.25">
      <c r="A386" s="149"/>
      <c r="B386" s="149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  <c r="Q386" s="149"/>
      <c r="R386" s="149"/>
      <c r="S386" s="149"/>
      <c r="T386" s="149"/>
      <c r="U386" s="149"/>
      <c r="V386" s="149"/>
      <c r="W386" s="149"/>
      <c r="X386" s="149"/>
      <c r="Y386" s="149"/>
      <c r="Z386" s="149"/>
      <c r="AA386" s="149"/>
    </row>
    <row r="387" spans="1:27" ht="15.75" customHeight="1" x14ac:dyDescent="0.25">
      <c r="A387" s="149"/>
      <c r="B387" s="149"/>
      <c r="C387" s="149"/>
      <c r="D387" s="149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  <c r="Q387" s="149"/>
      <c r="R387" s="149"/>
      <c r="S387" s="149"/>
      <c r="T387" s="149"/>
      <c r="U387" s="149"/>
      <c r="V387" s="149"/>
      <c r="W387" s="149"/>
      <c r="X387" s="149"/>
      <c r="Y387" s="149"/>
      <c r="Z387" s="149"/>
      <c r="AA387" s="149"/>
    </row>
    <row r="388" spans="1:27" ht="15.75" customHeight="1" x14ac:dyDescent="0.25">
      <c r="A388" s="149"/>
      <c r="B388" s="149"/>
      <c r="C388" s="149"/>
      <c r="D388" s="149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  <c r="Q388" s="149"/>
      <c r="R388" s="149"/>
      <c r="S388" s="149"/>
      <c r="T388" s="149"/>
      <c r="U388" s="149"/>
      <c r="V388" s="149"/>
      <c r="W388" s="149"/>
      <c r="X388" s="149"/>
      <c r="Y388" s="149"/>
      <c r="Z388" s="149"/>
      <c r="AA388" s="149"/>
    </row>
    <row r="389" spans="1:27" ht="15.75" customHeight="1" x14ac:dyDescent="0.25">
      <c r="A389" s="149"/>
      <c r="B389" s="149"/>
      <c r="C389" s="149"/>
      <c r="D389" s="149"/>
      <c r="E389" s="149"/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  <c r="Q389" s="149"/>
      <c r="R389" s="149"/>
      <c r="S389" s="149"/>
      <c r="T389" s="149"/>
      <c r="U389" s="149"/>
      <c r="V389" s="149"/>
      <c r="W389" s="149"/>
      <c r="X389" s="149"/>
      <c r="Y389" s="149"/>
      <c r="Z389" s="149"/>
      <c r="AA389" s="149"/>
    </row>
    <row r="390" spans="1:27" ht="15.75" customHeight="1" x14ac:dyDescent="0.25">
      <c r="A390" s="149"/>
      <c r="B390" s="149"/>
      <c r="C390" s="149"/>
      <c r="D390" s="149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  <c r="Q390" s="149"/>
      <c r="R390" s="149"/>
      <c r="S390" s="149"/>
      <c r="T390" s="149"/>
      <c r="U390" s="149"/>
      <c r="V390" s="149"/>
      <c r="W390" s="149"/>
      <c r="X390" s="149"/>
      <c r="Y390" s="149"/>
      <c r="Z390" s="149"/>
      <c r="AA390" s="149"/>
    </row>
    <row r="391" spans="1:27" ht="15.75" customHeight="1" x14ac:dyDescent="0.25">
      <c r="A391" s="149"/>
      <c r="B391" s="149"/>
      <c r="C391" s="149"/>
      <c r="D391" s="149"/>
      <c r="E391" s="149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  <c r="Q391" s="149"/>
      <c r="R391" s="149"/>
      <c r="S391" s="149"/>
      <c r="T391" s="149"/>
      <c r="U391" s="149"/>
      <c r="V391" s="149"/>
      <c r="W391" s="149"/>
      <c r="X391" s="149"/>
      <c r="Y391" s="149"/>
      <c r="Z391" s="149"/>
      <c r="AA391" s="149"/>
    </row>
    <row r="392" spans="1:27" ht="15.75" customHeight="1" x14ac:dyDescent="0.25">
      <c r="A392" s="149"/>
      <c r="B392" s="149"/>
      <c r="C392" s="149"/>
      <c r="D392" s="149"/>
      <c r="E392" s="149"/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  <c r="Q392" s="149"/>
      <c r="R392" s="149"/>
      <c r="S392" s="149"/>
      <c r="T392" s="149"/>
      <c r="U392" s="149"/>
      <c r="V392" s="149"/>
      <c r="W392" s="149"/>
      <c r="X392" s="149"/>
      <c r="Y392" s="149"/>
      <c r="Z392" s="149"/>
      <c r="AA392" s="149"/>
    </row>
    <row r="393" spans="1:27" ht="15.75" customHeight="1" x14ac:dyDescent="0.25">
      <c r="A393" s="149"/>
      <c r="B393" s="149"/>
      <c r="C393" s="149"/>
      <c r="D393" s="149"/>
      <c r="E393" s="14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  <c r="Q393" s="149"/>
      <c r="R393" s="149"/>
      <c r="S393" s="149"/>
      <c r="T393" s="149"/>
      <c r="U393" s="149"/>
      <c r="V393" s="149"/>
      <c r="W393" s="149"/>
      <c r="X393" s="149"/>
      <c r="Y393" s="149"/>
      <c r="Z393" s="149"/>
      <c r="AA393" s="149"/>
    </row>
    <row r="394" spans="1:27" ht="15.75" customHeight="1" x14ac:dyDescent="0.25">
      <c r="A394" s="149"/>
      <c r="B394" s="149"/>
      <c r="C394" s="149"/>
      <c r="D394" s="149"/>
      <c r="E394" s="149"/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  <c r="Q394" s="149"/>
      <c r="R394" s="149"/>
      <c r="S394" s="149"/>
      <c r="T394" s="149"/>
      <c r="U394" s="149"/>
      <c r="V394" s="149"/>
      <c r="W394" s="149"/>
      <c r="X394" s="149"/>
      <c r="Y394" s="149"/>
      <c r="Z394" s="149"/>
      <c r="AA394" s="149"/>
    </row>
    <row r="395" spans="1:27" ht="15.75" customHeight="1" x14ac:dyDescent="0.25">
      <c r="A395" s="149"/>
      <c r="B395" s="149"/>
      <c r="C395" s="149"/>
      <c r="D395" s="149"/>
      <c r="E395" s="149"/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  <c r="Q395" s="149"/>
      <c r="R395" s="149"/>
      <c r="S395" s="149"/>
      <c r="T395" s="149"/>
      <c r="U395" s="149"/>
      <c r="V395" s="149"/>
      <c r="W395" s="149"/>
      <c r="X395" s="149"/>
      <c r="Y395" s="149"/>
      <c r="Z395" s="149"/>
      <c r="AA395" s="149"/>
    </row>
    <row r="396" spans="1:27" ht="15.75" customHeight="1" x14ac:dyDescent="0.25">
      <c r="A396" s="149"/>
      <c r="B396" s="149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  <c r="Q396" s="149"/>
      <c r="R396" s="149"/>
      <c r="S396" s="149"/>
      <c r="T396" s="149"/>
      <c r="U396" s="149"/>
      <c r="V396" s="149"/>
      <c r="W396" s="149"/>
      <c r="X396" s="149"/>
      <c r="Y396" s="149"/>
      <c r="Z396" s="149"/>
      <c r="AA396" s="149"/>
    </row>
    <row r="397" spans="1:27" ht="15.75" customHeight="1" x14ac:dyDescent="0.25">
      <c r="A397" s="149"/>
      <c r="B397" s="149"/>
      <c r="C397" s="149"/>
      <c r="D397" s="149"/>
      <c r="E397" s="149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  <c r="Q397" s="149"/>
      <c r="R397" s="149"/>
      <c r="S397" s="149"/>
      <c r="T397" s="149"/>
      <c r="U397" s="149"/>
      <c r="V397" s="149"/>
      <c r="W397" s="149"/>
      <c r="X397" s="149"/>
      <c r="Y397" s="149"/>
      <c r="Z397" s="149"/>
      <c r="AA397" s="149"/>
    </row>
    <row r="398" spans="1:27" ht="15.75" customHeight="1" x14ac:dyDescent="0.25">
      <c r="A398" s="149"/>
      <c r="B398" s="149"/>
      <c r="C398" s="149"/>
      <c r="D398" s="149"/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  <c r="Q398" s="149"/>
      <c r="R398" s="149"/>
      <c r="S398" s="149"/>
      <c r="T398" s="149"/>
      <c r="U398" s="149"/>
      <c r="V398" s="149"/>
      <c r="W398" s="149"/>
      <c r="X398" s="149"/>
      <c r="Y398" s="149"/>
      <c r="Z398" s="149"/>
      <c r="AA398" s="149"/>
    </row>
    <row r="399" spans="1:27" ht="15.75" customHeight="1" x14ac:dyDescent="0.25">
      <c r="A399" s="149"/>
      <c r="B399" s="149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  <c r="Q399" s="149"/>
      <c r="R399" s="149"/>
      <c r="S399" s="149"/>
      <c r="T399" s="149"/>
      <c r="U399" s="149"/>
      <c r="V399" s="149"/>
      <c r="W399" s="149"/>
      <c r="X399" s="149"/>
      <c r="Y399" s="149"/>
      <c r="Z399" s="149"/>
      <c r="AA399" s="149"/>
    </row>
    <row r="400" spans="1:27" ht="15.75" customHeight="1" x14ac:dyDescent="0.25">
      <c r="A400" s="149"/>
      <c r="B400" s="149"/>
      <c r="C400" s="149"/>
      <c r="D400" s="149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  <c r="Q400" s="149"/>
      <c r="R400" s="149"/>
      <c r="S400" s="149"/>
      <c r="T400" s="149"/>
      <c r="U400" s="149"/>
      <c r="V400" s="149"/>
      <c r="W400" s="149"/>
      <c r="X400" s="149"/>
      <c r="Y400" s="149"/>
      <c r="Z400" s="149"/>
      <c r="AA400" s="149"/>
    </row>
    <row r="401" spans="1:27" ht="15.75" customHeight="1" x14ac:dyDescent="0.25">
      <c r="A401" s="149"/>
      <c r="B401" s="149"/>
      <c r="C401" s="149"/>
      <c r="D401" s="149"/>
      <c r="E401" s="149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  <c r="Q401" s="149"/>
      <c r="R401" s="149"/>
      <c r="S401" s="149"/>
      <c r="T401" s="149"/>
      <c r="U401" s="149"/>
      <c r="V401" s="149"/>
      <c r="W401" s="149"/>
      <c r="X401" s="149"/>
      <c r="Y401" s="149"/>
      <c r="Z401" s="149"/>
      <c r="AA401" s="149"/>
    </row>
    <row r="402" spans="1:27" ht="15.75" customHeight="1" x14ac:dyDescent="0.25">
      <c r="A402" s="149"/>
      <c r="B402" s="149"/>
      <c r="C402" s="149"/>
      <c r="D402" s="149"/>
      <c r="E402" s="149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  <c r="Q402" s="149"/>
      <c r="R402" s="149"/>
      <c r="S402" s="149"/>
      <c r="T402" s="149"/>
      <c r="U402" s="149"/>
      <c r="V402" s="149"/>
      <c r="W402" s="149"/>
      <c r="X402" s="149"/>
      <c r="Y402" s="149"/>
      <c r="Z402" s="149"/>
      <c r="AA402" s="149"/>
    </row>
    <row r="403" spans="1:27" ht="15.75" customHeight="1" x14ac:dyDescent="0.25">
      <c r="A403" s="149"/>
      <c r="B403" s="149"/>
      <c r="C403" s="149"/>
      <c r="D403" s="149"/>
      <c r="E403" s="14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  <c r="Q403" s="149"/>
      <c r="R403" s="149"/>
      <c r="S403" s="149"/>
      <c r="T403" s="149"/>
      <c r="U403" s="149"/>
      <c r="V403" s="149"/>
      <c r="W403" s="149"/>
      <c r="X403" s="149"/>
      <c r="Y403" s="149"/>
      <c r="Z403" s="149"/>
      <c r="AA403" s="149"/>
    </row>
    <row r="404" spans="1:27" ht="15.75" customHeight="1" x14ac:dyDescent="0.25">
      <c r="A404" s="149"/>
      <c r="B404" s="149"/>
      <c r="C404" s="149"/>
      <c r="D404" s="149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  <c r="Q404" s="149"/>
      <c r="R404" s="149"/>
      <c r="S404" s="149"/>
      <c r="T404" s="149"/>
      <c r="U404" s="149"/>
      <c r="V404" s="149"/>
      <c r="W404" s="149"/>
      <c r="X404" s="149"/>
      <c r="Y404" s="149"/>
      <c r="Z404" s="149"/>
      <c r="AA404" s="149"/>
    </row>
    <row r="405" spans="1:27" ht="15.75" customHeight="1" x14ac:dyDescent="0.25">
      <c r="A405" s="149"/>
      <c r="B405" s="149"/>
      <c r="C405" s="149"/>
      <c r="D405" s="149"/>
      <c r="E405" s="149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  <c r="Q405" s="149"/>
      <c r="R405" s="149"/>
      <c r="S405" s="149"/>
      <c r="T405" s="149"/>
      <c r="U405" s="149"/>
      <c r="V405" s="149"/>
      <c r="W405" s="149"/>
      <c r="X405" s="149"/>
      <c r="Y405" s="149"/>
      <c r="Z405" s="149"/>
      <c r="AA405" s="149"/>
    </row>
    <row r="406" spans="1:27" ht="15.75" customHeight="1" x14ac:dyDescent="0.25">
      <c r="A406" s="149"/>
      <c r="B406" s="149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  <c r="Q406" s="149"/>
      <c r="R406" s="149"/>
      <c r="S406" s="149"/>
      <c r="T406" s="149"/>
      <c r="U406" s="149"/>
      <c r="V406" s="149"/>
      <c r="W406" s="149"/>
      <c r="X406" s="149"/>
      <c r="Y406" s="149"/>
      <c r="Z406" s="149"/>
      <c r="AA406" s="149"/>
    </row>
    <row r="407" spans="1:27" ht="15.75" customHeight="1" x14ac:dyDescent="0.25">
      <c r="A407" s="149"/>
      <c r="B407" s="149"/>
      <c r="C407" s="149"/>
      <c r="D407" s="149"/>
      <c r="E407" s="149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  <c r="Q407" s="149"/>
      <c r="R407" s="149"/>
      <c r="S407" s="149"/>
      <c r="T407" s="149"/>
      <c r="U407" s="149"/>
      <c r="V407" s="149"/>
      <c r="W407" s="149"/>
      <c r="X407" s="149"/>
      <c r="Y407" s="149"/>
      <c r="Z407" s="149"/>
      <c r="AA407" s="149"/>
    </row>
    <row r="408" spans="1:27" ht="15.75" customHeight="1" x14ac:dyDescent="0.25">
      <c r="A408" s="149"/>
      <c r="B408" s="149"/>
      <c r="C408" s="149"/>
      <c r="D408" s="149"/>
      <c r="E408" s="149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  <c r="Q408" s="149"/>
      <c r="R408" s="149"/>
      <c r="S408" s="149"/>
      <c r="T408" s="149"/>
      <c r="U408" s="149"/>
      <c r="V408" s="149"/>
      <c r="W408" s="149"/>
      <c r="X408" s="149"/>
      <c r="Y408" s="149"/>
      <c r="Z408" s="149"/>
      <c r="AA408" s="149"/>
    </row>
    <row r="409" spans="1:27" ht="15.75" customHeight="1" x14ac:dyDescent="0.25">
      <c r="A409" s="149"/>
      <c r="B409" s="149"/>
      <c r="C409" s="149"/>
      <c r="D409" s="149"/>
      <c r="E409" s="149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  <c r="Q409" s="149"/>
      <c r="R409" s="149"/>
      <c r="S409" s="149"/>
      <c r="T409" s="149"/>
      <c r="U409" s="149"/>
      <c r="V409" s="149"/>
      <c r="W409" s="149"/>
      <c r="X409" s="149"/>
      <c r="Y409" s="149"/>
      <c r="Z409" s="149"/>
      <c r="AA409" s="149"/>
    </row>
    <row r="410" spans="1:27" ht="15.75" customHeight="1" x14ac:dyDescent="0.25">
      <c r="A410" s="149"/>
      <c r="B410" s="149"/>
      <c r="C410" s="149"/>
      <c r="D410" s="149"/>
      <c r="E410" s="149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  <c r="Q410" s="149"/>
      <c r="R410" s="149"/>
      <c r="S410" s="149"/>
      <c r="T410" s="149"/>
      <c r="U410" s="149"/>
      <c r="V410" s="149"/>
      <c r="W410" s="149"/>
      <c r="X410" s="149"/>
      <c r="Y410" s="149"/>
      <c r="Z410" s="149"/>
      <c r="AA410" s="149"/>
    </row>
    <row r="411" spans="1:27" ht="15.75" customHeight="1" x14ac:dyDescent="0.25">
      <c r="A411" s="149"/>
      <c r="B411" s="149"/>
      <c r="C411" s="149"/>
      <c r="D411" s="149"/>
      <c r="E411" s="149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  <c r="Q411" s="149"/>
      <c r="R411" s="149"/>
      <c r="S411" s="149"/>
      <c r="T411" s="149"/>
      <c r="U411" s="149"/>
      <c r="V411" s="149"/>
      <c r="W411" s="149"/>
      <c r="X411" s="149"/>
      <c r="Y411" s="149"/>
      <c r="Z411" s="149"/>
      <c r="AA411" s="149"/>
    </row>
    <row r="412" spans="1:27" ht="15.75" customHeight="1" x14ac:dyDescent="0.25">
      <c r="A412" s="149"/>
      <c r="B412" s="149"/>
      <c r="C412" s="149"/>
      <c r="D412" s="149"/>
      <c r="E412" s="149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  <c r="Q412" s="149"/>
      <c r="R412" s="149"/>
      <c r="S412" s="149"/>
      <c r="T412" s="149"/>
      <c r="U412" s="149"/>
      <c r="V412" s="149"/>
      <c r="W412" s="149"/>
      <c r="X412" s="149"/>
      <c r="Y412" s="149"/>
      <c r="Z412" s="149"/>
      <c r="AA412" s="149"/>
    </row>
    <row r="413" spans="1:27" ht="15.75" customHeight="1" x14ac:dyDescent="0.25">
      <c r="A413" s="149"/>
      <c r="B413" s="149"/>
      <c r="C413" s="149"/>
      <c r="D413" s="149"/>
      <c r="E413" s="149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  <c r="Q413" s="149"/>
      <c r="R413" s="149"/>
      <c r="S413" s="149"/>
      <c r="T413" s="149"/>
      <c r="U413" s="149"/>
      <c r="V413" s="149"/>
      <c r="W413" s="149"/>
      <c r="X413" s="149"/>
      <c r="Y413" s="149"/>
      <c r="Z413" s="149"/>
      <c r="AA413" s="149"/>
    </row>
    <row r="414" spans="1:27" ht="15.75" customHeight="1" x14ac:dyDescent="0.25">
      <c r="A414" s="149"/>
      <c r="B414" s="149"/>
      <c r="C414" s="149"/>
      <c r="D414" s="149"/>
      <c r="E414" s="149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  <c r="Q414" s="149"/>
      <c r="R414" s="149"/>
      <c r="S414" s="149"/>
      <c r="T414" s="149"/>
      <c r="U414" s="149"/>
      <c r="V414" s="149"/>
      <c r="W414" s="149"/>
      <c r="X414" s="149"/>
      <c r="Y414" s="149"/>
      <c r="Z414" s="149"/>
      <c r="AA414" s="149"/>
    </row>
    <row r="415" spans="1:27" ht="15.75" customHeight="1" x14ac:dyDescent="0.25">
      <c r="A415" s="149"/>
      <c r="B415" s="149"/>
      <c r="C415" s="149"/>
      <c r="D415" s="149"/>
      <c r="E415" s="149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  <c r="Q415" s="149"/>
      <c r="R415" s="149"/>
      <c r="S415" s="149"/>
      <c r="T415" s="149"/>
      <c r="U415" s="149"/>
      <c r="V415" s="149"/>
      <c r="W415" s="149"/>
      <c r="X415" s="149"/>
      <c r="Y415" s="149"/>
      <c r="Z415" s="149"/>
      <c r="AA415" s="149"/>
    </row>
    <row r="416" spans="1:27" ht="15.75" customHeight="1" x14ac:dyDescent="0.25">
      <c r="A416" s="149"/>
      <c r="B416" s="149"/>
      <c r="C416" s="149"/>
      <c r="D416" s="149"/>
      <c r="E416" s="149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  <c r="Q416" s="149"/>
      <c r="R416" s="149"/>
      <c r="S416" s="149"/>
      <c r="T416" s="149"/>
      <c r="U416" s="149"/>
      <c r="V416" s="149"/>
      <c r="W416" s="149"/>
      <c r="X416" s="149"/>
      <c r="Y416" s="149"/>
      <c r="Z416" s="149"/>
      <c r="AA416" s="149"/>
    </row>
    <row r="417" spans="1:27" ht="15.75" customHeight="1" x14ac:dyDescent="0.25">
      <c r="A417" s="149"/>
      <c r="B417" s="149"/>
      <c r="C417" s="149"/>
      <c r="D417" s="149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  <c r="Q417" s="149"/>
      <c r="R417" s="149"/>
      <c r="S417" s="149"/>
      <c r="T417" s="149"/>
      <c r="U417" s="149"/>
      <c r="V417" s="149"/>
      <c r="W417" s="149"/>
      <c r="X417" s="149"/>
      <c r="Y417" s="149"/>
      <c r="Z417" s="149"/>
      <c r="AA417" s="149"/>
    </row>
    <row r="418" spans="1:27" ht="15.75" customHeight="1" x14ac:dyDescent="0.25">
      <c r="A418" s="149"/>
      <c r="B418" s="149"/>
      <c r="C418" s="149"/>
      <c r="D418" s="149"/>
      <c r="E418" s="149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  <c r="Q418" s="149"/>
      <c r="R418" s="149"/>
      <c r="S418" s="149"/>
      <c r="T418" s="149"/>
      <c r="U418" s="149"/>
      <c r="V418" s="149"/>
      <c r="W418" s="149"/>
      <c r="X418" s="149"/>
      <c r="Y418" s="149"/>
      <c r="Z418" s="149"/>
      <c r="AA418" s="149"/>
    </row>
    <row r="419" spans="1:27" ht="15.75" customHeight="1" x14ac:dyDescent="0.25">
      <c r="A419" s="149"/>
      <c r="B419" s="149"/>
      <c r="C419" s="149"/>
      <c r="D419" s="149"/>
      <c r="E419" s="149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  <c r="Q419" s="149"/>
      <c r="R419" s="149"/>
      <c r="S419" s="149"/>
      <c r="T419" s="149"/>
      <c r="U419" s="149"/>
      <c r="V419" s="149"/>
      <c r="W419" s="149"/>
      <c r="X419" s="149"/>
      <c r="Y419" s="149"/>
      <c r="Z419" s="149"/>
      <c r="AA419" s="149"/>
    </row>
    <row r="420" spans="1:27" ht="15.75" customHeight="1" x14ac:dyDescent="0.25">
      <c r="A420" s="149"/>
      <c r="B420" s="149"/>
      <c r="C420" s="149"/>
      <c r="D420" s="149"/>
      <c r="E420" s="149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  <c r="Q420" s="149"/>
      <c r="R420" s="149"/>
      <c r="S420" s="149"/>
      <c r="T420" s="149"/>
      <c r="U420" s="149"/>
      <c r="V420" s="149"/>
      <c r="W420" s="149"/>
      <c r="X420" s="149"/>
      <c r="Y420" s="149"/>
      <c r="Z420" s="149"/>
      <c r="AA420" s="149"/>
    </row>
    <row r="421" spans="1:27" ht="15.75" customHeight="1" x14ac:dyDescent="0.25">
      <c r="A421" s="149"/>
      <c r="B421" s="149"/>
      <c r="C421" s="149"/>
      <c r="D421" s="149"/>
      <c r="E421" s="149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  <c r="Q421" s="149"/>
      <c r="R421" s="149"/>
      <c r="S421" s="149"/>
      <c r="T421" s="149"/>
      <c r="U421" s="149"/>
      <c r="V421" s="149"/>
      <c r="W421" s="149"/>
      <c r="X421" s="149"/>
      <c r="Y421" s="149"/>
      <c r="Z421" s="149"/>
      <c r="AA421" s="149"/>
    </row>
    <row r="422" spans="1:27" ht="15.75" customHeight="1" x14ac:dyDescent="0.25">
      <c r="A422" s="149"/>
      <c r="B422" s="149"/>
      <c r="C422" s="149"/>
      <c r="D422" s="149"/>
      <c r="E422" s="149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  <c r="Q422" s="149"/>
      <c r="R422" s="149"/>
      <c r="S422" s="149"/>
      <c r="T422" s="149"/>
      <c r="U422" s="149"/>
      <c r="V422" s="149"/>
      <c r="W422" s="149"/>
      <c r="X422" s="149"/>
      <c r="Y422" s="149"/>
      <c r="Z422" s="149"/>
      <c r="AA422" s="149"/>
    </row>
    <row r="423" spans="1:27" ht="15.75" customHeight="1" x14ac:dyDescent="0.25">
      <c r="A423" s="149"/>
      <c r="B423" s="149"/>
      <c r="C423" s="149"/>
      <c r="D423" s="149"/>
      <c r="E423" s="149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  <c r="Q423" s="149"/>
      <c r="R423" s="149"/>
      <c r="S423" s="149"/>
      <c r="T423" s="149"/>
      <c r="U423" s="149"/>
      <c r="V423" s="149"/>
      <c r="W423" s="149"/>
      <c r="X423" s="149"/>
      <c r="Y423" s="149"/>
      <c r="Z423" s="149"/>
      <c r="AA423" s="149"/>
    </row>
    <row r="424" spans="1:27" ht="15.75" customHeight="1" x14ac:dyDescent="0.25">
      <c r="A424" s="149"/>
      <c r="B424" s="149"/>
      <c r="C424" s="149"/>
      <c r="D424" s="149"/>
      <c r="E424" s="149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  <c r="Q424" s="149"/>
      <c r="R424" s="149"/>
      <c r="S424" s="149"/>
      <c r="T424" s="149"/>
      <c r="U424" s="149"/>
      <c r="V424" s="149"/>
      <c r="W424" s="149"/>
      <c r="X424" s="149"/>
      <c r="Y424" s="149"/>
      <c r="Z424" s="149"/>
      <c r="AA424" s="149"/>
    </row>
    <row r="425" spans="1:27" ht="15.75" customHeight="1" x14ac:dyDescent="0.25">
      <c r="A425" s="149"/>
      <c r="B425" s="149"/>
      <c r="C425" s="149"/>
      <c r="D425" s="149"/>
      <c r="E425" s="149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  <c r="Q425" s="149"/>
      <c r="R425" s="149"/>
      <c r="S425" s="149"/>
      <c r="T425" s="149"/>
      <c r="U425" s="149"/>
      <c r="V425" s="149"/>
      <c r="W425" s="149"/>
      <c r="X425" s="149"/>
      <c r="Y425" s="149"/>
      <c r="Z425" s="149"/>
      <c r="AA425" s="149"/>
    </row>
    <row r="426" spans="1:27" ht="15.75" customHeight="1" x14ac:dyDescent="0.25">
      <c r="A426" s="149"/>
      <c r="B426" s="149"/>
      <c r="C426" s="149"/>
      <c r="D426" s="149"/>
      <c r="E426" s="149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  <c r="Q426" s="149"/>
      <c r="R426" s="149"/>
      <c r="S426" s="149"/>
      <c r="T426" s="149"/>
      <c r="U426" s="149"/>
      <c r="V426" s="149"/>
      <c r="W426" s="149"/>
      <c r="X426" s="149"/>
      <c r="Y426" s="149"/>
      <c r="Z426" s="149"/>
      <c r="AA426" s="149"/>
    </row>
    <row r="427" spans="1:27" ht="15.75" customHeight="1" x14ac:dyDescent="0.25">
      <c r="A427" s="149"/>
      <c r="B427" s="149"/>
      <c r="C427" s="149"/>
      <c r="D427" s="149"/>
      <c r="E427" s="14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  <c r="Q427" s="149"/>
      <c r="R427" s="149"/>
      <c r="S427" s="149"/>
      <c r="T427" s="149"/>
      <c r="U427" s="149"/>
      <c r="V427" s="149"/>
      <c r="W427" s="149"/>
      <c r="X427" s="149"/>
      <c r="Y427" s="149"/>
      <c r="Z427" s="149"/>
      <c r="AA427" s="149"/>
    </row>
    <row r="428" spans="1:27" ht="15.75" customHeight="1" x14ac:dyDescent="0.25">
      <c r="A428" s="149"/>
      <c r="B428" s="149"/>
      <c r="C428" s="149"/>
      <c r="D428" s="149"/>
      <c r="E428" s="14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  <c r="Q428" s="149"/>
      <c r="R428" s="149"/>
      <c r="S428" s="149"/>
      <c r="T428" s="149"/>
      <c r="U428" s="149"/>
      <c r="V428" s="149"/>
      <c r="W428" s="149"/>
      <c r="X428" s="149"/>
      <c r="Y428" s="149"/>
      <c r="Z428" s="149"/>
      <c r="AA428" s="149"/>
    </row>
    <row r="429" spans="1:27" ht="15.75" customHeight="1" x14ac:dyDescent="0.25">
      <c r="A429" s="149"/>
      <c r="B429" s="149"/>
      <c r="C429" s="149"/>
      <c r="D429" s="149"/>
      <c r="E429" s="14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  <c r="Q429" s="149"/>
      <c r="R429" s="149"/>
      <c r="S429" s="149"/>
      <c r="T429" s="149"/>
      <c r="U429" s="149"/>
      <c r="V429" s="149"/>
      <c r="W429" s="149"/>
      <c r="X429" s="149"/>
      <c r="Y429" s="149"/>
      <c r="Z429" s="149"/>
      <c r="AA429" s="149"/>
    </row>
    <row r="430" spans="1:27" ht="15.75" customHeight="1" x14ac:dyDescent="0.25">
      <c r="A430" s="149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  <c r="Q430" s="149"/>
      <c r="R430" s="149"/>
      <c r="S430" s="149"/>
      <c r="T430" s="149"/>
      <c r="U430" s="149"/>
      <c r="V430" s="149"/>
      <c r="W430" s="149"/>
      <c r="X430" s="149"/>
      <c r="Y430" s="149"/>
      <c r="Z430" s="149"/>
      <c r="AA430" s="149"/>
    </row>
    <row r="431" spans="1:27" ht="15.75" customHeight="1" x14ac:dyDescent="0.25">
      <c r="A431" s="149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  <c r="Q431" s="149"/>
      <c r="R431" s="149"/>
      <c r="S431" s="149"/>
      <c r="T431" s="149"/>
      <c r="U431" s="149"/>
      <c r="V431" s="149"/>
      <c r="W431" s="149"/>
      <c r="X431" s="149"/>
      <c r="Y431" s="149"/>
      <c r="Z431" s="149"/>
      <c r="AA431" s="149"/>
    </row>
    <row r="432" spans="1:27" ht="15.75" customHeight="1" x14ac:dyDescent="0.25">
      <c r="A432" s="149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  <c r="Q432" s="149"/>
      <c r="R432" s="149"/>
      <c r="S432" s="149"/>
      <c r="T432" s="149"/>
      <c r="U432" s="149"/>
      <c r="V432" s="149"/>
      <c r="W432" s="149"/>
      <c r="X432" s="149"/>
      <c r="Y432" s="149"/>
      <c r="Z432" s="149"/>
      <c r="AA432" s="149"/>
    </row>
    <row r="433" spans="1:27" ht="15.75" customHeight="1" x14ac:dyDescent="0.25">
      <c r="A433" s="149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  <c r="Q433" s="149"/>
      <c r="R433" s="149"/>
      <c r="S433" s="149"/>
      <c r="T433" s="149"/>
      <c r="U433" s="149"/>
      <c r="V433" s="149"/>
      <c r="W433" s="149"/>
      <c r="X433" s="149"/>
      <c r="Y433" s="149"/>
      <c r="Z433" s="149"/>
      <c r="AA433" s="149"/>
    </row>
    <row r="434" spans="1:27" ht="15.75" customHeight="1" x14ac:dyDescent="0.25">
      <c r="A434" s="149"/>
      <c r="B434" s="149"/>
      <c r="C434" s="149"/>
      <c r="D434" s="149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  <c r="Q434" s="149"/>
      <c r="R434" s="149"/>
      <c r="S434" s="149"/>
      <c r="T434" s="149"/>
      <c r="U434" s="149"/>
      <c r="V434" s="149"/>
      <c r="W434" s="149"/>
      <c r="X434" s="149"/>
      <c r="Y434" s="149"/>
      <c r="Z434" s="149"/>
      <c r="AA434" s="149"/>
    </row>
    <row r="435" spans="1:27" ht="15.75" customHeight="1" x14ac:dyDescent="0.25">
      <c r="A435" s="149"/>
      <c r="B435" s="149"/>
      <c r="C435" s="149"/>
      <c r="D435" s="149"/>
      <c r="E435" s="149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  <c r="Q435" s="149"/>
      <c r="R435" s="149"/>
      <c r="S435" s="149"/>
      <c r="T435" s="149"/>
      <c r="U435" s="149"/>
      <c r="V435" s="149"/>
      <c r="W435" s="149"/>
      <c r="X435" s="149"/>
      <c r="Y435" s="149"/>
      <c r="Z435" s="149"/>
      <c r="AA435" s="149"/>
    </row>
    <row r="436" spans="1:27" ht="15.75" customHeight="1" x14ac:dyDescent="0.25">
      <c r="A436" s="149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  <c r="Q436" s="149"/>
      <c r="R436" s="149"/>
      <c r="S436" s="149"/>
      <c r="T436" s="149"/>
      <c r="U436" s="149"/>
      <c r="V436" s="149"/>
      <c r="W436" s="149"/>
      <c r="X436" s="149"/>
      <c r="Y436" s="149"/>
      <c r="Z436" s="149"/>
      <c r="AA436" s="149"/>
    </row>
    <row r="437" spans="1:27" ht="15.75" customHeight="1" x14ac:dyDescent="0.25">
      <c r="A437" s="149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  <c r="Q437" s="149"/>
      <c r="R437" s="149"/>
      <c r="S437" s="149"/>
      <c r="T437" s="149"/>
      <c r="U437" s="149"/>
      <c r="V437" s="149"/>
      <c r="W437" s="149"/>
      <c r="X437" s="149"/>
      <c r="Y437" s="149"/>
      <c r="Z437" s="149"/>
      <c r="AA437" s="149"/>
    </row>
    <row r="438" spans="1:27" ht="15.75" customHeight="1" x14ac:dyDescent="0.25">
      <c r="A438" s="149"/>
      <c r="B438" s="149"/>
      <c r="C438" s="149"/>
      <c r="D438" s="149"/>
      <c r="E438" s="14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  <c r="Q438" s="149"/>
      <c r="R438" s="149"/>
      <c r="S438" s="149"/>
      <c r="T438" s="149"/>
      <c r="U438" s="149"/>
      <c r="V438" s="149"/>
      <c r="W438" s="149"/>
      <c r="X438" s="149"/>
      <c r="Y438" s="149"/>
      <c r="Z438" s="149"/>
      <c r="AA438" s="149"/>
    </row>
    <row r="439" spans="1:27" ht="15.75" customHeight="1" x14ac:dyDescent="0.25">
      <c r="A439" s="149"/>
      <c r="B439" s="149"/>
      <c r="C439" s="149"/>
      <c r="D439" s="149"/>
      <c r="E439" s="149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  <c r="Q439" s="149"/>
      <c r="R439" s="149"/>
      <c r="S439" s="149"/>
      <c r="T439" s="149"/>
      <c r="U439" s="149"/>
      <c r="V439" s="149"/>
      <c r="W439" s="149"/>
      <c r="X439" s="149"/>
      <c r="Y439" s="149"/>
      <c r="Z439" s="149"/>
      <c r="AA439" s="149"/>
    </row>
    <row r="440" spans="1:27" ht="15.75" customHeight="1" x14ac:dyDescent="0.25">
      <c r="A440" s="149"/>
      <c r="B440" s="149"/>
      <c r="C440" s="149"/>
      <c r="D440" s="149"/>
      <c r="E440" s="149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  <c r="Q440" s="149"/>
      <c r="R440" s="149"/>
      <c r="S440" s="149"/>
      <c r="T440" s="149"/>
      <c r="U440" s="149"/>
      <c r="V440" s="149"/>
      <c r="W440" s="149"/>
      <c r="X440" s="149"/>
      <c r="Y440" s="149"/>
      <c r="Z440" s="149"/>
      <c r="AA440" s="149"/>
    </row>
    <row r="441" spans="1:27" ht="15.75" customHeight="1" x14ac:dyDescent="0.25">
      <c r="A441" s="149"/>
      <c r="B441" s="149"/>
      <c r="C441" s="149"/>
      <c r="D441" s="149"/>
      <c r="E441" s="149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  <c r="Q441" s="149"/>
      <c r="R441" s="149"/>
      <c r="S441" s="149"/>
      <c r="T441" s="149"/>
      <c r="U441" s="149"/>
      <c r="V441" s="149"/>
      <c r="W441" s="149"/>
      <c r="X441" s="149"/>
      <c r="Y441" s="149"/>
      <c r="Z441" s="149"/>
      <c r="AA441" s="149"/>
    </row>
    <row r="442" spans="1:27" ht="15.75" customHeight="1" x14ac:dyDescent="0.25">
      <c r="A442" s="149"/>
      <c r="B442" s="149"/>
      <c r="C442" s="149"/>
      <c r="D442" s="149"/>
      <c r="E442" s="149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  <c r="Q442" s="149"/>
      <c r="R442" s="149"/>
      <c r="S442" s="149"/>
      <c r="T442" s="149"/>
      <c r="U442" s="149"/>
      <c r="V442" s="149"/>
      <c r="W442" s="149"/>
      <c r="X442" s="149"/>
      <c r="Y442" s="149"/>
      <c r="Z442" s="149"/>
      <c r="AA442" s="149"/>
    </row>
    <row r="443" spans="1:27" ht="15.75" customHeight="1" x14ac:dyDescent="0.25">
      <c r="A443" s="149"/>
      <c r="B443" s="149"/>
      <c r="C443" s="149"/>
      <c r="D443" s="149"/>
      <c r="E443" s="149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  <c r="Q443" s="149"/>
      <c r="R443" s="149"/>
      <c r="S443" s="149"/>
      <c r="T443" s="149"/>
      <c r="U443" s="149"/>
      <c r="V443" s="149"/>
      <c r="W443" s="149"/>
      <c r="X443" s="149"/>
      <c r="Y443" s="149"/>
      <c r="Z443" s="149"/>
      <c r="AA443" s="149"/>
    </row>
    <row r="444" spans="1:27" ht="15.75" customHeight="1" x14ac:dyDescent="0.25">
      <c r="A444" s="149"/>
      <c r="B444" s="149"/>
      <c r="C444" s="149"/>
      <c r="D444" s="149"/>
      <c r="E444" s="149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  <c r="Q444" s="149"/>
      <c r="R444" s="149"/>
      <c r="S444" s="149"/>
      <c r="T444" s="149"/>
      <c r="U444" s="149"/>
      <c r="V444" s="149"/>
      <c r="W444" s="149"/>
      <c r="X444" s="149"/>
      <c r="Y444" s="149"/>
      <c r="Z444" s="149"/>
      <c r="AA444" s="149"/>
    </row>
    <row r="445" spans="1:27" ht="15.75" customHeight="1" x14ac:dyDescent="0.25">
      <c r="A445" s="149"/>
      <c r="B445" s="149"/>
      <c r="C445" s="149"/>
      <c r="D445" s="149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  <c r="Q445" s="149"/>
      <c r="R445" s="149"/>
      <c r="S445" s="149"/>
      <c r="T445" s="149"/>
      <c r="U445" s="149"/>
      <c r="V445" s="149"/>
      <c r="W445" s="149"/>
      <c r="X445" s="149"/>
      <c r="Y445" s="149"/>
      <c r="Z445" s="149"/>
      <c r="AA445" s="149"/>
    </row>
    <row r="446" spans="1:27" ht="15.75" customHeight="1" x14ac:dyDescent="0.25">
      <c r="A446" s="149"/>
      <c r="B446" s="149"/>
      <c r="C446" s="149"/>
      <c r="D446" s="149"/>
      <c r="E446" s="149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  <c r="Q446" s="149"/>
      <c r="R446" s="149"/>
      <c r="S446" s="149"/>
      <c r="T446" s="149"/>
      <c r="U446" s="149"/>
      <c r="V446" s="149"/>
      <c r="W446" s="149"/>
      <c r="X446" s="149"/>
      <c r="Y446" s="149"/>
      <c r="Z446" s="149"/>
      <c r="AA446" s="149"/>
    </row>
    <row r="447" spans="1:27" ht="15.75" customHeight="1" x14ac:dyDescent="0.25">
      <c r="A447" s="149"/>
      <c r="B447" s="149"/>
      <c r="C447" s="149"/>
      <c r="D447" s="149"/>
      <c r="E447" s="149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  <c r="Q447" s="149"/>
      <c r="R447" s="149"/>
      <c r="S447" s="149"/>
      <c r="T447" s="149"/>
      <c r="U447" s="149"/>
      <c r="V447" s="149"/>
      <c r="W447" s="149"/>
      <c r="X447" s="149"/>
      <c r="Y447" s="149"/>
      <c r="Z447" s="149"/>
      <c r="AA447" s="149"/>
    </row>
    <row r="448" spans="1:27" ht="15.75" customHeight="1" x14ac:dyDescent="0.25">
      <c r="A448" s="149"/>
      <c r="B448" s="149"/>
      <c r="C448" s="149"/>
      <c r="D448" s="149"/>
      <c r="E448" s="149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  <c r="Q448" s="149"/>
      <c r="R448" s="149"/>
      <c r="S448" s="149"/>
      <c r="T448" s="149"/>
      <c r="U448" s="149"/>
      <c r="V448" s="149"/>
      <c r="W448" s="149"/>
      <c r="X448" s="149"/>
      <c r="Y448" s="149"/>
      <c r="Z448" s="149"/>
      <c r="AA448" s="149"/>
    </row>
    <row r="449" spans="1:27" ht="15.75" customHeight="1" x14ac:dyDescent="0.25">
      <c r="A449" s="149"/>
      <c r="B449" s="149"/>
      <c r="C449" s="149"/>
      <c r="D449" s="149"/>
      <c r="E449" s="149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  <c r="Q449" s="149"/>
      <c r="R449" s="149"/>
      <c r="S449" s="149"/>
      <c r="T449" s="149"/>
      <c r="U449" s="149"/>
      <c r="V449" s="149"/>
      <c r="W449" s="149"/>
      <c r="X449" s="149"/>
      <c r="Y449" s="149"/>
      <c r="Z449" s="149"/>
      <c r="AA449" s="149"/>
    </row>
    <row r="450" spans="1:27" ht="15.75" customHeight="1" x14ac:dyDescent="0.25">
      <c r="A450" s="149"/>
      <c r="B450" s="149"/>
      <c r="C450" s="149"/>
      <c r="D450" s="149"/>
      <c r="E450" s="14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  <c r="Q450" s="149"/>
      <c r="R450" s="149"/>
      <c r="S450" s="149"/>
      <c r="T450" s="149"/>
      <c r="U450" s="149"/>
      <c r="V450" s="149"/>
      <c r="W450" s="149"/>
      <c r="X450" s="149"/>
      <c r="Y450" s="149"/>
      <c r="Z450" s="149"/>
      <c r="AA450" s="149"/>
    </row>
    <row r="451" spans="1:27" ht="15.75" customHeight="1" x14ac:dyDescent="0.25">
      <c r="A451" s="149"/>
      <c r="B451" s="149"/>
      <c r="C451" s="149"/>
      <c r="D451" s="149"/>
      <c r="E451" s="149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  <c r="Q451" s="149"/>
      <c r="R451" s="149"/>
      <c r="S451" s="149"/>
      <c r="T451" s="149"/>
      <c r="U451" s="149"/>
      <c r="V451" s="149"/>
      <c r="W451" s="149"/>
      <c r="X451" s="149"/>
      <c r="Y451" s="149"/>
      <c r="Z451" s="149"/>
      <c r="AA451" s="149"/>
    </row>
    <row r="452" spans="1:27" ht="15.75" customHeight="1" x14ac:dyDescent="0.25">
      <c r="A452" s="149"/>
      <c r="B452" s="149"/>
      <c r="C452" s="149"/>
      <c r="D452" s="149"/>
      <c r="E452" s="149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  <c r="Q452" s="149"/>
      <c r="R452" s="149"/>
      <c r="S452" s="149"/>
      <c r="T452" s="149"/>
      <c r="U452" s="149"/>
      <c r="V452" s="149"/>
      <c r="W452" s="149"/>
      <c r="X452" s="149"/>
      <c r="Y452" s="149"/>
      <c r="Z452" s="149"/>
      <c r="AA452" s="149"/>
    </row>
    <row r="453" spans="1:27" ht="15.75" customHeight="1" x14ac:dyDescent="0.25">
      <c r="A453" s="149"/>
      <c r="B453" s="149"/>
      <c r="C453" s="149"/>
      <c r="D453" s="149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  <c r="Q453" s="149"/>
      <c r="R453" s="149"/>
      <c r="S453" s="149"/>
      <c r="T453" s="149"/>
      <c r="U453" s="149"/>
      <c r="V453" s="149"/>
      <c r="W453" s="149"/>
      <c r="X453" s="149"/>
      <c r="Y453" s="149"/>
      <c r="Z453" s="149"/>
      <c r="AA453" s="149"/>
    </row>
    <row r="454" spans="1:27" ht="15.75" customHeight="1" x14ac:dyDescent="0.25">
      <c r="A454" s="149"/>
      <c r="B454" s="149"/>
      <c r="C454" s="149"/>
      <c r="D454" s="149"/>
      <c r="E454" s="149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  <c r="Q454" s="149"/>
      <c r="R454" s="149"/>
      <c r="S454" s="149"/>
      <c r="T454" s="149"/>
      <c r="U454" s="149"/>
      <c r="V454" s="149"/>
      <c r="W454" s="149"/>
      <c r="X454" s="149"/>
      <c r="Y454" s="149"/>
      <c r="Z454" s="149"/>
      <c r="AA454" s="149"/>
    </row>
    <row r="455" spans="1:27" ht="15.75" customHeight="1" x14ac:dyDescent="0.25">
      <c r="A455" s="149"/>
      <c r="B455" s="149"/>
      <c r="C455" s="149"/>
      <c r="D455" s="149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  <c r="Q455" s="149"/>
      <c r="R455" s="149"/>
      <c r="S455" s="149"/>
      <c r="T455" s="149"/>
      <c r="U455" s="149"/>
      <c r="V455" s="149"/>
      <c r="W455" s="149"/>
      <c r="X455" s="149"/>
      <c r="Y455" s="149"/>
      <c r="Z455" s="149"/>
      <c r="AA455" s="149"/>
    </row>
    <row r="456" spans="1:27" ht="15.75" customHeight="1" x14ac:dyDescent="0.25">
      <c r="A456" s="149"/>
      <c r="B456" s="149"/>
      <c r="C456" s="149"/>
      <c r="D456" s="149"/>
      <c r="E456" s="149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  <c r="Q456" s="149"/>
      <c r="R456" s="149"/>
      <c r="S456" s="149"/>
      <c r="T456" s="149"/>
      <c r="U456" s="149"/>
      <c r="V456" s="149"/>
      <c r="W456" s="149"/>
      <c r="X456" s="149"/>
      <c r="Y456" s="149"/>
      <c r="Z456" s="149"/>
      <c r="AA456" s="149"/>
    </row>
    <row r="457" spans="1:27" ht="15.75" customHeight="1" x14ac:dyDescent="0.25">
      <c r="A457" s="149"/>
      <c r="B457" s="149"/>
      <c r="C457" s="149"/>
      <c r="D457" s="149"/>
      <c r="E457" s="149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  <c r="Q457" s="149"/>
      <c r="R457" s="149"/>
      <c r="S457" s="149"/>
      <c r="T457" s="149"/>
      <c r="U457" s="149"/>
      <c r="V457" s="149"/>
      <c r="W457" s="149"/>
      <c r="X457" s="149"/>
      <c r="Y457" s="149"/>
      <c r="Z457" s="149"/>
      <c r="AA457" s="149"/>
    </row>
    <row r="458" spans="1:27" ht="15.75" customHeight="1" x14ac:dyDescent="0.25">
      <c r="A458" s="149"/>
      <c r="B458" s="149"/>
      <c r="C458" s="149"/>
      <c r="D458" s="149"/>
      <c r="E458" s="149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  <c r="Q458" s="149"/>
      <c r="R458" s="149"/>
      <c r="S458" s="149"/>
      <c r="T458" s="149"/>
      <c r="U458" s="149"/>
      <c r="V458" s="149"/>
      <c r="W458" s="149"/>
      <c r="X458" s="149"/>
      <c r="Y458" s="149"/>
      <c r="Z458" s="149"/>
      <c r="AA458" s="149"/>
    </row>
    <row r="459" spans="1:27" ht="15.75" customHeight="1" x14ac:dyDescent="0.25">
      <c r="A459" s="149"/>
      <c r="B459" s="149"/>
      <c r="C459" s="149"/>
      <c r="D459" s="149"/>
      <c r="E459" s="149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  <c r="Q459" s="149"/>
      <c r="R459" s="149"/>
      <c r="S459" s="149"/>
      <c r="T459" s="149"/>
      <c r="U459" s="149"/>
      <c r="V459" s="149"/>
      <c r="W459" s="149"/>
      <c r="X459" s="149"/>
      <c r="Y459" s="149"/>
      <c r="Z459" s="149"/>
      <c r="AA459" s="149"/>
    </row>
    <row r="460" spans="1:27" ht="15.75" customHeight="1" x14ac:dyDescent="0.25">
      <c r="A460" s="149"/>
      <c r="B460" s="149"/>
      <c r="C460" s="149"/>
      <c r="D460" s="149"/>
      <c r="E460" s="149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  <c r="Q460" s="149"/>
      <c r="R460" s="149"/>
      <c r="S460" s="149"/>
      <c r="T460" s="149"/>
      <c r="U460" s="149"/>
      <c r="V460" s="149"/>
      <c r="W460" s="149"/>
      <c r="X460" s="149"/>
      <c r="Y460" s="149"/>
      <c r="Z460" s="149"/>
      <c r="AA460" s="149"/>
    </row>
    <row r="461" spans="1:27" ht="15.75" customHeight="1" x14ac:dyDescent="0.25">
      <c r="A461" s="149"/>
      <c r="B461" s="149"/>
      <c r="C461" s="149"/>
      <c r="D461" s="149"/>
      <c r="E461" s="149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  <c r="Q461" s="149"/>
      <c r="R461" s="149"/>
      <c r="S461" s="149"/>
      <c r="T461" s="149"/>
      <c r="U461" s="149"/>
      <c r="V461" s="149"/>
      <c r="W461" s="149"/>
      <c r="X461" s="149"/>
      <c r="Y461" s="149"/>
      <c r="Z461" s="149"/>
      <c r="AA461" s="149"/>
    </row>
    <row r="462" spans="1:27" ht="15.75" customHeight="1" x14ac:dyDescent="0.25">
      <c r="A462" s="149"/>
      <c r="B462" s="149"/>
      <c r="C462" s="149"/>
      <c r="D462" s="149"/>
      <c r="E462" s="149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  <c r="Q462" s="149"/>
      <c r="R462" s="149"/>
      <c r="S462" s="149"/>
      <c r="T462" s="149"/>
      <c r="U462" s="149"/>
      <c r="V462" s="149"/>
      <c r="W462" s="149"/>
      <c r="X462" s="149"/>
      <c r="Y462" s="149"/>
      <c r="Z462" s="149"/>
      <c r="AA462" s="149"/>
    </row>
    <row r="463" spans="1:27" ht="15.75" customHeight="1" x14ac:dyDescent="0.25">
      <c r="A463" s="149"/>
      <c r="B463" s="149"/>
      <c r="C463" s="149"/>
      <c r="D463" s="149"/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  <c r="Q463" s="149"/>
      <c r="R463" s="149"/>
      <c r="S463" s="149"/>
      <c r="T463" s="149"/>
      <c r="U463" s="149"/>
      <c r="V463" s="149"/>
      <c r="W463" s="149"/>
      <c r="X463" s="149"/>
      <c r="Y463" s="149"/>
      <c r="Z463" s="149"/>
      <c r="AA463" s="149"/>
    </row>
    <row r="464" spans="1:27" ht="15.75" customHeight="1" x14ac:dyDescent="0.25">
      <c r="A464" s="149"/>
      <c r="B464" s="149"/>
      <c r="C464" s="149"/>
      <c r="D464" s="149"/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  <c r="Q464" s="149"/>
      <c r="R464" s="149"/>
      <c r="S464" s="149"/>
      <c r="T464" s="149"/>
      <c r="U464" s="149"/>
      <c r="V464" s="149"/>
      <c r="W464" s="149"/>
      <c r="X464" s="149"/>
      <c r="Y464" s="149"/>
      <c r="Z464" s="149"/>
      <c r="AA464" s="149"/>
    </row>
    <row r="465" spans="1:27" ht="15.75" customHeight="1" x14ac:dyDescent="0.25">
      <c r="A465" s="149"/>
      <c r="B465" s="149"/>
      <c r="C465" s="149"/>
      <c r="D465" s="149"/>
      <c r="E465" s="149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  <c r="Q465" s="149"/>
      <c r="R465" s="149"/>
      <c r="S465" s="149"/>
      <c r="T465" s="149"/>
      <c r="U465" s="149"/>
      <c r="V465" s="149"/>
      <c r="W465" s="149"/>
      <c r="X465" s="149"/>
      <c r="Y465" s="149"/>
      <c r="Z465" s="149"/>
      <c r="AA465" s="149"/>
    </row>
    <row r="466" spans="1:27" ht="15.75" customHeight="1" x14ac:dyDescent="0.25">
      <c r="A466" s="149"/>
      <c r="B466" s="149"/>
      <c r="C466" s="149"/>
      <c r="D466" s="149"/>
      <c r="E466" s="149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  <c r="Q466" s="149"/>
      <c r="R466" s="149"/>
      <c r="S466" s="149"/>
      <c r="T466" s="149"/>
      <c r="U466" s="149"/>
      <c r="V466" s="149"/>
      <c r="W466" s="149"/>
      <c r="X466" s="149"/>
      <c r="Y466" s="149"/>
      <c r="Z466" s="149"/>
      <c r="AA466" s="149"/>
    </row>
    <row r="467" spans="1:27" ht="15.75" customHeight="1" x14ac:dyDescent="0.25">
      <c r="A467" s="149"/>
      <c r="B467" s="149"/>
      <c r="C467" s="149"/>
      <c r="D467" s="149"/>
      <c r="E467" s="14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  <c r="Q467" s="149"/>
      <c r="R467" s="149"/>
      <c r="S467" s="149"/>
      <c r="T467" s="149"/>
      <c r="U467" s="149"/>
      <c r="V467" s="149"/>
      <c r="W467" s="149"/>
      <c r="X467" s="149"/>
      <c r="Y467" s="149"/>
      <c r="Z467" s="149"/>
      <c r="AA467" s="149"/>
    </row>
    <row r="468" spans="1:27" ht="15.75" customHeight="1" x14ac:dyDescent="0.25">
      <c r="A468" s="149"/>
      <c r="B468" s="149"/>
      <c r="C468" s="149"/>
      <c r="D468" s="149"/>
      <c r="E468" s="149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  <c r="Q468" s="149"/>
      <c r="R468" s="149"/>
      <c r="S468" s="149"/>
      <c r="T468" s="149"/>
      <c r="U468" s="149"/>
      <c r="V468" s="149"/>
      <c r="W468" s="149"/>
      <c r="X468" s="149"/>
      <c r="Y468" s="149"/>
      <c r="Z468" s="149"/>
      <c r="AA468" s="149"/>
    </row>
    <row r="469" spans="1:27" ht="15.75" customHeight="1" x14ac:dyDescent="0.25">
      <c r="A469" s="149"/>
      <c r="B469" s="149"/>
      <c r="C469" s="149"/>
      <c r="D469" s="149"/>
      <c r="E469" s="149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  <c r="Q469" s="149"/>
      <c r="R469" s="149"/>
      <c r="S469" s="149"/>
      <c r="T469" s="149"/>
      <c r="U469" s="149"/>
      <c r="V469" s="149"/>
      <c r="W469" s="149"/>
      <c r="X469" s="149"/>
      <c r="Y469" s="149"/>
      <c r="Z469" s="149"/>
      <c r="AA469" s="149"/>
    </row>
    <row r="470" spans="1:27" ht="15.75" customHeight="1" x14ac:dyDescent="0.25">
      <c r="A470" s="149"/>
      <c r="B470" s="149"/>
      <c r="C470" s="149"/>
      <c r="D470" s="149"/>
      <c r="E470" s="149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  <c r="Q470" s="149"/>
      <c r="R470" s="149"/>
      <c r="S470" s="149"/>
      <c r="T470" s="149"/>
      <c r="U470" s="149"/>
      <c r="V470" s="149"/>
      <c r="W470" s="149"/>
      <c r="X470" s="149"/>
      <c r="Y470" s="149"/>
      <c r="Z470" s="149"/>
      <c r="AA470" s="149"/>
    </row>
    <row r="471" spans="1:27" ht="15.75" customHeight="1" x14ac:dyDescent="0.25">
      <c r="A471" s="149"/>
      <c r="B471" s="149"/>
      <c r="C471" s="149"/>
      <c r="D471" s="149"/>
      <c r="E471" s="149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  <c r="Q471" s="149"/>
      <c r="R471" s="149"/>
      <c r="S471" s="149"/>
      <c r="T471" s="149"/>
      <c r="U471" s="149"/>
      <c r="V471" s="149"/>
      <c r="W471" s="149"/>
      <c r="X471" s="149"/>
      <c r="Y471" s="149"/>
      <c r="Z471" s="149"/>
      <c r="AA471" s="149"/>
    </row>
    <row r="472" spans="1:27" ht="15.75" customHeight="1" x14ac:dyDescent="0.25">
      <c r="A472" s="149"/>
      <c r="B472" s="149"/>
      <c r="C472" s="149"/>
      <c r="D472" s="149"/>
      <c r="E472" s="149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  <c r="Q472" s="149"/>
      <c r="R472" s="149"/>
      <c r="S472" s="149"/>
      <c r="T472" s="149"/>
      <c r="U472" s="149"/>
      <c r="V472" s="149"/>
      <c r="W472" s="149"/>
      <c r="X472" s="149"/>
      <c r="Y472" s="149"/>
      <c r="Z472" s="149"/>
      <c r="AA472" s="149"/>
    </row>
    <row r="473" spans="1:27" ht="15.75" customHeight="1" x14ac:dyDescent="0.25">
      <c r="A473" s="149"/>
      <c r="B473" s="149"/>
      <c r="C473" s="149"/>
      <c r="D473" s="149"/>
      <c r="E473" s="149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  <c r="Q473" s="149"/>
      <c r="R473" s="149"/>
      <c r="S473" s="149"/>
      <c r="T473" s="149"/>
      <c r="U473" s="149"/>
      <c r="V473" s="149"/>
      <c r="W473" s="149"/>
      <c r="X473" s="149"/>
      <c r="Y473" s="149"/>
      <c r="Z473" s="149"/>
      <c r="AA473" s="149"/>
    </row>
    <row r="474" spans="1:27" ht="15.75" customHeight="1" x14ac:dyDescent="0.25">
      <c r="A474" s="149"/>
      <c r="B474" s="149"/>
      <c r="C474" s="149"/>
      <c r="D474" s="149"/>
      <c r="E474" s="149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  <c r="Q474" s="149"/>
      <c r="R474" s="149"/>
      <c r="S474" s="149"/>
      <c r="T474" s="149"/>
      <c r="U474" s="149"/>
      <c r="V474" s="149"/>
      <c r="W474" s="149"/>
      <c r="X474" s="149"/>
      <c r="Y474" s="149"/>
      <c r="Z474" s="149"/>
      <c r="AA474" s="149"/>
    </row>
    <row r="475" spans="1:27" ht="15.75" customHeight="1" x14ac:dyDescent="0.25">
      <c r="A475" s="149"/>
      <c r="B475" s="149"/>
      <c r="C475" s="149"/>
      <c r="D475" s="149"/>
      <c r="E475" s="149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  <c r="Q475" s="149"/>
      <c r="R475" s="149"/>
      <c r="S475" s="149"/>
      <c r="T475" s="149"/>
      <c r="U475" s="149"/>
      <c r="V475" s="149"/>
      <c r="W475" s="149"/>
      <c r="X475" s="149"/>
      <c r="Y475" s="149"/>
      <c r="Z475" s="149"/>
      <c r="AA475" s="149"/>
    </row>
    <row r="476" spans="1:27" ht="15.75" customHeight="1" x14ac:dyDescent="0.25">
      <c r="A476" s="149"/>
      <c r="B476" s="149"/>
      <c r="C476" s="149"/>
      <c r="D476" s="149"/>
      <c r="E476" s="149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  <c r="Q476" s="149"/>
      <c r="R476" s="149"/>
      <c r="S476" s="149"/>
      <c r="T476" s="149"/>
      <c r="U476" s="149"/>
      <c r="V476" s="149"/>
      <c r="W476" s="149"/>
      <c r="X476" s="149"/>
      <c r="Y476" s="149"/>
      <c r="Z476" s="149"/>
      <c r="AA476" s="149"/>
    </row>
    <row r="477" spans="1:27" ht="15.75" customHeight="1" x14ac:dyDescent="0.25">
      <c r="A477" s="149"/>
      <c r="B477" s="149"/>
      <c r="C477" s="149"/>
      <c r="D477" s="149"/>
      <c r="E477" s="149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  <c r="Q477" s="149"/>
      <c r="R477" s="149"/>
      <c r="S477" s="149"/>
      <c r="T477" s="149"/>
      <c r="U477" s="149"/>
      <c r="V477" s="149"/>
      <c r="W477" s="149"/>
      <c r="X477" s="149"/>
      <c r="Y477" s="149"/>
      <c r="Z477" s="149"/>
      <c r="AA477" s="149"/>
    </row>
    <row r="478" spans="1:27" ht="15.75" customHeight="1" x14ac:dyDescent="0.25">
      <c r="A478" s="149"/>
      <c r="B478" s="149"/>
      <c r="C478" s="149"/>
      <c r="D478" s="149"/>
      <c r="E478" s="149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  <c r="Q478" s="149"/>
      <c r="R478" s="149"/>
      <c r="S478" s="149"/>
      <c r="T478" s="149"/>
      <c r="U478" s="149"/>
      <c r="V478" s="149"/>
      <c r="W478" s="149"/>
      <c r="X478" s="149"/>
      <c r="Y478" s="149"/>
      <c r="Z478" s="149"/>
      <c r="AA478" s="149"/>
    </row>
    <row r="479" spans="1:27" ht="15.75" customHeight="1" x14ac:dyDescent="0.25">
      <c r="A479" s="149"/>
      <c r="B479" s="149"/>
      <c r="C479" s="149"/>
      <c r="D479" s="149"/>
      <c r="E479" s="149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  <c r="Q479" s="149"/>
      <c r="R479" s="149"/>
      <c r="S479" s="149"/>
      <c r="T479" s="149"/>
      <c r="U479" s="149"/>
      <c r="V479" s="149"/>
      <c r="W479" s="149"/>
      <c r="X479" s="149"/>
      <c r="Y479" s="149"/>
      <c r="Z479" s="149"/>
      <c r="AA479" s="149"/>
    </row>
    <row r="480" spans="1:27" ht="15.75" customHeight="1" x14ac:dyDescent="0.25">
      <c r="A480" s="149"/>
      <c r="B480" s="149"/>
      <c r="C480" s="149"/>
      <c r="D480" s="149"/>
      <c r="E480" s="14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  <c r="Q480" s="149"/>
      <c r="R480" s="149"/>
      <c r="S480" s="149"/>
      <c r="T480" s="149"/>
      <c r="U480" s="149"/>
      <c r="V480" s="149"/>
      <c r="W480" s="149"/>
      <c r="X480" s="149"/>
      <c r="Y480" s="149"/>
      <c r="Z480" s="149"/>
      <c r="AA480" s="149"/>
    </row>
    <row r="481" spans="1:27" ht="15.75" customHeight="1" x14ac:dyDescent="0.25">
      <c r="A481" s="149"/>
      <c r="B481" s="149"/>
      <c r="C481" s="149"/>
      <c r="D481" s="149"/>
      <c r="E481" s="14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  <c r="Q481" s="149"/>
      <c r="R481" s="149"/>
      <c r="S481" s="149"/>
      <c r="T481" s="149"/>
      <c r="U481" s="149"/>
      <c r="V481" s="149"/>
      <c r="W481" s="149"/>
      <c r="X481" s="149"/>
      <c r="Y481" s="149"/>
      <c r="Z481" s="149"/>
      <c r="AA481" s="149"/>
    </row>
    <row r="482" spans="1:27" ht="15.75" customHeight="1" x14ac:dyDescent="0.25">
      <c r="A482" s="149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  <c r="Q482" s="149"/>
      <c r="R482" s="149"/>
      <c r="S482" s="149"/>
      <c r="T482" s="149"/>
      <c r="U482" s="149"/>
      <c r="V482" s="149"/>
      <c r="W482" s="149"/>
      <c r="X482" s="149"/>
      <c r="Y482" s="149"/>
      <c r="Z482" s="149"/>
      <c r="AA482" s="149"/>
    </row>
    <row r="483" spans="1:27" ht="15.75" customHeight="1" x14ac:dyDescent="0.25">
      <c r="A483" s="149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  <c r="Q483" s="149"/>
      <c r="R483" s="149"/>
      <c r="S483" s="149"/>
      <c r="T483" s="149"/>
      <c r="U483" s="149"/>
      <c r="V483" s="149"/>
      <c r="W483" s="149"/>
      <c r="X483" s="149"/>
      <c r="Y483" s="149"/>
      <c r="Z483" s="149"/>
      <c r="AA483" s="149"/>
    </row>
    <row r="484" spans="1:27" ht="15.75" customHeight="1" x14ac:dyDescent="0.25">
      <c r="A484" s="149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  <c r="Q484" s="149"/>
      <c r="R484" s="149"/>
      <c r="S484" s="149"/>
      <c r="T484" s="149"/>
      <c r="U484" s="149"/>
      <c r="V484" s="149"/>
      <c r="W484" s="149"/>
      <c r="X484" s="149"/>
      <c r="Y484" s="149"/>
      <c r="Z484" s="149"/>
      <c r="AA484" s="149"/>
    </row>
    <row r="485" spans="1:27" ht="15.75" customHeight="1" x14ac:dyDescent="0.25">
      <c r="A485" s="149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  <c r="Q485" s="149"/>
      <c r="R485" s="149"/>
      <c r="S485" s="149"/>
      <c r="T485" s="149"/>
      <c r="U485" s="149"/>
      <c r="V485" s="149"/>
      <c r="W485" s="149"/>
      <c r="X485" s="149"/>
      <c r="Y485" s="149"/>
      <c r="Z485" s="149"/>
      <c r="AA485" s="149"/>
    </row>
    <row r="486" spans="1:27" ht="15.75" customHeight="1" x14ac:dyDescent="0.25">
      <c r="A486" s="149"/>
      <c r="B486" s="149"/>
      <c r="C486" s="149"/>
      <c r="D486" s="149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  <c r="Q486" s="149"/>
      <c r="R486" s="149"/>
      <c r="S486" s="149"/>
      <c r="T486" s="149"/>
      <c r="U486" s="149"/>
      <c r="V486" s="149"/>
      <c r="W486" s="149"/>
      <c r="X486" s="149"/>
      <c r="Y486" s="149"/>
      <c r="Z486" s="149"/>
      <c r="AA486" s="149"/>
    </row>
    <row r="487" spans="1:27" ht="15.75" customHeight="1" x14ac:dyDescent="0.25">
      <c r="A487" s="149"/>
      <c r="B487" s="149"/>
      <c r="C487" s="149"/>
      <c r="D487" s="149"/>
      <c r="E487" s="149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  <c r="Q487" s="149"/>
      <c r="R487" s="149"/>
      <c r="S487" s="149"/>
      <c r="T487" s="149"/>
      <c r="U487" s="149"/>
      <c r="V487" s="149"/>
      <c r="W487" s="149"/>
      <c r="X487" s="149"/>
      <c r="Y487" s="149"/>
      <c r="Z487" s="149"/>
      <c r="AA487" s="149"/>
    </row>
    <row r="488" spans="1:27" ht="15.75" customHeight="1" x14ac:dyDescent="0.25">
      <c r="A488" s="149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  <c r="Q488" s="149"/>
      <c r="R488" s="149"/>
      <c r="S488" s="149"/>
      <c r="T488" s="149"/>
      <c r="U488" s="149"/>
      <c r="V488" s="149"/>
      <c r="W488" s="149"/>
      <c r="X488" s="149"/>
      <c r="Y488" s="149"/>
      <c r="Z488" s="149"/>
      <c r="AA488" s="149"/>
    </row>
    <row r="489" spans="1:27" ht="15.75" customHeight="1" x14ac:dyDescent="0.25">
      <c r="A489" s="149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  <c r="Q489" s="149"/>
      <c r="R489" s="149"/>
      <c r="S489" s="149"/>
      <c r="T489" s="149"/>
      <c r="U489" s="149"/>
      <c r="V489" s="149"/>
      <c r="W489" s="149"/>
      <c r="X489" s="149"/>
      <c r="Y489" s="149"/>
      <c r="Z489" s="149"/>
      <c r="AA489" s="149"/>
    </row>
    <row r="490" spans="1:27" ht="15.75" customHeight="1" x14ac:dyDescent="0.25">
      <c r="A490" s="149"/>
      <c r="B490" s="149"/>
      <c r="C490" s="149"/>
      <c r="D490" s="149"/>
      <c r="E490" s="149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  <c r="Q490" s="149"/>
      <c r="R490" s="149"/>
      <c r="S490" s="149"/>
      <c r="T490" s="149"/>
      <c r="U490" s="149"/>
      <c r="V490" s="149"/>
      <c r="W490" s="149"/>
      <c r="X490" s="149"/>
      <c r="Y490" s="149"/>
      <c r="Z490" s="149"/>
      <c r="AA490" s="149"/>
    </row>
    <row r="491" spans="1:27" ht="15.75" customHeight="1" x14ac:dyDescent="0.25">
      <c r="A491" s="149"/>
      <c r="B491" s="149"/>
      <c r="C491" s="149"/>
      <c r="D491" s="149"/>
      <c r="E491" s="149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  <c r="Q491" s="149"/>
      <c r="R491" s="149"/>
      <c r="S491" s="149"/>
      <c r="T491" s="149"/>
      <c r="U491" s="149"/>
      <c r="V491" s="149"/>
      <c r="W491" s="149"/>
      <c r="X491" s="149"/>
      <c r="Y491" s="149"/>
      <c r="Z491" s="149"/>
      <c r="AA491" s="149"/>
    </row>
    <row r="492" spans="1:27" ht="15.75" customHeight="1" x14ac:dyDescent="0.25">
      <c r="A492" s="149"/>
      <c r="B492" s="149"/>
      <c r="C492" s="149"/>
      <c r="D492" s="149"/>
      <c r="E492" s="149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  <c r="Q492" s="149"/>
      <c r="R492" s="149"/>
      <c r="S492" s="149"/>
      <c r="T492" s="149"/>
      <c r="U492" s="149"/>
      <c r="V492" s="149"/>
      <c r="W492" s="149"/>
      <c r="X492" s="149"/>
      <c r="Y492" s="149"/>
      <c r="Z492" s="149"/>
      <c r="AA492" s="149"/>
    </row>
    <row r="493" spans="1:27" ht="15.75" customHeight="1" x14ac:dyDescent="0.25">
      <c r="A493" s="149"/>
      <c r="B493" s="149"/>
      <c r="C493" s="149"/>
      <c r="D493" s="149"/>
      <c r="E493" s="149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  <c r="Q493" s="149"/>
      <c r="R493" s="149"/>
      <c r="S493" s="149"/>
      <c r="T493" s="149"/>
      <c r="U493" s="149"/>
      <c r="V493" s="149"/>
      <c r="W493" s="149"/>
      <c r="X493" s="149"/>
      <c r="Y493" s="149"/>
      <c r="Z493" s="149"/>
      <c r="AA493" s="149"/>
    </row>
    <row r="494" spans="1:27" ht="15.75" customHeight="1" x14ac:dyDescent="0.25">
      <c r="A494" s="149"/>
      <c r="B494" s="149"/>
      <c r="C494" s="149"/>
      <c r="D494" s="149"/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  <c r="Q494" s="149"/>
      <c r="R494" s="149"/>
      <c r="S494" s="149"/>
      <c r="T494" s="149"/>
      <c r="U494" s="149"/>
      <c r="V494" s="149"/>
      <c r="W494" s="149"/>
      <c r="X494" s="149"/>
      <c r="Y494" s="149"/>
      <c r="Z494" s="149"/>
      <c r="AA494" s="149"/>
    </row>
    <row r="495" spans="1:27" ht="15.75" customHeight="1" x14ac:dyDescent="0.25">
      <c r="A495" s="149"/>
      <c r="B495" s="149"/>
      <c r="C495" s="149"/>
      <c r="D495" s="149"/>
      <c r="E495" s="149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  <c r="Q495" s="149"/>
      <c r="R495" s="149"/>
      <c r="S495" s="149"/>
      <c r="T495" s="149"/>
      <c r="U495" s="149"/>
      <c r="V495" s="149"/>
      <c r="W495" s="149"/>
      <c r="X495" s="149"/>
      <c r="Y495" s="149"/>
      <c r="Z495" s="149"/>
      <c r="AA495" s="149"/>
    </row>
    <row r="496" spans="1:27" ht="15.75" customHeight="1" x14ac:dyDescent="0.25">
      <c r="A496" s="149"/>
      <c r="B496" s="149"/>
      <c r="C496" s="149"/>
      <c r="D496" s="149"/>
      <c r="E496" s="149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  <c r="Q496" s="149"/>
      <c r="R496" s="149"/>
      <c r="S496" s="149"/>
      <c r="T496" s="149"/>
      <c r="U496" s="149"/>
      <c r="V496" s="149"/>
      <c r="W496" s="149"/>
      <c r="X496" s="149"/>
      <c r="Y496" s="149"/>
      <c r="Z496" s="149"/>
      <c r="AA496" s="149"/>
    </row>
    <row r="497" spans="1:27" ht="15.75" customHeight="1" x14ac:dyDescent="0.25">
      <c r="A497" s="149"/>
      <c r="B497" s="149"/>
      <c r="C497" s="149"/>
      <c r="D497" s="149"/>
      <c r="E497" s="149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  <c r="Q497" s="149"/>
      <c r="R497" s="149"/>
      <c r="S497" s="149"/>
      <c r="T497" s="149"/>
      <c r="U497" s="149"/>
      <c r="V497" s="149"/>
      <c r="W497" s="149"/>
      <c r="X497" s="149"/>
      <c r="Y497" s="149"/>
      <c r="Z497" s="149"/>
      <c r="AA497" s="149"/>
    </row>
    <row r="498" spans="1:27" ht="15.75" customHeight="1" x14ac:dyDescent="0.25">
      <c r="A498" s="149"/>
      <c r="B498" s="149"/>
      <c r="C498" s="149"/>
      <c r="D498" s="149"/>
      <c r="E498" s="149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  <c r="Q498" s="149"/>
      <c r="R498" s="149"/>
      <c r="S498" s="149"/>
      <c r="T498" s="149"/>
      <c r="U498" s="149"/>
      <c r="V498" s="149"/>
      <c r="W498" s="149"/>
      <c r="X498" s="149"/>
      <c r="Y498" s="149"/>
      <c r="Z498" s="149"/>
      <c r="AA498" s="149"/>
    </row>
    <row r="499" spans="1:27" ht="15.75" customHeight="1" x14ac:dyDescent="0.25">
      <c r="A499" s="149"/>
      <c r="B499" s="149"/>
      <c r="C499" s="149"/>
      <c r="D499" s="149"/>
      <c r="E499" s="149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  <c r="Q499" s="149"/>
      <c r="R499" s="149"/>
      <c r="S499" s="149"/>
      <c r="T499" s="149"/>
      <c r="U499" s="149"/>
      <c r="V499" s="149"/>
      <c r="W499" s="149"/>
      <c r="X499" s="149"/>
      <c r="Y499" s="149"/>
      <c r="Z499" s="149"/>
      <c r="AA499" s="149"/>
    </row>
    <row r="500" spans="1:27" ht="15.75" customHeight="1" x14ac:dyDescent="0.25">
      <c r="A500" s="149"/>
      <c r="B500" s="149"/>
      <c r="C500" s="149"/>
      <c r="D500" s="149"/>
      <c r="E500" s="149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  <c r="Q500" s="149"/>
      <c r="R500" s="149"/>
      <c r="S500" s="149"/>
      <c r="T500" s="149"/>
      <c r="U500" s="149"/>
      <c r="V500" s="149"/>
      <c r="W500" s="149"/>
      <c r="X500" s="149"/>
      <c r="Y500" s="149"/>
      <c r="Z500" s="149"/>
      <c r="AA500" s="149"/>
    </row>
    <row r="501" spans="1:27" ht="15.75" customHeight="1" x14ac:dyDescent="0.25">
      <c r="A501" s="149"/>
      <c r="B501" s="149"/>
      <c r="C501" s="149"/>
      <c r="D501" s="149"/>
      <c r="E501" s="149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  <c r="Q501" s="149"/>
      <c r="R501" s="149"/>
      <c r="S501" s="149"/>
      <c r="T501" s="149"/>
      <c r="U501" s="149"/>
      <c r="V501" s="149"/>
      <c r="W501" s="149"/>
      <c r="X501" s="149"/>
      <c r="Y501" s="149"/>
      <c r="Z501" s="149"/>
      <c r="AA501" s="149"/>
    </row>
    <row r="502" spans="1:27" ht="15.75" customHeight="1" x14ac:dyDescent="0.25">
      <c r="A502" s="149"/>
      <c r="B502" s="149"/>
      <c r="C502" s="149"/>
      <c r="D502" s="149"/>
      <c r="E502" s="149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  <c r="Q502" s="149"/>
      <c r="R502" s="149"/>
      <c r="S502" s="149"/>
      <c r="T502" s="149"/>
      <c r="U502" s="149"/>
      <c r="V502" s="149"/>
      <c r="W502" s="149"/>
      <c r="X502" s="149"/>
      <c r="Y502" s="149"/>
      <c r="Z502" s="149"/>
      <c r="AA502" s="149"/>
    </row>
    <row r="503" spans="1:27" ht="15.75" customHeight="1" x14ac:dyDescent="0.25">
      <c r="A503" s="149"/>
      <c r="B503" s="149"/>
      <c r="C503" s="149"/>
      <c r="D503" s="149"/>
      <c r="E503" s="149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  <c r="Q503" s="149"/>
      <c r="R503" s="149"/>
      <c r="S503" s="149"/>
      <c r="T503" s="149"/>
      <c r="U503" s="149"/>
      <c r="V503" s="149"/>
      <c r="W503" s="149"/>
      <c r="X503" s="149"/>
      <c r="Y503" s="149"/>
      <c r="Z503" s="149"/>
      <c r="AA503" s="149"/>
    </row>
    <row r="504" spans="1:27" ht="15.75" customHeight="1" x14ac:dyDescent="0.25">
      <c r="A504" s="149"/>
      <c r="B504" s="149"/>
      <c r="C504" s="149"/>
      <c r="D504" s="149"/>
      <c r="E504" s="149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  <c r="Q504" s="149"/>
      <c r="R504" s="149"/>
      <c r="S504" s="149"/>
      <c r="T504" s="149"/>
      <c r="U504" s="149"/>
      <c r="V504" s="149"/>
      <c r="W504" s="149"/>
      <c r="X504" s="149"/>
      <c r="Y504" s="149"/>
      <c r="Z504" s="149"/>
      <c r="AA504" s="149"/>
    </row>
    <row r="505" spans="1:27" ht="15.75" customHeight="1" x14ac:dyDescent="0.25">
      <c r="A505" s="149"/>
      <c r="B505" s="149"/>
      <c r="C505" s="149"/>
      <c r="D505" s="149"/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  <c r="Q505" s="149"/>
      <c r="R505" s="149"/>
      <c r="S505" s="149"/>
      <c r="T505" s="149"/>
      <c r="U505" s="149"/>
      <c r="V505" s="149"/>
      <c r="W505" s="149"/>
      <c r="X505" s="149"/>
      <c r="Y505" s="149"/>
      <c r="Z505" s="149"/>
      <c r="AA505" s="149"/>
    </row>
    <row r="506" spans="1:27" ht="15.75" customHeight="1" x14ac:dyDescent="0.25">
      <c r="A506" s="149"/>
      <c r="B506" s="149"/>
      <c r="C506" s="149"/>
      <c r="D506" s="149"/>
      <c r="E506" s="149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  <c r="Q506" s="149"/>
      <c r="R506" s="149"/>
      <c r="S506" s="149"/>
      <c r="T506" s="149"/>
      <c r="U506" s="149"/>
      <c r="V506" s="149"/>
      <c r="W506" s="149"/>
      <c r="X506" s="149"/>
      <c r="Y506" s="149"/>
      <c r="Z506" s="149"/>
      <c r="AA506" s="149"/>
    </row>
    <row r="507" spans="1:27" ht="15.75" customHeight="1" x14ac:dyDescent="0.25">
      <c r="A507" s="149"/>
      <c r="B507" s="149"/>
      <c r="C507" s="149"/>
      <c r="D507" s="149"/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  <c r="Q507" s="149"/>
      <c r="R507" s="149"/>
      <c r="S507" s="149"/>
      <c r="T507" s="149"/>
      <c r="U507" s="149"/>
      <c r="V507" s="149"/>
      <c r="W507" s="149"/>
      <c r="X507" s="149"/>
      <c r="Y507" s="149"/>
      <c r="Z507" s="149"/>
      <c r="AA507" s="149"/>
    </row>
    <row r="508" spans="1:27" ht="15.75" customHeight="1" x14ac:dyDescent="0.25">
      <c r="A508" s="149"/>
      <c r="B508" s="149"/>
      <c r="C508" s="149"/>
      <c r="D508" s="149"/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  <c r="Q508" s="149"/>
      <c r="R508" s="149"/>
      <c r="S508" s="149"/>
      <c r="T508" s="149"/>
      <c r="U508" s="149"/>
      <c r="V508" s="149"/>
      <c r="W508" s="149"/>
      <c r="X508" s="149"/>
      <c r="Y508" s="149"/>
      <c r="Z508" s="149"/>
      <c r="AA508" s="149"/>
    </row>
    <row r="509" spans="1:27" ht="15.75" customHeight="1" x14ac:dyDescent="0.25">
      <c r="A509" s="149"/>
      <c r="B509" s="149"/>
      <c r="C509" s="149"/>
      <c r="D509" s="149"/>
      <c r="E509" s="149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  <c r="Q509" s="149"/>
      <c r="R509" s="149"/>
      <c r="S509" s="149"/>
      <c r="T509" s="149"/>
      <c r="U509" s="149"/>
      <c r="V509" s="149"/>
      <c r="W509" s="149"/>
      <c r="X509" s="149"/>
      <c r="Y509" s="149"/>
      <c r="Z509" s="149"/>
      <c r="AA509" s="149"/>
    </row>
    <row r="510" spans="1:27" ht="15.75" customHeight="1" x14ac:dyDescent="0.25">
      <c r="A510" s="149"/>
      <c r="B510" s="149"/>
      <c r="C510" s="149"/>
      <c r="D510" s="149"/>
      <c r="E510" s="149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  <c r="Q510" s="149"/>
      <c r="R510" s="149"/>
      <c r="S510" s="149"/>
      <c r="T510" s="149"/>
      <c r="U510" s="149"/>
      <c r="V510" s="149"/>
      <c r="W510" s="149"/>
      <c r="X510" s="149"/>
      <c r="Y510" s="149"/>
      <c r="Z510" s="149"/>
      <c r="AA510" s="149"/>
    </row>
    <row r="511" spans="1:27" ht="15.75" customHeight="1" x14ac:dyDescent="0.25">
      <c r="A511" s="149"/>
      <c r="B511" s="149"/>
      <c r="C511" s="149"/>
      <c r="D511" s="149"/>
      <c r="E511" s="149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  <c r="Q511" s="149"/>
      <c r="R511" s="149"/>
      <c r="S511" s="149"/>
      <c r="T511" s="149"/>
      <c r="U511" s="149"/>
      <c r="V511" s="149"/>
      <c r="W511" s="149"/>
      <c r="X511" s="149"/>
      <c r="Y511" s="149"/>
      <c r="Z511" s="149"/>
      <c r="AA511" s="149"/>
    </row>
    <row r="512" spans="1:27" ht="15.75" customHeight="1" x14ac:dyDescent="0.25">
      <c r="A512" s="149"/>
      <c r="B512" s="149"/>
      <c r="C512" s="149"/>
      <c r="D512" s="149"/>
      <c r="E512" s="149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  <c r="Q512" s="149"/>
      <c r="R512" s="149"/>
      <c r="S512" s="149"/>
      <c r="T512" s="149"/>
      <c r="U512" s="149"/>
      <c r="V512" s="149"/>
      <c r="W512" s="149"/>
      <c r="X512" s="149"/>
      <c r="Y512" s="149"/>
      <c r="Z512" s="149"/>
      <c r="AA512" s="149"/>
    </row>
    <row r="513" spans="1:27" ht="15.75" customHeight="1" x14ac:dyDescent="0.25">
      <c r="A513" s="149"/>
      <c r="B513" s="149"/>
      <c r="C513" s="149"/>
      <c r="D513" s="149"/>
      <c r="E513" s="149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  <c r="Q513" s="149"/>
      <c r="R513" s="149"/>
      <c r="S513" s="149"/>
      <c r="T513" s="149"/>
      <c r="U513" s="149"/>
      <c r="V513" s="149"/>
      <c r="W513" s="149"/>
      <c r="X513" s="149"/>
      <c r="Y513" s="149"/>
      <c r="Z513" s="149"/>
      <c r="AA513" s="149"/>
    </row>
    <row r="514" spans="1:27" ht="15.75" customHeight="1" x14ac:dyDescent="0.25">
      <c r="A514" s="149"/>
      <c r="B514" s="149"/>
      <c r="C514" s="149"/>
      <c r="D514" s="149"/>
      <c r="E514" s="149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  <c r="Q514" s="149"/>
      <c r="R514" s="149"/>
      <c r="S514" s="149"/>
      <c r="T514" s="149"/>
      <c r="U514" s="149"/>
      <c r="V514" s="149"/>
      <c r="W514" s="149"/>
      <c r="X514" s="149"/>
      <c r="Y514" s="149"/>
      <c r="Z514" s="149"/>
      <c r="AA514" s="149"/>
    </row>
    <row r="515" spans="1:27" ht="15.75" customHeight="1" x14ac:dyDescent="0.25">
      <c r="A515" s="149"/>
      <c r="B515" s="149"/>
      <c r="C515" s="149"/>
      <c r="D515" s="149"/>
      <c r="E515" s="14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  <c r="Q515" s="149"/>
      <c r="R515" s="149"/>
      <c r="S515" s="149"/>
      <c r="T515" s="149"/>
      <c r="U515" s="149"/>
      <c r="V515" s="149"/>
      <c r="W515" s="149"/>
      <c r="X515" s="149"/>
      <c r="Y515" s="149"/>
      <c r="Z515" s="149"/>
      <c r="AA515" s="149"/>
    </row>
    <row r="516" spans="1:27" ht="15.75" customHeight="1" x14ac:dyDescent="0.25">
      <c r="A516" s="149"/>
      <c r="B516" s="149"/>
      <c r="C516" s="149"/>
      <c r="D516" s="149"/>
      <c r="E516" s="14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  <c r="Q516" s="149"/>
      <c r="R516" s="149"/>
      <c r="S516" s="149"/>
      <c r="T516" s="149"/>
      <c r="U516" s="149"/>
      <c r="V516" s="149"/>
      <c r="W516" s="149"/>
      <c r="X516" s="149"/>
      <c r="Y516" s="149"/>
      <c r="Z516" s="149"/>
      <c r="AA516" s="149"/>
    </row>
    <row r="517" spans="1:27" ht="15.75" customHeight="1" x14ac:dyDescent="0.25">
      <c r="A517" s="149"/>
      <c r="B517" s="149"/>
      <c r="C517" s="149"/>
      <c r="D517" s="149"/>
      <c r="E517" s="149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  <c r="Q517" s="149"/>
      <c r="R517" s="149"/>
      <c r="S517" s="149"/>
      <c r="T517" s="149"/>
      <c r="U517" s="149"/>
      <c r="V517" s="149"/>
      <c r="W517" s="149"/>
      <c r="X517" s="149"/>
      <c r="Y517" s="149"/>
      <c r="Z517" s="149"/>
      <c r="AA517" s="149"/>
    </row>
    <row r="518" spans="1:27" ht="15.75" customHeight="1" x14ac:dyDescent="0.25">
      <c r="A518" s="149"/>
      <c r="B518" s="149"/>
      <c r="C518" s="149"/>
      <c r="D518" s="149"/>
      <c r="E518" s="149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  <c r="Q518" s="149"/>
      <c r="R518" s="149"/>
      <c r="S518" s="149"/>
      <c r="T518" s="149"/>
      <c r="U518" s="149"/>
      <c r="V518" s="149"/>
      <c r="W518" s="149"/>
      <c r="X518" s="149"/>
      <c r="Y518" s="149"/>
      <c r="Z518" s="149"/>
      <c r="AA518" s="149"/>
    </row>
    <row r="519" spans="1:27" ht="15.75" customHeight="1" x14ac:dyDescent="0.25">
      <c r="A519" s="149"/>
      <c r="B519" s="149"/>
      <c r="C519" s="149"/>
      <c r="D519" s="149"/>
      <c r="E519" s="149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  <c r="Q519" s="149"/>
      <c r="R519" s="149"/>
      <c r="S519" s="149"/>
      <c r="T519" s="149"/>
      <c r="U519" s="149"/>
      <c r="V519" s="149"/>
      <c r="W519" s="149"/>
      <c r="X519" s="149"/>
      <c r="Y519" s="149"/>
      <c r="Z519" s="149"/>
      <c r="AA519" s="149"/>
    </row>
    <row r="520" spans="1:27" ht="15.75" customHeight="1" x14ac:dyDescent="0.25">
      <c r="A520" s="149"/>
      <c r="B520" s="149"/>
      <c r="C520" s="149"/>
      <c r="D520" s="149"/>
      <c r="E520" s="149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  <c r="Q520" s="149"/>
      <c r="R520" s="149"/>
      <c r="S520" s="149"/>
      <c r="T520" s="149"/>
      <c r="U520" s="149"/>
      <c r="V520" s="149"/>
      <c r="W520" s="149"/>
      <c r="X520" s="149"/>
      <c r="Y520" s="149"/>
      <c r="Z520" s="149"/>
      <c r="AA520" s="149"/>
    </row>
    <row r="521" spans="1:27" ht="15.75" customHeight="1" x14ac:dyDescent="0.25">
      <c r="A521" s="149"/>
      <c r="B521" s="149"/>
      <c r="C521" s="149"/>
      <c r="D521" s="149"/>
      <c r="E521" s="149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  <c r="Q521" s="149"/>
      <c r="R521" s="149"/>
      <c r="S521" s="149"/>
      <c r="T521" s="149"/>
      <c r="U521" s="149"/>
      <c r="V521" s="149"/>
      <c r="W521" s="149"/>
      <c r="X521" s="149"/>
      <c r="Y521" s="149"/>
      <c r="Z521" s="149"/>
      <c r="AA521" s="149"/>
    </row>
    <row r="522" spans="1:27" ht="15.75" customHeight="1" x14ac:dyDescent="0.25">
      <c r="A522" s="149"/>
      <c r="B522" s="149"/>
      <c r="C522" s="149"/>
      <c r="D522" s="149"/>
      <c r="E522" s="149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  <c r="Q522" s="149"/>
      <c r="R522" s="149"/>
      <c r="S522" s="149"/>
      <c r="T522" s="149"/>
      <c r="U522" s="149"/>
      <c r="V522" s="149"/>
      <c r="W522" s="149"/>
      <c r="X522" s="149"/>
      <c r="Y522" s="149"/>
      <c r="Z522" s="149"/>
      <c r="AA522" s="149"/>
    </row>
    <row r="523" spans="1:27" ht="15.75" customHeight="1" x14ac:dyDescent="0.25">
      <c r="A523" s="149"/>
      <c r="B523" s="149"/>
      <c r="C523" s="149"/>
      <c r="D523" s="149"/>
      <c r="E523" s="149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  <c r="Q523" s="149"/>
      <c r="R523" s="149"/>
      <c r="S523" s="149"/>
      <c r="T523" s="149"/>
      <c r="U523" s="149"/>
      <c r="V523" s="149"/>
      <c r="W523" s="149"/>
      <c r="X523" s="149"/>
      <c r="Y523" s="149"/>
      <c r="Z523" s="149"/>
      <c r="AA523" s="149"/>
    </row>
    <row r="524" spans="1:27" ht="15.75" customHeight="1" x14ac:dyDescent="0.25">
      <c r="A524" s="149"/>
      <c r="B524" s="149"/>
      <c r="C524" s="149"/>
      <c r="D524" s="149"/>
      <c r="E524" s="149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  <c r="Q524" s="149"/>
      <c r="R524" s="149"/>
      <c r="S524" s="149"/>
      <c r="T524" s="149"/>
      <c r="U524" s="149"/>
      <c r="V524" s="149"/>
      <c r="W524" s="149"/>
      <c r="X524" s="149"/>
      <c r="Y524" s="149"/>
      <c r="Z524" s="149"/>
      <c r="AA524" s="149"/>
    </row>
    <row r="525" spans="1:27" ht="15.75" customHeight="1" x14ac:dyDescent="0.25">
      <c r="A525" s="149"/>
      <c r="B525" s="149"/>
      <c r="C525" s="149"/>
      <c r="D525" s="149"/>
      <c r="E525" s="149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  <c r="Q525" s="149"/>
      <c r="R525" s="149"/>
      <c r="S525" s="149"/>
      <c r="T525" s="149"/>
      <c r="U525" s="149"/>
      <c r="V525" s="149"/>
      <c r="W525" s="149"/>
      <c r="X525" s="149"/>
      <c r="Y525" s="149"/>
      <c r="Z525" s="149"/>
      <c r="AA525" s="149"/>
    </row>
    <row r="526" spans="1:27" ht="15.75" customHeight="1" x14ac:dyDescent="0.25">
      <c r="A526" s="149"/>
      <c r="B526" s="149"/>
      <c r="C526" s="149"/>
      <c r="D526" s="149"/>
      <c r="E526" s="149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  <c r="Q526" s="149"/>
      <c r="R526" s="149"/>
      <c r="S526" s="149"/>
      <c r="T526" s="149"/>
      <c r="U526" s="149"/>
      <c r="V526" s="149"/>
      <c r="W526" s="149"/>
      <c r="X526" s="149"/>
      <c r="Y526" s="149"/>
      <c r="Z526" s="149"/>
      <c r="AA526" s="149"/>
    </row>
    <row r="527" spans="1:27" ht="15.75" customHeight="1" x14ac:dyDescent="0.25">
      <c r="A527" s="149"/>
      <c r="B527" s="149"/>
      <c r="C527" s="149"/>
      <c r="D527" s="149"/>
      <c r="E527" s="149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  <c r="Q527" s="149"/>
      <c r="R527" s="149"/>
      <c r="S527" s="149"/>
      <c r="T527" s="149"/>
      <c r="U527" s="149"/>
      <c r="V527" s="149"/>
      <c r="W527" s="149"/>
      <c r="X527" s="149"/>
      <c r="Y527" s="149"/>
      <c r="Z527" s="149"/>
      <c r="AA527" s="149"/>
    </row>
    <row r="528" spans="1:27" ht="15.75" customHeight="1" x14ac:dyDescent="0.25">
      <c r="A528" s="149"/>
      <c r="B528" s="149"/>
      <c r="C528" s="149"/>
      <c r="D528" s="149"/>
      <c r="E528" s="149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  <c r="Q528" s="149"/>
      <c r="R528" s="149"/>
      <c r="S528" s="149"/>
      <c r="T528" s="149"/>
      <c r="U528" s="149"/>
      <c r="V528" s="149"/>
      <c r="W528" s="149"/>
      <c r="X528" s="149"/>
      <c r="Y528" s="149"/>
      <c r="Z528" s="149"/>
      <c r="AA528" s="149"/>
    </row>
    <row r="529" spans="1:27" ht="15.75" customHeight="1" x14ac:dyDescent="0.25">
      <c r="A529" s="149"/>
      <c r="B529" s="149"/>
      <c r="C529" s="149"/>
      <c r="D529" s="149"/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  <c r="Q529" s="149"/>
      <c r="R529" s="149"/>
      <c r="S529" s="149"/>
      <c r="T529" s="149"/>
      <c r="U529" s="149"/>
      <c r="V529" s="149"/>
      <c r="W529" s="149"/>
      <c r="X529" s="149"/>
      <c r="Y529" s="149"/>
      <c r="Z529" s="149"/>
      <c r="AA529" s="149"/>
    </row>
    <row r="530" spans="1:27" ht="15.75" customHeight="1" x14ac:dyDescent="0.25">
      <c r="A530" s="149"/>
      <c r="B530" s="149"/>
      <c r="C530" s="149"/>
      <c r="D530" s="149"/>
      <c r="E530" s="149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  <c r="Q530" s="149"/>
      <c r="R530" s="149"/>
      <c r="S530" s="149"/>
      <c r="T530" s="149"/>
      <c r="U530" s="149"/>
      <c r="V530" s="149"/>
      <c r="W530" s="149"/>
      <c r="X530" s="149"/>
      <c r="Y530" s="149"/>
      <c r="Z530" s="149"/>
      <c r="AA530" s="149"/>
    </row>
    <row r="531" spans="1:27" ht="15.75" customHeight="1" x14ac:dyDescent="0.25">
      <c r="A531" s="149"/>
      <c r="B531" s="149"/>
      <c r="C531" s="149"/>
      <c r="D531" s="149"/>
      <c r="E531" s="149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  <c r="Q531" s="149"/>
      <c r="R531" s="149"/>
      <c r="S531" s="149"/>
      <c r="T531" s="149"/>
      <c r="U531" s="149"/>
      <c r="V531" s="149"/>
      <c r="W531" s="149"/>
      <c r="X531" s="149"/>
      <c r="Y531" s="149"/>
      <c r="Z531" s="149"/>
      <c r="AA531" s="149"/>
    </row>
    <row r="532" spans="1:27" ht="15.75" customHeight="1" x14ac:dyDescent="0.25">
      <c r="A532" s="149"/>
      <c r="B532" s="149"/>
      <c r="C532" s="149"/>
      <c r="D532" s="149"/>
      <c r="E532" s="14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  <c r="Q532" s="149"/>
      <c r="R532" s="149"/>
      <c r="S532" s="149"/>
      <c r="T532" s="149"/>
      <c r="U532" s="149"/>
      <c r="V532" s="149"/>
      <c r="W532" s="149"/>
      <c r="X532" s="149"/>
      <c r="Y532" s="149"/>
      <c r="Z532" s="149"/>
      <c r="AA532" s="149"/>
    </row>
    <row r="533" spans="1:27" ht="15.75" customHeight="1" x14ac:dyDescent="0.25">
      <c r="A533" s="149"/>
      <c r="B533" s="149"/>
      <c r="C533" s="149"/>
      <c r="D533" s="149"/>
      <c r="E533" s="14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  <c r="Q533" s="149"/>
      <c r="R533" s="149"/>
      <c r="S533" s="149"/>
      <c r="T533" s="149"/>
      <c r="U533" s="149"/>
      <c r="V533" s="149"/>
      <c r="W533" s="149"/>
      <c r="X533" s="149"/>
      <c r="Y533" s="149"/>
      <c r="Z533" s="149"/>
      <c r="AA533" s="149"/>
    </row>
    <row r="534" spans="1:27" ht="15.75" customHeight="1" x14ac:dyDescent="0.25">
      <c r="A534" s="149"/>
      <c r="B534" s="149"/>
      <c r="C534" s="149"/>
      <c r="D534" s="149"/>
      <c r="E534" s="149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  <c r="Q534" s="149"/>
      <c r="R534" s="149"/>
      <c r="S534" s="149"/>
      <c r="T534" s="149"/>
      <c r="U534" s="149"/>
      <c r="V534" s="149"/>
      <c r="W534" s="149"/>
      <c r="X534" s="149"/>
      <c r="Y534" s="149"/>
      <c r="Z534" s="149"/>
      <c r="AA534" s="149"/>
    </row>
    <row r="535" spans="1:27" ht="15.75" customHeight="1" x14ac:dyDescent="0.25">
      <c r="A535" s="149"/>
      <c r="B535" s="149"/>
      <c r="C535" s="149"/>
      <c r="D535" s="149"/>
      <c r="E535" s="149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  <c r="Q535" s="149"/>
      <c r="R535" s="149"/>
      <c r="S535" s="149"/>
      <c r="T535" s="149"/>
      <c r="U535" s="149"/>
      <c r="V535" s="149"/>
      <c r="W535" s="149"/>
      <c r="X535" s="149"/>
      <c r="Y535" s="149"/>
      <c r="Z535" s="149"/>
      <c r="AA535" s="149"/>
    </row>
    <row r="536" spans="1:27" ht="15.75" customHeight="1" x14ac:dyDescent="0.25">
      <c r="A536" s="149"/>
      <c r="B536" s="149"/>
      <c r="C536" s="149"/>
      <c r="D536" s="149"/>
      <c r="E536" s="149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  <c r="Q536" s="149"/>
      <c r="R536" s="149"/>
      <c r="S536" s="149"/>
      <c r="T536" s="149"/>
      <c r="U536" s="149"/>
      <c r="V536" s="149"/>
      <c r="W536" s="149"/>
      <c r="X536" s="149"/>
      <c r="Y536" s="149"/>
      <c r="Z536" s="149"/>
      <c r="AA536" s="149"/>
    </row>
    <row r="537" spans="1:27" ht="15.75" customHeight="1" x14ac:dyDescent="0.25">
      <c r="A537" s="149"/>
      <c r="B537" s="149"/>
      <c r="C537" s="149"/>
      <c r="D537" s="149"/>
      <c r="E537" s="149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  <c r="Q537" s="149"/>
      <c r="R537" s="149"/>
      <c r="S537" s="149"/>
      <c r="T537" s="149"/>
      <c r="U537" s="149"/>
      <c r="V537" s="149"/>
      <c r="W537" s="149"/>
      <c r="X537" s="149"/>
      <c r="Y537" s="149"/>
      <c r="Z537" s="149"/>
      <c r="AA537" s="149"/>
    </row>
    <row r="538" spans="1:27" ht="15.75" customHeight="1" x14ac:dyDescent="0.25">
      <c r="A538" s="149"/>
      <c r="B538" s="149"/>
      <c r="C538" s="149"/>
      <c r="D538" s="149"/>
      <c r="E538" s="149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  <c r="Q538" s="149"/>
      <c r="R538" s="149"/>
      <c r="S538" s="149"/>
      <c r="T538" s="149"/>
      <c r="U538" s="149"/>
      <c r="V538" s="149"/>
      <c r="W538" s="149"/>
      <c r="X538" s="149"/>
      <c r="Y538" s="149"/>
      <c r="Z538" s="149"/>
      <c r="AA538" s="149"/>
    </row>
    <row r="539" spans="1:27" ht="15.75" customHeight="1" x14ac:dyDescent="0.25">
      <c r="A539" s="149"/>
      <c r="B539" s="149"/>
      <c r="C539" s="149"/>
      <c r="D539" s="149"/>
      <c r="E539" s="149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  <c r="Q539" s="149"/>
      <c r="R539" s="149"/>
      <c r="S539" s="149"/>
      <c r="T539" s="149"/>
      <c r="U539" s="149"/>
      <c r="V539" s="149"/>
      <c r="W539" s="149"/>
      <c r="X539" s="149"/>
      <c r="Y539" s="149"/>
      <c r="Z539" s="149"/>
      <c r="AA539" s="149"/>
    </row>
    <row r="540" spans="1:27" ht="15.75" customHeight="1" x14ac:dyDescent="0.25">
      <c r="A540" s="149"/>
      <c r="B540" s="149"/>
      <c r="C540" s="149"/>
      <c r="D540" s="149"/>
      <c r="E540" s="149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  <c r="Q540" s="149"/>
      <c r="R540" s="149"/>
      <c r="S540" s="149"/>
      <c r="T540" s="149"/>
      <c r="U540" s="149"/>
      <c r="V540" s="149"/>
      <c r="W540" s="149"/>
      <c r="X540" s="149"/>
      <c r="Y540" s="149"/>
      <c r="Z540" s="149"/>
      <c r="AA540" s="149"/>
    </row>
    <row r="541" spans="1:27" ht="15.75" customHeight="1" x14ac:dyDescent="0.25">
      <c r="A541" s="149"/>
      <c r="B541" s="149"/>
      <c r="C541" s="149"/>
      <c r="D541" s="149"/>
      <c r="E541" s="149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  <c r="Q541" s="149"/>
      <c r="R541" s="149"/>
      <c r="S541" s="149"/>
      <c r="T541" s="149"/>
      <c r="U541" s="149"/>
      <c r="V541" s="149"/>
      <c r="W541" s="149"/>
      <c r="X541" s="149"/>
      <c r="Y541" s="149"/>
      <c r="Z541" s="149"/>
      <c r="AA541" s="149"/>
    </row>
    <row r="542" spans="1:27" ht="15.75" customHeight="1" x14ac:dyDescent="0.25">
      <c r="A542" s="149"/>
      <c r="B542" s="149"/>
      <c r="C542" s="149"/>
      <c r="D542" s="149"/>
      <c r="E542" s="149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  <c r="Q542" s="149"/>
      <c r="R542" s="149"/>
      <c r="S542" s="149"/>
      <c r="T542" s="149"/>
      <c r="U542" s="149"/>
      <c r="V542" s="149"/>
      <c r="W542" s="149"/>
      <c r="X542" s="149"/>
      <c r="Y542" s="149"/>
      <c r="Z542" s="149"/>
      <c r="AA542" s="149"/>
    </row>
    <row r="543" spans="1:27" ht="15.75" customHeight="1" x14ac:dyDescent="0.25">
      <c r="A543" s="149"/>
      <c r="B543" s="149"/>
      <c r="C543" s="149"/>
      <c r="D543" s="149"/>
      <c r="E543" s="149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  <c r="Q543" s="149"/>
      <c r="R543" s="149"/>
      <c r="S543" s="149"/>
      <c r="T543" s="149"/>
      <c r="U543" s="149"/>
      <c r="V543" s="149"/>
      <c r="W543" s="149"/>
      <c r="X543" s="149"/>
      <c r="Y543" s="149"/>
      <c r="Z543" s="149"/>
      <c r="AA543" s="149"/>
    </row>
    <row r="544" spans="1:27" ht="15.75" customHeight="1" x14ac:dyDescent="0.25">
      <c r="A544" s="149"/>
      <c r="B544" s="149"/>
      <c r="C544" s="149"/>
      <c r="D544" s="149"/>
      <c r="E544" s="149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  <c r="Q544" s="149"/>
      <c r="R544" s="149"/>
      <c r="S544" s="149"/>
      <c r="T544" s="149"/>
      <c r="U544" s="149"/>
      <c r="V544" s="149"/>
      <c r="W544" s="149"/>
      <c r="X544" s="149"/>
      <c r="Y544" s="149"/>
      <c r="Z544" s="149"/>
      <c r="AA544" s="149"/>
    </row>
    <row r="545" spans="1:27" ht="15.75" customHeight="1" x14ac:dyDescent="0.25">
      <c r="A545" s="149"/>
      <c r="B545" s="149"/>
      <c r="C545" s="149"/>
      <c r="D545" s="149"/>
      <c r="E545" s="149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  <c r="Q545" s="149"/>
      <c r="R545" s="149"/>
      <c r="S545" s="149"/>
      <c r="T545" s="149"/>
      <c r="U545" s="149"/>
      <c r="V545" s="149"/>
      <c r="W545" s="149"/>
      <c r="X545" s="149"/>
      <c r="Y545" s="149"/>
      <c r="Z545" s="149"/>
      <c r="AA545" s="149"/>
    </row>
    <row r="546" spans="1:27" ht="15.75" customHeight="1" x14ac:dyDescent="0.25">
      <c r="A546" s="149"/>
      <c r="B546" s="149"/>
      <c r="C546" s="149"/>
      <c r="D546" s="149"/>
      <c r="E546" s="149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  <c r="Q546" s="149"/>
      <c r="R546" s="149"/>
      <c r="S546" s="149"/>
      <c r="T546" s="149"/>
      <c r="U546" s="149"/>
      <c r="V546" s="149"/>
      <c r="W546" s="149"/>
      <c r="X546" s="149"/>
      <c r="Y546" s="149"/>
      <c r="Z546" s="149"/>
      <c r="AA546" s="149"/>
    </row>
    <row r="547" spans="1:27" ht="15.75" customHeight="1" x14ac:dyDescent="0.25">
      <c r="A547" s="149"/>
      <c r="B547" s="149"/>
      <c r="C547" s="149"/>
      <c r="D547" s="149"/>
      <c r="E547" s="149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  <c r="Q547" s="149"/>
      <c r="R547" s="149"/>
      <c r="S547" s="149"/>
      <c r="T547" s="149"/>
      <c r="U547" s="149"/>
      <c r="V547" s="149"/>
      <c r="W547" s="149"/>
      <c r="X547" s="149"/>
      <c r="Y547" s="149"/>
      <c r="Z547" s="149"/>
      <c r="AA547" s="149"/>
    </row>
    <row r="548" spans="1:27" ht="15.75" customHeight="1" x14ac:dyDescent="0.25">
      <c r="A548" s="149"/>
      <c r="B548" s="149"/>
      <c r="C548" s="149"/>
      <c r="D548" s="149"/>
      <c r="E548" s="149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  <c r="Q548" s="149"/>
      <c r="R548" s="149"/>
      <c r="S548" s="149"/>
      <c r="T548" s="149"/>
      <c r="U548" s="149"/>
      <c r="V548" s="149"/>
      <c r="W548" s="149"/>
      <c r="X548" s="149"/>
      <c r="Y548" s="149"/>
      <c r="Z548" s="149"/>
      <c r="AA548" s="149"/>
    </row>
    <row r="549" spans="1:27" ht="15.75" customHeight="1" x14ac:dyDescent="0.25">
      <c r="A549" s="149"/>
      <c r="B549" s="149"/>
      <c r="C549" s="149"/>
      <c r="D549" s="149"/>
      <c r="E549" s="149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  <c r="Q549" s="149"/>
      <c r="R549" s="149"/>
      <c r="S549" s="149"/>
      <c r="T549" s="149"/>
      <c r="U549" s="149"/>
      <c r="V549" s="149"/>
      <c r="W549" s="149"/>
      <c r="X549" s="149"/>
      <c r="Y549" s="149"/>
      <c r="Z549" s="149"/>
      <c r="AA549" s="149"/>
    </row>
    <row r="550" spans="1:27" ht="15.75" customHeight="1" x14ac:dyDescent="0.25">
      <c r="A550" s="149"/>
      <c r="B550" s="149"/>
      <c r="C550" s="149"/>
      <c r="D550" s="149"/>
      <c r="E550" s="149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  <c r="Q550" s="149"/>
      <c r="R550" s="149"/>
      <c r="S550" s="149"/>
      <c r="T550" s="149"/>
      <c r="U550" s="149"/>
      <c r="V550" s="149"/>
      <c r="W550" s="149"/>
      <c r="X550" s="149"/>
      <c r="Y550" s="149"/>
      <c r="Z550" s="149"/>
      <c r="AA550" s="149"/>
    </row>
    <row r="551" spans="1:27" ht="15.75" customHeight="1" x14ac:dyDescent="0.25">
      <c r="A551" s="149"/>
      <c r="B551" s="149"/>
      <c r="C551" s="149"/>
      <c r="D551" s="149"/>
      <c r="E551" s="149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  <c r="Q551" s="149"/>
      <c r="R551" s="149"/>
      <c r="S551" s="149"/>
      <c r="T551" s="149"/>
      <c r="U551" s="149"/>
      <c r="V551" s="149"/>
      <c r="W551" s="149"/>
      <c r="X551" s="149"/>
      <c r="Y551" s="149"/>
      <c r="Z551" s="149"/>
      <c r="AA551" s="149"/>
    </row>
    <row r="552" spans="1:27" ht="15.75" customHeight="1" x14ac:dyDescent="0.25">
      <c r="A552" s="149"/>
      <c r="B552" s="149"/>
      <c r="C552" s="149"/>
      <c r="D552" s="149"/>
      <c r="E552" s="149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  <c r="Q552" s="149"/>
      <c r="R552" s="149"/>
      <c r="S552" s="149"/>
      <c r="T552" s="149"/>
      <c r="U552" s="149"/>
      <c r="V552" s="149"/>
      <c r="W552" s="149"/>
      <c r="X552" s="149"/>
      <c r="Y552" s="149"/>
      <c r="Z552" s="149"/>
      <c r="AA552" s="149"/>
    </row>
    <row r="553" spans="1:27" ht="15.75" customHeight="1" x14ac:dyDescent="0.25">
      <c r="A553" s="149"/>
      <c r="B553" s="149"/>
      <c r="C553" s="149"/>
      <c r="D553" s="149"/>
      <c r="E553" s="149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  <c r="Q553" s="149"/>
      <c r="R553" s="149"/>
      <c r="S553" s="149"/>
      <c r="T553" s="149"/>
      <c r="U553" s="149"/>
      <c r="V553" s="149"/>
      <c r="W553" s="149"/>
      <c r="X553" s="149"/>
      <c r="Y553" s="149"/>
      <c r="Z553" s="149"/>
      <c r="AA553" s="149"/>
    </row>
    <row r="554" spans="1:27" ht="15.75" customHeight="1" x14ac:dyDescent="0.25">
      <c r="A554" s="149"/>
      <c r="B554" s="149"/>
      <c r="C554" s="149"/>
      <c r="D554" s="149"/>
      <c r="E554" s="149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  <c r="Q554" s="149"/>
      <c r="R554" s="149"/>
      <c r="S554" s="149"/>
      <c r="T554" s="149"/>
      <c r="U554" s="149"/>
      <c r="V554" s="149"/>
      <c r="W554" s="149"/>
      <c r="X554" s="149"/>
      <c r="Y554" s="149"/>
      <c r="Z554" s="149"/>
      <c r="AA554" s="149"/>
    </row>
    <row r="555" spans="1:27" ht="15.75" customHeight="1" x14ac:dyDescent="0.25">
      <c r="A555" s="149"/>
      <c r="B555" s="149"/>
      <c r="C555" s="149"/>
      <c r="D555" s="149"/>
      <c r="E555" s="149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  <c r="Q555" s="149"/>
      <c r="R555" s="149"/>
      <c r="S555" s="149"/>
      <c r="T555" s="149"/>
      <c r="U555" s="149"/>
      <c r="V555" s="149"/>
      <c r="W555" s="149"/>
      <c r="X555" s="149"/>
      <c r="Y555" s="149"/>
      <c r="Z555" s="149"/>
      <c r="AA555" s="149"/>
    </row>
    <row r="556" spans="1:27" ht="15.75" customHeight="1" x14ac:dyDescent="0.25">
      <c r="A556" s="149"/>
      <c r="B556" s="149"/>
      <c r="C556" s="149"/>
      <c r="D556" s="149"/>
      <c r="E556" s="149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  <c r="Q556" s="149"/>
      <c r="R556" s="149"/>
      <c r="S556" s="149"/>
      <c r="T556" s="149"/>
      <c r="U556" s="149"/>
      <c r="V556" s="149"/>
      <c r="W556" s="149"/>
      <c r="X556" s="149"/>
      <c r="Y556" s="149"/>
      <c r="Z556" s="149"/>
      <c r="AA556" s="149"/>
    </row>
    <row r="557" spans="1:27" ht="15.75" customHeight="1" x14ac:dyDescent="0.25">
      <c r="A557" s="149"/>
      <c r="B557" s="149"/>
      <c r="C557" s="149"/>
      <c r="D557" s="149"/>
      <c r="E557" s="149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  <c r="Q557" s="149"/>
      <c r="R557" s="149"/>
      <c r="S557" s="149"/>
      <c r="T557" s="149"/>
      <c r="U557" s="149"/>
      <c r="V557" s="149"/>
      <c r="W557" s="149"/>
      <c r="X557" s="149"/>
      <c r="Y557" s="149"/>
      <c r="Z557" s="149"/>
      <c r="AA557" s="149"/>
    </row>
    <row r="558" spans="1:27" ht="15.75" customHeight="1" x14ac:dyDescent="0.25">
      <c r="A558" s="149"/>
      <c r="B558" s="149"/>
      <c r="C558" s="149"/>
      <c r="D558" s="149"/>
      <c r="E558" s="149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  <c r="Q558" s="149"/>
      <c r="R558" s="149"/>
      <c r="S558" s="149"/>
      <c r="T558" s="149"/>
      <c r="U558" s="149"/>
      <c r="V558" s="149"/>
      <c r="W558" s="149"/>
      <c r="X558" s="149"/>
      <c r="Y558" s="149"/>
      <c r="Z558" s="149"/>
      <c r="AA558" s="149"/>
    </row>
    <row r="559" spans="1:27" ht="15.75" customHeight="1" x14ac:dyDescent="0.25">
      <c r="A559" s="149"/>
      <c r="B559" s="149"/>
      <c r="C559" s="149"/>
      <c r="D559" s="149"/>
      <c r="E559" s="149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  <c r="Q559" s="149"/>
      <c r="R559" s="149"/>
      <c r="S559" s="149"/>
      <c r="T559" s="149"/>
      <c r="U559" s="149"/>
      <c r="V559" s="149"/>
      <c r="W559" s="149"/>
      <c r="X559" s="149"/>
      <c r="Y559" s="149"/>
      <c r="Z559" s="149"/>
      <c r="AA559" s="149"/>
    </row>
    <row r="560" spans="1:27" ht="15.75" customHeight="1" x14ac:dyDescent="0.25">
      <c r="A560" s="149"/>
      <c r="B560" s="149"/>
      <c r="C560" s="149"/>
      <c r="D560" s="149"/>
      <c r="E560" s="149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  <c r="Q560" s="149"/>
      <c r="R560" s="149"/>
      <c r="S560" s="149"/>
      <c r="T560" s="149"/>
      <c r="U560" s="149"/>
      <c r="V560" s="149"/>
      <c r="W560" s="149"/>
      <c r="X560" s="149"/>
      <c r="Y560" s="149"/>
      <c r="Z560" s="149"/>
      <c r="AA560" s="149"/>
    </row>
    <row r="561" spans="1:27" ht="15.75" customHeight="1" x14ac:dyDescent="0.25">
      <c r="A561" s="149"/>
      <c r="B561" s="149"/>
      <c r="C561" s="149"/>
      <c r="D561" s="149"/>
      <c r="E561" s="14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  <c r="Q561" s="149"/>
      <c r="R561" s="149"/>
      <c r="S561" s="149"/>
      <c r="T561" s="149"/>
      <c r="U561" s="149"/>
      <c r="V561" s="149"/>
      <c r="W561" s="149"/>
      <c r="X561" s="149"/>
      <c r="Y561" s="149"/>
      <c r="Z561" s="149"/>
      <c r="AA561" s="149"/>
    </row>
    <row r="562" spans="1:27" ht="15.75" customHeight="1" x14ac:dyDescent="0.25">
      <c r="A562" s="149"/>
      <c r="B562" s="149"/>
      <c r="C562" s="149"/>
      <c r="D562" s="149"/>
      <c r="E562" s="149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  <c r="Q562" s="149"/>
      <c r="R562" s="149"/>
      <c r="S562" s="149"/>
      <c r="T562" s="149"/>
      <c r="U562" s="149"/>
      <c r="V562" s="149"/>
      <c r="W562" s="149"/>
      <c r="X562" s="149"/>
      <c r="Y562" s="149"/>
      <c r="Z562" s="149"/>
      <c r="AA562" s="149"/>
    </row>
    <row r="563" spans="1:27" ht="15.75" customHeight="1" x14ac:dyDescent="0.25">
      <c r="A563" s="149"/>
      <c r="B563" s="149"/>
      <c r="C563" s="149"/>
      <c r="D563" s="149"/>
      <c r="E563" s="149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  <c r="Q563" s="149"/>
      <c r="R563" s="149"/>
      <c r="S563" s="149"/>
      <c r="T563" s="149"/>
      <c r="U563" s="149"/>
      <c r="V563" s="149"/>
      <c r="W563" s="149"/>
      <c r="X563" s="149"/>
      <c r="Y563" s="149"/>
      <c r="Z563" s="149"/>
      <c r="AA563" s="149"/>
    </row>
    <row r="564" spans="1:27" ht="15.75" customHeight="1" x14ac:dyDescent="0.25">
      <c r="A564" s="149"/>
      <c r="B564" s="149"/>
      <c r="C564" s="149"/>
      <c r="D564" s="149"/>
      <c r="E564" s="149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  <c r="Q564" s="149"/>
      <c r="R564" s="149"/>
      <c r="S564" s="149"/>
      <c r="T564" s="149"/>
      <c r="U564" s="149"/>
      <c r="V564" s="149"/>
      <c r="W564" s="149"/>
      <c r="X564" s="149"/>
      <c r="Y564" s="149"/>
      <c r="Z564" s="149"/>
      <c r="AA564" s="149"/>
    </row>
    <row r="565" spans="1:27" ht="15.75" customHeight="1" x14ac:dyDescent="0.25">
      <c r="A565" s="149"/>
      <c r="B565" s="149"/>
      <c r="C565" s="149"/>
      <c r="D565" s="149"/>
      <c r="E565" s="149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  <c r="Q565" s="149"/>
      <c r="R565" s="149"/>
      <c r="S565" s="149"/>
      <c r="T565" s="149"/>
      <c r="U565" s="149"/>
      <c r="V565" s="149"/>
      <c r="W565" s="149"/>
      <c r="X565" s="149"/>
      <c r="Y565" s="149"/>
      <c r="Z565" s="149"/>
      <c r="AA565" s="149"/>
    </row>
    <row r="566" spans="1:27" ht="15.75" customHeight="1" x14ac:dyDescent="0.25">
      <c r="A566" s="149"/>
      <c r="B566" s="149"/>
      <c r="C566" s="149"/>
      <c r="D566" s="149"/>
      <c r="E566" s="149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  <c r="Q566" s="149"/>
      <c r="R566" s="149"/>
      <c r="S566" s="149"/>
      <c r="T566" s="149"/>
      <c r="U566" s="149"/>
      <c r="V566" s="149"/>
      <c r="W566" s="149"/>
      <c r="X566" s="149"/>
      <c r="Y566" s="149"/>
      <c r="Z566" s="149"/>
      <c r="AA566" s="149"/>
    </row>
    <row r="567" spans="1:27" ht="15.75" customHeight="1" x14ac:dyDescent="0.25">
      <c r="A567" s="149"/>
      <c r="B567" s="149"/>
      <c r="C567" s="149"/>
      <c r="D567" s="149"/>
      <c r="E567" s="14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  <c r="Q567" s="149"/>
      <c r="R567" s="149"/>
      <c r="S567" s="149"/>
      <c r="T567" s="149"/>
      <c r="U567" s="149"/>
      <c r="V567" s="149"/>
      <c r="W567" s="149"/>
      <c r="X567" s="149"/>
      <c r="Y567" s="149"/>
      <c r="Z567" s="149"/>
      <c r="AA567" s="149"/>
    </row>
    <row r="568" spans="1:27" ht="15.75" customHeight="1" x14ac:dyDescent="0.25">
      <c r="A568" s="149"/>
      <c r="B568" s="149"/>
      <c r="C568" s="149"/>
      <c r="D568" s="149"/>
      <c r="E568" s="14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  <c r="Q568" s="149"/>
      <c r="R568" s="149"/>
      <c r="S568" s="149"/>
      <c r="T568" s="149"/>
      <c r="U568" s="149"/>
      <c r="V568" s="149"/>
      <c r="W568" s="149"/>
      <c r="X568" s="149"/>
      <c r="Y568" s="149"/>
      <c r="Z568" s="149"/>
      <c r="AA568" s="149"/>
    </row>
    <row r="569" spans="1:27" ht="15.75" customHeight="1" x14ac:dyDescent="0.25">
      <c r="A569" s="149"/>
      <c r="B569" s="149"/>
      <c r="C569" s="149"/>
      <c r="D569" s="149"/>
      <c r="E569" s="14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  <c r="Q569" s="149"/>
      <c r="R569" s="149"/>
      <c r="S569" s="149"/>
      <c r="T569" s="149"/>
      <c r="U569" s="149"/>
      <c r="V569" s="149"/>
      <c r="W569" s="149"/>
      <c r="X569" s="149"/>
      <c r="Y569" s="149"/>
      <c r="Z569" s="149"/>
      <c r="AA569" s="149"/>
    </row>
    <row r="570" spans="1:27" ht="15.75" customHeight="1" x14ac:dyDescent="0.25">
      <c r="A570" s="149"/>
      <c r="B570" s="149"/>
      <c r="C570" s="149"/>
      <c r="D570" s="149"/>
      <c r="E570" s="14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  <c r="Q570" s="149"/>
      <c r="R570" s="149"/>
      <c r="S570" s="149"/>
      <c r="T570" s="149"/>
      <c r="U570" s="149"/>
      <c r="V570" s="149"/>
      <c r="W570" s="149"/>
      <c r="X570" s="149"/>
      <c r="Y570" s="149"/>
      <c r="Z570" s="149"/>
      <c r="AA570" s="149"/>
    </row>
    <row r="571" spans="1:27" ht="15.75" customHeight="1" x14ac:dyDescent="0.25">
      <c r="A571" s="149"/>
      <c r="B571" s="149"/>
      <c r="C571" s="149"/>
      <c r="D571" s="149"/>
      <c r="E571" s="14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  <c r="Q571" s="149"/>
      <c r="R571" s="149"/>
      <c r="S571" s="149"/>
      <c r="T571" s="149"/>
      <c r="U571" s="149"/>
      <c r="V571" s="149"/>
      <c r="W571" s="149"/>
      <c r="X571" s="149"/>
      <c r="Y571" s="149"/>
      <c r="Z571" s="149"/>
      <c r="AA571" s="149"/>
    </row>
    <row r="572" spans="1:27" ht="15.75" customHeight="1" x14ac:dyDescent="0.25">
      <c r="A572" s="149"/>
      <c r="B572" s="149"/>
      <c r="C572" s="149"/>
      <c r="D572" s="149"/>
      <c r="E572" s="14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  <c r="Q572" s="149"/>
      <c r="R572" s="149"/>
      <c r="S572" s="149"/>
      <c r="T572" s="149"/>
      <c r="U572" s="149"/>
      <c r="V572" s="149"/>
      <c r="W572" s="149"/>
      <c r="X572" s="149"/>
      <c r="Y572" s="149"/>
      <c r="Z572" s="149"/>
      <c r="AA572" s="149"/>
    </row>
    <row r="573" spans="1:27" ht="15.75" customHeight="1" x14ac:dyDescent="0.25">
      <c r="A573" s="149"/>
      <c r="B573" s="149"/>
      <c r="C573" s="149"/>
      <c r="D573" s="149"/>
      <c r="E573" s="14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  <c r="Q573" s="149"/>
      <c r="R573" s="149"/>
      <c r="S573" s="149"/>
      <c r="T573" s="149"/>
      <c r="U573" s="149"/>
      <c r="V573" s="149"/>
      <c r="W573" s="149"/>
      <c r="X573" s="149"/>
      <c r="Y573" s="149"/>
      <c r="Z573" s="149"/>
      <c r="AA573" s="149"/>
    </row>
    <row r="574" spans="1:27" ht="15.75" customHeight="1" x14ac:dyDescent="0.25">
      <c r="A574" s="149"/>
      <c r="B574" s="149"/>
      <c r="C574" s="149"/>
      <c r="D574" s="149"/>
      <c r="E574" s="14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  <c r="Q574" s="149"/>
      <c r="R574" s="149"/>
      <c r="S574" s="149"/>
      <c r="T574" s="149"/>
      <c r="U574" s="149"/>
      <c r="V574" s="149"/>
      <c r="W574" s="149"/>
      <c r="X574" s="149"/>
      <c r="Y574" s="149"/>
      <c r="Z574" s="149"/>
      <c r="AA574" s="149"/>
    </row>
    <row r="575" spans="1:27" ht="15.75" customHeight="1" x14ac:dyDescent="0.25">
      <c r="A575" s="149"/>
      <c r="B575" s="149"/>
      <c r="C575" s="149"/>
      <c r="D575" s="149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  <c r="Q575" s="149"/>
      <c r="R575" s="149"/>
      <c r="S575" s="149"/>
      <c r="T575" s="149"/>
      <c r="U575" s="149"/>
      <c r="V575" s="149"/>
      <c r="W575" s="149"/>
      <c r="X575" s="149"/>
      <c r="Y575" s="149"/>
      <c r="Z575" s="149"/>
      <c r="AA575" s="149"/>
    </row>
    <row r="576" spans="1:27" ht="15.75" customHeight="1" x14ac:dyDescent="0.25">
      <c r="A576" s="149"/>
      <c r="B576" s="149"/>
      <c r="C576" s="149"/>
      <c r="D576" s="149"/>
      <c r="E576" s="14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  <c r="Q576" s="149"/>
      <c r="R576" s="149"/>
      <c r="S576" s="149"/>
      <c r="T576" s="149"/>
      <c r="U576" s="149"/>
      <c r="V576" s="149"/>
      <c r="W576" s="149"/>
      <c r="X576" s="149"/>
      <c r="Y576" s="149"/>
      <c r="Z576" s="149"/>
      <c r="AA576" s="149"/>
    </row>
    <row r="577" spans="1:27" ht="15.75" customHeight="1" x14ac:dyDescent="0.25">
      <c r="A577" s="149"/>
      <c r="B577" s="149"/>
      <c r="C577" s="149"/>
      <c r="D577" s="149"/>
      <c r="E577" s="149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  <c r="Q577" s="149"/>
      <c r="R577" s="149"/>
      <c r="S577" s="149"/>
      <c r="T577" s="149"/>
      <c r="U577" s="149"/>
      <c r="V577" s="149"/>
      <c r="W577" s="149"/>
      <c r="X577" s="149"/>
      <c r="Y577" s="149"/>
      <c r="Z577" s="149"/>
      <c r="AA577" s="149"/>
    </row>
    <row r="578" spans="1:27" ht="15.75" customHeight="1" x14ac:dyDescent="0.25">
      <c r="A578" s="149"/>
      <c r="B578" s="149"/>
      <c r="C578" s="149"/>
      <c r="D578" s="149"/>
      <c r="E578" s="149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  <c r="Q578" s="149"/>
      <c r="R578" s="149"/>
      <c r="S578" s="149"/>
      <c r="T578" s="149"/>
      <c r="U578" s="149"/>
      <c r="V578" s="149"/>
      <c r="W578" s="149"/>
      <c r="X578" s="149"/>
      <c r="Y578" s="149"/>
      <c r="Z578" s="149"/>
      <c r="AA578" s="149"/>
    </row>
    <row r="579" spans="1:27" ht="15.75" customHeight="1" x14ac:dyDescent="0.25">
      <c r="A579" s="149"/>
      <c r="B579" s="149"/>
      <c r="C579" s="149"/>
      <c r="D579" s="149"/>
      <c r="E579" s="149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  <c r="Q579" s="149"/>
      <c r="R579" s="149"/>
      <c r="S579" s="149"/>
      <c r="T579" s="149"/>
      <c r="U579" s="149"/>
      <c r="V579" s="149"/>
      <c r="W579" s="149"/>
      <c r="X579" s="149"/>
      <c r="Y579" s="149"/>
      <c r="Z579" s="149"/>
      <c r="AA579" s="149"/>
    </row>
    <row r="580" spans="1:27" ht="15.75" customHeight="1" x14ac:dyDescent="0.25">
      <c r="A580" s="149"/>
      <c r="B580" s="149"/>
      <c r="C580" s="149"/>
      <c r="D580" s="149"/>
      <c r="E580" s="14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  <c r="Q580" s="149"/>
      <c r="R580" s="149"/>
      <c r="S580" s="149"/>
      <c r="T580" s="149"/>
      <c r="U580" s="149"/>
      <c r="V580" s="149"/>
      <c r="W580" s="149"/>
      <c r="X580" s="149"/>
      <c r="Y580" s="149"/>
      <c r="Z580" s="149"/>
      <c r="AA580" s="149"/>
    </row>
    <row r="581" spans="1:27" ht="15.75" customHeight="1" x14ac:dyDescent="0.25">
      <c r="A581" s="149"/>
      <c r="B581" s="149"/>
      <c r="C581" s="149"/>
      <c r="D581" s="149"/>
      <c r="E581" s="149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  <c r="Q581" s="149"/>
      <c r="R581" s="149"/>
      <c r="S581" s="149"/>
      <c r="T581" s="149"/>
      <c r="U581" s="149"/>
      <c r="V581" s="149"/>
      <c r="W581" s="149"/>
      <c r="X581" s="149"/>
      <c r="Y581" s="149"/>
      <c r="Z581" s="149"/>
      <c r="AA581" s="149"/>
    </row>
    <row r="582" spans="1:27" ht="15.75" customHeight="1" x14ac:dyDescent="0.25">
      <c r="A582" s="149"/>
      <c r="B582" s="149"/>
      <c r="C582" s="149"/>
      <c r="D582" s="149"/>
      <c r="E582" s="149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  <c r="Q582" s="149"/>
      <c r="R582" s="149"/>
      <c r="S582" s="149"/>
      <c r="T582" s="149"/>
      <c r="U582" s="149"/>
      <c r="V582" s="149"/>
      <c r="W582" s="149"/>
      <c r="X582" s="149"/>
      <c r="Y582" s="149"/>
      <c r="Z582" s="149"/>
      <c r="AA582" s="149"/>
    </row>
    <row r="583" spans="1:27" ht="15.75" customHeight="1" x14ac:dyDescent="0.25">
      <c r="A583" s="149"/>
      <c r="B583" s="149"/>
      <c r="C583" s="149"/>
      <c r="D583" s="149"/>
      <c r="E583" s="14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  <c r="Q583" s="149"/>
      <c r="R583" s="149"/>
      <c r="S583" s="149"/>
      <c r="T583" s="149"/>
      <c r="U583" s="149"/>
      <c r="V583" s="149"/>
      <c r="W583" s="149"/>
      <c r="X583" s="149"/>
      <c r="Y583" s="149"/>
      <c r="Z583" s="149"/>
      <c r="AA583" s="149"/>
    </row>
    <row r="584" spans="1:27" ht="15.75" customHeight="1" x14ac:dyDescent="0.25">
      <c r="A584" s="149"/>
      <c r="B584" s="149"/>
      <c r="C584" s="149"/>
      <c r="D584" s="149"/>
      <c r="E584" s="14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  <c r="Q584" s="149"/>
      <c r="R584" s="149"/>
      <c r="S584" s="149"/>
      <c r="T584" s="149"/>
      <c r="U584" s="149"/>
      <c r="V584" s="149"/>
      <c r="W584" s="149"/>
      <c r="X584" s="149"/>
      <c r="Y584" s="149"/>
      <c r="Z584" s="149"/>
      <c r="AA584" s="149"/>
    </row>
    <row r="585" spans="1:27" ht="15.75" customHeight="1" x14ac:dyDescent="0.25">
      <c r="A585" s="149"/>
      <c r="B585" s="149"/>
      <c r="C585" s="149"/>
      <c r="D585" s="149"/>
      <c r="E585" s="149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  <c r="Q585" s="149"/>
      <c r="R585" s="149"/>
      <c r="S585" s="149"/>
      <c r="T585" s="149"/>
      <c r="U585" s="149"/>
      <c r="V585" s="149"/>
      <c r="W585" s="149"/>
      <c r="X585" s="149"/>
      <c r="Y585" s="149"/>
      <c r="Z585" s="149"/>
      <c r="AA585" s="149"/>
    </row>
    <row r="586" spans="1:27" ht="15.75" customHeight="1" x14ac:dyDescent="0.25">
      <c r="A586" s="149"/>
      <c r="B586" s="149"/>
      <c r="C586" s="149"/>
      <c r="D586" s="149"/>
      <c r="E586" s="149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  <c r="Q586" s="149"/>
      <c r="R586" s="149"/>
      <c r="S586" s="149"/>
      <c r="T586" s="149"/>
      <c r="U586" s="149"/>
      <c r="V586" s="149"/>
      <c r="W586" s="149"/>
      <c r="X586" s="149"/>
      <c r="Y586" s="149"/>
      <c r="Z586" s="149"/>
      <c r="AA586" s="149"/>
    </row>
    <row r="587" spans="1:27" ht="15.75" customHeight="1" x14ac:dyDescent="0.25">
      <c r="A587" s="149"/>
      <c r="B587" s="149"/>
      <c r="C587" s="149"/>
      <c r="D587" s="149"/>
      <c r="E587" s="149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  <c r="Q587" s="149"/>
      <c r="R587" s="149"/>
      <c r="S587" s="149"/>
      <c r="T587" s="149"/>
      <c r="U587" s="149"/>
      <c r="V587" s="149"/>
      <c r="W587" s="149"/>
      <c r="X587" s="149"/>
      <c r="Y587" s="149"/>
      <c r="Z587" s="149"/>
      <c r="AA587" s="149"/>
    </row>
    <row r="588" spans="1:27" ht="15.75" customHeight="1" x14ac:dyDescent="0.25">
      <c r="A588" s="149"/>
      <c r="B588" s="149"/>
      <c r="C588" s="149"/>
      <c r="D588" s="149"/>
      <c r="E588" s="149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  <c r="Q588" s="149"/>
      <c r="R588" s="149"/>
      <c r="S588" s="149"/>
      <c r="T588" s="149"/>
      <c r="U588" s="149"/>
      <c r="V588" s="149"/>
      <c r="W588" s="149"/>
      <c r="X588" s="149"/>
      <c r="Y588" s="149"/>
      <c r="Z588" s="149"/>
      <c r="AA588" s="149"/>
    </row>
    <row r="589" spans="1:27" ht="15.75" customHeight="1" x14ac:dyDescent="0.25">
      <c r="A589" s="149"/>
      <c r="B589" s="149"/>
      <c r="C589" s="149"/>
      <c r="D589" s="149"/>
      <c r="E589" s="149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  <c r="Q589" s="149"/>
      <c r="R589" s="149"/>
      <c r="S589" s="149"/>
      <c r="T589" s="149"/>
      <c r="U589" s="149"/>
      <c r="V589" s="149"/>
      <c r="W589" s="149"/>
      <c r="X589" s="149"/>
      <c r="Y589" s="149"/>
      <c r="Z589" s="149"/>
      <c r="AA589" s="149"/>
    </row>
    <row r="590" spans="1:27" ht="15.75" customHeight="1" x14ac:dyDescent="0.25">
      <c r="A590" s="149"/>
      <c r="B590" s="149"/>
      <c r="C590" s="149"/>
      <c r="D590" s="149"/>
      <c r="E590" s="14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  <c r="Q590" s="149"/>
      <c r="R590" s="149"/>
      <c r="S590" s="149"/>
      <c r="T590" s="149"/>
      <c r="U590" s="149"/>
      <c r="V590" s="149"/>
      <c r="W590" s="149"/>
      <c r="X590" s="149"/>
      <c r="Y590" s="149"/>
      <c r="Z590" s="149"/>
      <c r="AA590" s="149"/>
    </row>
    <row r="591" spans="1:27" ht="15.75" customHeight="1" x14ac:dyDescent="0.25">
      <c r="A591" s="149"/>
      <c r="B591" s="149"/>
      <c r="C591" s="149"/>
      <c r="D591" s="149"/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  <c r="Q591" s="149"/>
      <c r="R591" s="149"/>
      <c r="S591" s="149"/>
      <c r="T591" s="149"/>
      <c r="U591" s="149"/>
      <c r="V591" s="149"/>
      <c r="W591" s="149"/>
      <c r="X591" s="149"/>
      <c r="Y591" s="149"/>
      <c r="Z591" s="149"/>
      <c r="AA591" s="149"/>
    </row>
    <row r="592" spans="1:27" ht="15.75" customHeight="1" x14ac:dyDescent="0.25">
      <c r="A592" s="149"/>
      <c r="B592" s="149"/>
      <c r="C592" s="149"/>
      <c r="D592" s="149"/>
      <c r="E592" s="14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  <c r="Q592" s="149"/>
      <c r="R592" s="149"/>
      <c r="S592" s="149"/>
      <c r="T592" s="149"/>
      <c r="U592" s="149"/>
      <c r="V592" s="149"/>
      <c r="W592" s="149"/>
      <c r="X592" s="149"/>
      <c r="Y592" s="149"/>
      <c r="Z592" s="149"/>
      <c r="AA592" s="149"/>
    </row>
    <row r="593" spans="1:27" ht="15.75" customHeight="1" x14ac:dyDescent="0.25">
      <c r="A593" s="149"/>
      <c r="B593" s="149"/>
      <c r="C593" s="149"/>
      <c r="D593" s="149"/>
      <c r="E593" s="14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  <c r="Q593" s="149"/>
      <c r="R593" s="149"/>
      <c r="S593" s="149"/>
      <c r="T593" s="149"/>
      <c r="U593" s="149"/>
      <c r="V593" s="149"/>
      <c r="W593" s="149"/>
      <c r="X593" s="149"/>
      <c r="Y593" s="149"/>
      <c r="Z593" s="149"/>
      <c r="AA593" s="149"/>
    </row>
    <row r="594" spans="1:27" ht="15.75" customHeight="1" x14ac:dyDescent="0.25">
      <c r="A594" s="149"/>
      <c r="B594" s="149"/>
      <c r="C594" s="149"/>
      <c r="D594" s="149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  <c r="Q594" s="149"/>
      <c r="R594" s="149"/>
      <c r="S594" s="149"/>
      <c r="T594" s="149"/>
      <c r="U594" s="149"/>
      <c r="V594" s="149"/>
      <c r="W594" s="149"/>
      <c r="X594" s="149"/>
      <c r="Y594" s="149"/>
      <c r="Z594" s="149"/>
      <c r="AA594" s="149"/>
    </row>
    <row r="595" spans="1:27" ht="15.75" customHeight="1" x14ac:dyDescent="0.25">
      <c r="A595" s="149"/>
      <c r="B595" s="149"/>
      <c r="C595" s="149"/>
      <c r="D595" s="149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  <c r="Q595" s="149"/>
      <c r="R595" s="149"/>
      <c r="S595" s="149"/>
      <c r="T595" s="149"/>
      <c r="U595" s="149"/>
      <c r="V595" s="149"/>
      <c r="W595" s="149"/>
      <c r="X595" s="149"/>
      <c r="Y595" s="149"/>
      <c r="Z595" s="149"/>
      <c r="AA595" s="149"/>
    </row>
    <row r="596" spans="1:27" ht="15.75" customHeight="1" x14ac:dyDescent="0.25">
      <c r="A596" s="149"/>
      <c r="B596" s="149"/>
      <c r="C596" s="149"/>
      <c r="D596" s="149"/>
      <c r="E596" s="14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  <c r="Q596" s="149"/>
      <c r="R596" s="149"/>
      <c r="S596" s="149"/>
      <c r="T596" s="149"/>
      <c r="U596" s="149"/>
      <c r="V596" s="149"/>
      <c r="W596" s="149"/>
      <c r="X596" s="149"/>
      <c r="Y596" s="149"/>
      <c r="Z596" s="149"/>
      <c r="AA596" s="149"/>
    </row>
    <row r="597" spans="1:27" ht="15.75" customHeight="1" x14ac:dyDescent="0.25">
      <c r="A597" s="149"/>
      <c r="B597" s="149"/>
      <c r="C597" s="149"/>
      <c r="D597" s="149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  <c r="Q597" s="149"/>
      <c r="R597" s="149"/>
      <c r="S597" s="149"/>
      <c r="T597" s="149"/>
      <c r="U597" s="149"/>
      <c r="V597" s="149"/>
      <c r="W597" s="149"/>
      <c r="X597" s="149"/>
      <c r="Y597" s="149"/>
      <c r="Z597" s="149"/>
      <c r="AA597" s="149"/>
    </row>
    <row r="598" spans="1:27" ht="15.75" customHeight="1" x14ac:dyDescent="0.25">
      <c r="A598" s="149"/>
      <c r="B598" s="149"/>
      <c r="C598" s="149"/>
      <c r="D598" s="149"/>
      <c r="E598" s="14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  <c r="Q598" s="149"/>
      <c r="R598" s="149"/>
      <c r="S598" s="149"/>
      <c r="T598" s="149"/>
      <c r="U598" s="149"/>
      <c r="V598" s="149"/>
      <c r="W598" s="149"/>
      <c r="X598" s="149"/>
      <c r="Y598" s="149"/>
      <c r="Z598" s="149"/>
      <c r="AA598" s="149"/>
    </row>
    <row r="599" spans="1:27" ht="15.75" customHeight="1" x14ac:dyDescent="0.25">
      <c r="A599" s="149"/>
      <c r="B599" s="149"/>
      <c r="C599" s="149"/>
      <c r="D599" s="149"/>
      <c r="E599" s="14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  <c r="Q599" s="149"/>
      <c r="R599" s="149"/>
      <c r="S599" s="149"/>
      <c r="T599" s="149"/>
      <c r="U599" s="149"/>
      <c r="V599" s="149"/>
      <c r="W599" s="149"/>
      <c r="X599" s="149"/>
      <c r="Y599" s="149"/>
      <c r="Z599" s="149"/>
      <c r="AA599" s="149"/>
    </row>
    <row r="600" spans="1:27" ht="15.75" customHeight="1" x14ac:dyDescent="0.25">
      <c r="A600" s="149"/>
      <c r="B600" s="149"/>
      <c r="C600" s="149"/>
      <c r="D600" s="149"/>
      <c r="E600" s="14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  <c r="Q600" s="149"/>
      <c r="R600" s="149"/>
      <c r="S600" s="149"/>
      <c r="T600" s="149"/>
      <c r="U600" s="149"/>
      <c r="V600" s="149"/>
      <c r="W600" s="149"/>
      <c r="X600" s="149"/>
      <c r="Y600" s="149"/>
      <c r="Z600" s="149"/>
      <c r="AA600" s="149"/>
    </row>
    <row r="601" spans="1:27" ht="15.75" customHeight="1" x14ac:dyDescent="0.25">
      <c r="A601" s="149"/>
      <c r="B601" s="149"/>
      <c r="C601" s="149"/>
      <c r="D601" s="149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  <c r="Q601" s="149"/>
      <c r="R601" s="149"/>
      <c r="S601" s="149"/>
      <c r="T601" s="149"/>
      <c r="U601" s="149"/>
      <c r="V601" s="149"/>
      <c r="W601" s="149"/>
      <c r="X601" s="149"/>
      <c r="Y601" s="149"/>
      <c r="Z601" s="149"/>
      <c r="AA601" s="149"/>
    </row>
    <row r="602" spans="1:27" ht="15.75" customHeight="1" x14ac:dyDescent="0.25">
      <c r="A602" s="149"/>
      <c r="B602" s="149"/>
      <c r="C602" s="149"/>
      <c r="D602" s="149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  <c r="Q602" s="149"/>
      <c r="R602" s="149"/>
      <c r="S602" s="149"/>
      <c r="T602" s="149"/>
      <c r="U602" s="149"/>
      <c r="V602" s="149"/>
      <c r="W602" s="149"/>
      <c r="X602" s="149"/>
      <c r="Y602" s="149"/>
      <c r="Z602" s="149"/>
      <c r="AA602" s="149"/>
    </row>
    <row r="603" spans="1:27" ht="15.75" customHeight="1" x14ac:dyDescent="0.25">
      <c r="A603" s="149"/>
      <c r="B603" s="149"/>
      <c r="C603" s="149"/>
      <c r="D603" s="149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  <c r="Q603" s="149"/>
      <c r="R603" s="149"/>
      <c r="S603" s="149"/>
      <c r="T603" s="149"/>
      <c r="U603" s="149"/>
      <c r="V603" s="149"/>
      <c r="W603" s="149"/>
      <c r="X603" s="149"/>
      <c r="Y603" s="149"/>
      <c r="Z603" s="149"/>
      <c r="AA603" s="149"/>
    </row>
    <row r="604" spans="1:27" ht="15.75" customHeight="1" x14ac:dyDescent="0.25">
      <c r="A604" s="149"/>
      <c r="B604" s="149"/>
      <c r="C604" s="149"/>
      <c r="D604" s="149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  <c r="Q604" s="149"/>
      <c r="R604" s="149"/>
      <c r="S604" s="149"/>
      <c r="T604" s="149"/>
      <c r="U604" s="149"/>
      <c r="V604" s="149"/>
      <c r="W604" s="149"/>
      <c r="X604" s="149"/>
      <c r="Y604" s="149"/>
      <c r="Z604" s="149"/>
      <c r="AA604" s="149"/>
    </row>
    <row r="605" spans="1:27" ht="15.75" customHeight="1" x14ac:dyDescent="0.25">
      <c r="A605" s="149"/>
      <c r="B605" s="149"/>
      <c r="C605" s="149"/>
      <c r="D605" s="149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  <c r="Q605" s="149"/>
      <c r="R605" s="149"/>
      <c r="S605" s="149"/>
      <c r="T605" s="149"/>
      <c r="U605" s="149"/>
      <c r="V605" s="149"/>
      <c r="W605" s="149"/>
      <c r="X605" s="149"/>
      <c r="Y605" s="149"/>
      <c r="Z605" s="149"/>
      <c r="AA605" s="149"/>
    </row>
    <row r="606" spans="1:27" ht="15.75" customHeight="1" x14ac:dyDescent="0.25">
      <c r="A606" s="149"/>
      <c r="B606" s="149"/>
      <c r="C606" s="149"/>
      <c r="D606" s="149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  <c r="Q606" s="149"/>
      <c r="R606" s="149"/>
      <c r="S606" s="149"/>
      <c r="T606" s="149"/>
      <c r="U606" s="149"/>
      <c r="V606" s="149"/>
      <c r="W606" s="149"/>
      <c r="X606" s="149"/>
      <c r="Y606" s="149"/>
      <c r="Z606" s="149"/>
      <c r="AA606" s="149"/>
    </row>
    <row r="607" spans="1:27" ht="15.75" customHeight="1" x14ac:dyDescent="0.25">
      <c r="A607" s="149"/>
      <c r="B607" s="149"/>
      <c r="C607" s="149"/>
      <c r="D607" s="149"/>
      <c r="E607" s="14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  <c r="Q607" s="149"/>
      <c r="R607" s="149"/>
      <c r="S607" s="149"/>
      <c r="T607" s="149"/>
      <c r="U607" s="149"/>
      <c r="V607" s="149"/>
      <c r="W607" s="149"/>
      <c r="X607" s="149"/>
      <c r="Y607" s="149"/>
      <c r="Z607" s="149"/>
      <c r="AA607" s="149"/>
    </row>
    <row r="608" spans="1:27" ht="15.75" customHeight="1" x14ac:dyDescent="0.25">
      <c r="A608" s="149"/>
      <c r="B608" s="149"/>
      <c r="C608" s="149"/>
      <c r="D608" s="149"/>
      <c r="E608" s="14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  <c r="Q608" s="149"/>
      <c r="R608" s="149"/>
      <c r="S608" s="149"/>
      <c r="T608" s="149"/>
      <c r="U608" s="149"/>
      <c r="V608" s="149"/>
      <c r="W608" s="149"/>
      <c r="X608" s="149"/>
      <c r="Y608" s="149"/>
      <c r="Z608" s="149"/>
      <c r="AA608" s="149"/>
    </row>
    <row r="609" spans="1:27" ht="15.75" customHeight="1" x14ac:dyDescent="0.25">
      <c r="A609" s="149"/>
      <c r="B609" s="149"/>
      <c r="C609" s="149"/>
      <c r="D609" s="149"/>
      <c r="E609" s="14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  <c r="Q609" s="149"/>
      <c r="R609" s="149"/>
      <c r="S609" s="149"/>
      <c r="T609" s="149"/>
      <c r="U609" s="149"/>
      <c r="V609" s="149"/>
      <c r="W609" s="149"/>
      <c r="X609" s="149"/>
      <c r="Y609" s="149"/>
      <c r="Z609" s="149"/>
      <c r="AA609" s="149"/>
    </row>
    <row r="610" spans="1:27" ht="15.75" customHeight="1" x14ac:dyDescent="0.25">
      <c r="A610" s="149"/>
      <c r="B610" s="149"/>
      <c r="C610" s="149"/>
      <c r="D610" s="149"/>
      <c r="E610" s="14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  <c r="Q610" s="149"/>
      <c r="R610" s="149"/>
      <c r="S610" s="149"/>
      <c r="T610" s="149"/>
      <c r="U610" s="149"/>
      <c r="V610" s="149"/>
      <c r="W610" s="149"/>
      <c r="X610" s="149"/>
      <c r="Y610" s="149"/>
      <c r="Z610" s="149"/>
      <c r="AA610" s="149"/>
    </row>
    <row r="611" spans="1:27" ht="15.75" customHeight="1" x14ac:dyDescent="0.25">
      <c r="A611" s="149"/>
      <c r="B611" s="149"/>
      <c r="C611" s="149"/>
      <c r="D611" s="149"/>
      <c r="E611" s="14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  <c r="Q611" s="149"/>
      <c r="R611" s="149"/>
      <c r="S611" s="149"/>
      <c r="T611" s="149"/>
      <c r="U611" s="149"/>
      <c r="V611" s="149"/>
      <c r="W611" s="149"/>
      <c r="X611" s="149"/>
      <c r="Y611" s="149"/>
      <c r="Z611" s="149"/>
      <c r="AA611" s="149"/>
    </row>
    <row r="612" spans="1:27" ht="15.75" customHeight="1" x14ac:dyDescent="0.25">
      <c r="A612" s="149"/>
      <c r="B612" s="149"/>
      <c r="C612" s="149"/>
      <c r="D612" s="149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  <c r="Q612" s="149"/>
      <c r="R612" s="149"/>
      <c r="S612" s="149"/>
      <c r="T612" s="149"/>
      <c r="U612" s="149"/>
      <c r="V612" s="149"/>
      <c r="W612" s="149"/>
      <c r="X612" s="149"/>
      <c r="Y612" s="149"/>
      <c r="Z612" s="149"/>
      <c r="AA612" s="149"/>
    </row>
    <row r="613" spans="1:27" ht="15.75" customHeight="1" x14ac:dyDescent="0.25">
      <c r="A613" s="149"/>
      <c r="B613" s="149"/>
      <c r="C613" s="149"/>
      <c r="D613" s="149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  <c r="Q613" s="149"/>
      <c r="R613" s="149"/>
      <c r="S613" s="149"/>
      <c r="T613" s="149"/>
      <c r="U613" s="149"/>
      <c r="V613" s="149"/>
      <c r="W613" s="149"/>
      <c r="X613" s="149"/>
      <c r="Y613" s="149"/>
      <c r="Z613" s="149"/>
      <c r="AA613" s="149"/>
    </row>
    <row r="614" spans="1:27" ht="15.75" customHeight="1" x14ac:dyDescent="0.25">
      <c r="A614" s="149"/>
      <c r="B614" s="149"/>
      <c r="C614" s="149"/>
      <c r="D614" s="149"/>
      <c r="E614" s="14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  <c r="Q614" s="149"/>
      <c r="R614" s="149"/>
      <c r="S614" s="149"/>
      <c r="T614" s="149"/>
      <c r="U614" s="149"/>
      <c r="V614" s="149"/>
      <c r="W614" s="149"/>
      <c r="X614" s="149"/>
      <c r="Y614" s="149"/>
      <c r="Z614" s="149"/>
      <c r="AA614" s="149"/>
    </row>
    <row r="615" spans="1:27" ht="15.75" customHeight="1" x14ac:dyDescent="0.25">
      <c r="A615" s="149"/>
      <c r="B615" s="149"/>
      <c r="C615" s="149"/>
      <c r="D615" s="149"/>
      <c r="E615" s="14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  <c r="Q615" s="149"/>
      <c r="R615" s="149"/>
      <c r="S615" s="149"/>
      <c r="T615" s="149"/>
      <c r="U615" s="149"/>
      <c r="V615" s="149"/>
      <c r="W615" s="149"/>
      <c r="X615" s="149"/>
      <c r="Y615" s="149"/>
      <c r="Z615" s="149"/>
      <c r="AA615" s="149"/>
    </row>
    <row r="616" spans="1:27" ht="15.75" customHeight="1" x14ac:dyDescent="0.25">
      <c r="A616" s="149"/>
      <c r="B616" s="149"/>
      <c r="C616" s="149"/>
      <c r="D616" s="149"/>
      <c r="E616" s="14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  <c r="Q616" s="149"/>
      <c r="R616" s="149"/>
      <c r="S616" s="149"/>
      <c r="T616" s="149"/>
      <c r="U616" s="149"/>
      <c r="V616" s="149"/>
      <c r="W616" s="149"/>
      <c r="X616" s="149"/>
      <c r="Y616" s="149"/>
      <c r="Z616" s="149"/>
      <c r="AA616" s="149"/>
    </row>
    <row r="617" spans="1:27" ht="15.75" customHeight="1" x14ac:dyDescent="0.25">
      <c r="A617" s="149"/>
      <c r="B617" s="149"/>
      <c r="C617" s="149"/>
      <c r="D617" s="149"/>
      <c r="E617" s="14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  <c r="Q617" s="149"/>
      <c r="R617" s="149"/>
      <c r="S617" s="149"/>
      <c r="T617" s="149"/>
      <c r="U617" s="149"/>
      <c r="V617" s="149"/>
      <c r="W617" s="149"/>
      <c r="X617" s="149"/>
      <c r="Y617" s="149"/>
      <c r="Z617" s="149"/>
      <c r="AA617" s="149"/>
    </row>
    <row r="618" spans="1:27" ht="15.75" customHeight="1" x14ac:dyDescent="0.25">
      <c r="A618" s="149"/>
      <c r="B618" s="149"/>
      <c r="C618" s="149"/>
      <c r="D618" s="149"/>
      <c r="E618" s="14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  <c r="Q618" s="149"/>
      <c r="R618" s="149"/>
      <c r="S618" s="149"/>
      <c r="T618" s="149"/>
      <c r="U618" s="149"/>
      <c r="V618" s="149"/>
      <c r="W618" s="149"/>
      <c r="X618" s="149"/>
      <c r="Y618" s="149"/>
      <c r="Z618" s="149"/>
      <c r="AA618" s="149"/>
    </row>
    <row r="619" spans="1:27" ht="15.75" customHeight="1" x14ac:dyDescent="0.25">
      <c r="A619" s="149"/>
      <c r="B619" s="149"/>
      <c r="C619" s="149"/>
      <c r="D619" s="149"/>
      <c r="E619" s="14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  <c r="Q619" s="149"/>
      <c r="R619" s="149"/>
      <c r="S619" s="149"/>
      <c r="T619" s="149"/>
      <c r="U619" s="149"/>
      <c r="V619" s="149"/>
      <c r="W619" s="149"/>
      <c r="X619" s="149"/>
      <c r="Y619" s="149"/>
      <c r="Z619" s="149"/>
      <c r="AA619" s="149"/>
    </row>
    <row r="620" spans="1:27" ht="15.75" customHeight="1" x14ac:dyDescent="0.25">
      <c r="A620" s="149"/>
      <c r="B620" s="149"/>
      <c r="C620" s="149"/>
      <c r="D620" s="149"/>
      <c r="E620" s="14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  <c r="Q620" s="149"/>
      <c r="R620" s="149"/>
      <c r="S620" s="149"/>
      <c r="T620" s="149"/>
      <c r="U620" s="149"/>
      <c r="V620" s="149"/>
      <c r="W620" s="149"/>
      <c r="X620" s="149"/>
      <c r="Y620" s="149"/>
      <c r="Z620" s="149"/>
      <c r="AA620" s="149"/>
    </row>
    <row r="621" spans="1:27" ht="15.75" customHeight="1" x14ac:dyDescent="0.25">
      <c r="A621" s="149"/>
      <c r="B621" s="149"/>
      <c r="C621" s="149"/>
      <c r="D621" s="149"/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  <c r="Q621" s="149"/>
      <c r="R621" s="149"/>
      <c r="S621" s="149"/>
      <c r="T621" s="149"/>
      <c r="U621" s="149"/>
      <c r="V621" s="149"/>
      <c r="W621" s="149"/>
      <c r="X621" s="149"/>
      <c r="Y621" s="149"/>
      <c r="Z621" s="149"/>
      <c r="AA621" s="149"/>
    </row>
    <row r="622" spans="1:27" ht="15.75" customHeight="1" x14ac:dyDescent="0.25">
      <c r="A622" s="149"/>
      <c r="B622" s="149"/>
      <c r="C622" s="149"/>
      <c r="D622" s="149"/>
      <c r="E622" s="14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  <c r="Q622" s="149"/>
      <c r="R622" s="149"/>
      <c r="S622" s="149"/>
      <c r="T622" s="149"/>
      <c r="U622" s="149"/>
      <c r="V622" s="149"/>
      <c r="W622" s="149"/>
      <c r="X622" s="149"/>
      <c r="Y622" s="149"/>
      <c r="Z622" s="149"/>
      <c r="AA622" s="149"/>
    </row>
    <row r="623" spans="1:27" ht="15.75" customHeight="1" x14ac:dyDescent="0.25">
      <c r="A623" s="149"/>
      <c r="B623" s="149"/>
      <c r="C623" s="149"/>
      <c r="D623" s="149"/>
      <c r="E623" s="14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  <c r="Q623" s="149"/>
      <c r="R623" s="149"/>
      <c r="S623" s="149"/>
      <c r="T623" s="149"/>
      <c r="U623" s="149"/>
      <c r="V623" s="149"/>
      <c r="W623" s="149"/>
      <c r="X623" s="149"/>
      <c r="Y623" s="149"/>
      <c r="Z623" s="149"/>
      <c r="AA623" s="149"/>
    </row>
    <row r="624" spans="1:27" ht="15.75" customHeight="1" x14ac:dyDescent="0.25">
      <c r="A624" s="149"/>
      <c r="B624" s="149"/>
      <c r="C624" s="149"/>
      <c r="D624" s="149"/>
      <c r="E624" s="14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  <c r="Q624" s="149"/>
      <c r="R624" s="149"/>
      <c r="S624" s="149"/>
      <c r="T624" s="149"/>
      <c r="U624" s="149"/>
      <c r="V624" s="149"/>
      <c r="W624" s="149"/>
      <c r="X624" s="149"/>
      <c r="Y624" s="149"/>
      <c r="Z624" s="149"/>
      <c r="AA624" s="149"/>
    </row>
    <row r="625" spans="1:27" ht="15.75" customHeight="1" x14ac:dyDescent="0.25">
      <c r="A625" s="149"/>
      <c r="B625" s="149"/>
      <c r="C625" s="149"/>
      <c r="D625" s="149"/>
      <c r="E625" s="14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  <c r="Q625" s="149"/>
      <c r="R625" s="149"/>
      <c r="S625" s="149"/>
      <c r="T625" s="149"/>
      <c r="U625" s="149"/>
      <c r="V625" s="149"/>
      <c r="W625" s="149"/>
      <c r="X625" s="149"/>
      <c r="Y625" s="149"/>
      <c r="Z625" s="149"/>
      <c r="AA625" s="149"/>
    </row>
    <row r="626" spans="1:27" ht="15.75" customHeight="1" x14ac:dyDescent="0.25">
      <c r="A626" s="149"/>
      <c r="B626" s="149"/>
      <c r="C626" s="149"/>
      <c r="D626" s="149"/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  <c r="Q626" s="149"/>
      <c r="R626" s="149"/>
      <c r="S626" s="149"/>
      <c r="T626" s="149"/>
      <c r="U626" s="149"/>
      <c r="V626" s="149"/>
      <c r="W626" s="149"/>
      <c r="X626" s="149"/>
      <c r="Y626" s="149"/>
      <c r="Z626" s="149"/>
      <c r="AA626" s="149"/>
    </row>
    <row r="627" spans="1:27" ht="15.75" customHeight="1" x14ac:dyDescent="0.25">
      <c r="A627" s="149"/>
      <c r="B627" s="149"/>
      <c r="C627" s="149"/>
      <c r="D627" s="149"/>
      <c r="E627" s="14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  <c r="Q627" s="149"/>
      <c r="R627" s="149"/>
      <c r="S627" s="149"/>
      <c r="T627" s="149"/>
      <c r="U627" s="149"/>
      <c r="V627" s="149"/>
      <c r="W627" s="149"/>
      <c r="X627" s="149"/>
      <c r="Y627" s="149"/>
      <c r="Z627" s="149"/>
      <c r="AA627" s="149"/>
    </row>
    <row r="628" spans="1:27" ht="15.75" customHeight="1" x14ac:dyDescent="0.25">
      <c r="A628" s="149"/>
      <c r="B628" s="149"/>
      <c r="C628" s="149"/>
      <c r="D628" s="149"/>
      <c r="E628" s="14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  <c r="Q628" s="149"/>
      <c r="R628" s="149"/>
      <c r="S628" s="149"/>
      <c r="T628" s="149"/>
      <c r="U628" s="149"/>
      <c r="V628" s="149"/>
      <c r="W628" s="149"/>
      <c r="X628" s="149"/>
      <c r="Y628" s="149"/>
      <c r="Z628" s="149"/>
      <c r="AA628" s="149"/>
    </row>
    <row r="629" spans="1:27" ht="15.75" customHeight="1" x14ac:dyDescent="0.25">
      <c r="A629" s="149"/>
      <c r="B629" s="149"/>
      <c r="C629" s="149"/>
      <c r="D629" s="149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  <c r="Q629" s="149"/>
      <c r="R629" s="149"/>
      <c r="S629" s="149"/>
      <c r="T629" s="149"/>
      <c r="U629" s="149"/>
      <c r="V629" s="149"/>
      <c r="W629" s="149"/>
      <c r="X629" s="149"/>
      <c r="Y629" s="149"/>
      <c r="Z629" s="149"/>
      <c r="AA629" s="149"/>
    </row>
    <row r="630" spans="1:27" ht="15.75" customHeight="1" x14ac:dyDescent="0.25">
      <c r="A630" s="149"/>
      <c r="B630" s="149"/>
      <c r="C630" s="149"/>
      <c r="D630" s="149"/>
      <c r="E630" s="14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  <c r="Q630" s="149"/>
      <c r="R630" s="149"/>
      <c r="S630" s="149"/>
      <c r="T630" s="149"/>
      <c r="U630" s="149"/>
      <c r="V630" s="149"/>
      <c r="W630" s="149"/>
      <c r="X630" s="149"/>
      <c r="Y630" s="149"/>
      <c r="Z630" s="149"/>
      <c r="AA630" s="149"/>
    </row>
    <row r="631" spans="1:27" ht="15.75" customHeight="1" x14ac:dyDescent="0.25">
      <c r="A631" s="149"/>
      <c r="B631" s="149"/>
      <c r="C631" s="149"/>
      <c r="D631" s="149"/>
      <c r="E631" s="14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  <c r="Q631" s="149"/>
      <c r="R631" s="149"/>
      <c r="S631" s="149"/>
      <c r="T631" s="149"/>
      <c r="U631" s="149"/>
      <c r="V631" s="149"/>
      <c r="W631" s="149"/>
      <c r="X631" s="149"/>
      <c r="Y631" s="149"/>
      <c r="Z631" s="149"/>
      <c r="AA631" s="149"/>
    </row>
    <row r="632" spans="1:27" ht="15.75" customHeight="1" x14ac:dyDescent="0.25">
      <c r="A632" s="149"/>
      <c r="B632" s="149"/>
      <c r="C632" s="149"/>
      <c r="D632" s="149"/>
      <c r="E632" s="14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  <c r="Q632" s="149"/>
      <c r="R632" s="149"/>
      <c r="S632" s="149"/>
      <c r="T632" s="149"/>
      <c r="U632" s="149"/>
      <c r="V632" s="149"/>
      <c r="W632" s="149"/>
      <c r="X632" s="149"/>
      <c r="Y632" s="149"/>
      <c r="Z632" s="149"/>
      <c r="AA632" s="149"/>
    </row>
    <row r="633" spans="1:27" ht="15.75" customHeight="1" x14ac:dyDescent="0.25">
      <c r="A633" s="149"/>
      <c r="B633" s="149"/>
      <c r="C633" s="149"/>
      <c r="D633" s="149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  <c r="Q633" s="149"/>
      <c r="R633" s="149"/>
      <c r="S633" s="149"/>
      <c r="T633" s="149"/>
      <c r="U633" s="149"/>
      <c r="V633" s="149"/>
      <c r="W633" s="149"/>
      <c r="X633" s="149"/>
      <c r="Y633" s="149"/>
      <c r="Z633" s="149"/>
      <c r="AA633" s="149"/>
    </row>
    <row r="634" spans="1:27" ht="15.75" customHeight="1" x14ac:dyDescent="0.25">
      <c r="A634" s="149"/>
      <c r="B634" s="149"/>
      <c r="C634" s="149"/>
      <c r="D634" s="149"/>
      <c r="E634" s="14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  <c r="Q634" s="149"/>
      <c r="R634" s="149"/>
      <c r="S634" s="149"/>
      <c r="T634" s="149"/>
      <c r="U634" s="149"/>
      <c r="V634" s="149"/>
      <c r="W634" s="149"/>
      <c r="X634" s="149"/>
      <c r="Y634" s="149"/>
      <c r="Z634" s="149"/>
      <c r="AA634" s="149"/>
    </row>
    <row r="635" spans="1:27" ht="15.75" customHeight="1" x14ac:dyDescent="0.25">
      <c r="A635" s="149"/>
      <c r="B635" s="149"/>
      <c r="C635" s="149"/>
      <c r="D635" s="149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  <c r="Q635" s="149"/>
      <c r="R635" s="149"/>
      <c r="S635" s="149"/>
      <c r="T635" s="149"/>
      <c r="U635" s="149"/>
      <c r="V635" s="149"/>
      <c r="W635" s="149"/>
      <c r="X635" s="149"/>
      <c r="Y635" s="149"/>
      <c r="Z635" s="149"/>
      <c r="AA635" s="149"/>
    </row>
    <row r="636" spans="1:27" ht="15.75" customHeight="1" x14ac:dyDescent="0.25">
      <c r="A636" s="149"/>
      <c r="B636" s="149"/>
      <c r="C636" s="149"/>
      <c r="D636" s="149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  <c r="Q636" s="149"/>
      <c r="R636" s="149"/>
      <c r="S636" s="149"/>
      <c r="T636" s="149"/>
      <c r="U636" s="149"/>
      <c r="V636" s="149"/>
      <c r="W636" s="149"/>
      <c r="X636" s="149"/>
      <c r="Y636" s="149"/>
      <c r="Z636" s="149"/>
      <c r="AA636" s="149"/>
    </row>
    <row r="637" spans="1:27" ht="15.75" customHeight="1" x14ac:dyDescent="0.25">
      <c r="A637" s="149"/>
      <c r="B637" s="149"/>
      <c r="C637" s="149"/>
      <c r="D637" s="149"/>
      <c r="E637" s="14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  <c r="Q637" s="149"/>
      <c r="R637" s="149"/>
      <c r="S637" s="149"/>
      <c r="T637" s="149"/>
      <c r="U637" s="149"/>
      <c r="V637" s="149"/>
      <c r="W637" s="149"/>
      <c r="X637" s="149"/>
      <c r="Y637" s="149"/>
      <c r="Z637" s="149"/>
      <c r="AA637" s="149"/>
    </row>
    <row r="638" spans="1:27" ht="15.75" customHeight="1" x14ac:dyDescent="0.25">
      <c r="A638" s="149"/>
      <c r="B638" s="149"/>
      <c r="C638" s="149"/>
      <c r="D638" s="149"/>
      <c r="E638" s="14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  <c r="Q638" s="149"/>
      <c r="R638" s="149"/>
      <c r="S638" s="149"/>
      <c r="T638" s="149"/>
      <c r="U638" s="149"/>
      <c r="V638" s="149"/>
      <c r="W638" s="149"/>
      <c r="X638" s="149"/>
      <c r="Y638" s="149"/>
      <c r="Z638" s="149"/>
      <c r="AA638" s="149"/>
    </row>
    <row r="639" spans="1:27" ht="15.75" customHeight="1" x14ac:dyDescent="0.25">
      <c r="A639" s="149"/>
      <c r="B639" s="149"/>
      <c r="C639" s="149"/>
      <c r="D639" s="149"/>
      <c r="E639" s="14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  <c r="Q639" s="149"/>
      <c r="R639" s="149"/>
      <c r="S639" s="149"/>
      <c r="T639" s="149"/>
      <c r="U639" s="149"/>
      <c r="V639" s="149"/>
      <c r="W639" s="149"/>
      <c r="X639" s="149"/>
      <c r="Y639" s="149"/>
      <c r="Z639" s="149"/>
      <c r="AA639" s="149"/>
    </row>
    <row r="640" spans="1:27" ht="15.75" customHeight="1" x14ac:dyDescent="0.25">
      <c r="A640" s="149"/>
      <c r="B640" s="149"/>
      <c r="C640" s="149"/>
      <c r="D640" s="149"/>
      <c r="E640" s="14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  <c r="Q640" s="149"/>
      <c r="R640" s="149"/>
      <c r="S640" s="149"/>
      <c r="T640" s="149"/>
      <c r="U640" s="149"/>
      <c r="V640" s="149"/>
      <c r="W640" s="149"/>
      <c r="X640" s="149"/>
      <c r="Y640" s="149"/>
      <c r="Z640" s="149"/>
      <c r="AA640" s="149"/>
    </row>
    <row r="641" spans="1:27" ht="15.75" customHeight="1" x14ac:dyDescent="0.25">
      <c r="A641" s="149"/>
      <c r="B641" s="149"/>
      <c r="C641" s="149"/>
      <c r="D641" s="149"/>
      <c r="E641" s="14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  <c r="Q641" s="149"/>
      <c r="R641" s="149"/>
      <c r="S641" s="149"/>
      <c r="T641" s="149"/>
      <c r="U641" s="149"/>
      <c r="V641" s="149"/>
      <c r="W641" s="149"/>
      <c r="X641" s="149"/>
      <c r="Y641" s="149"/>
      <c r="Z641" s="149"/>
      <c r="AA641" s="149"/>
    </row>
    <row r="642" spans="1:27" ht="15.75" customHeight="1" x14ac:dyDescent="0.25">
      <c r="A642" s="149"/>
      <c r="B642" s="149"/>
      <c r="C642" s="149"/>
      <c r="D642" s="149"/>
      <c r="E642" s="14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  <c r="Q642" s="149"/>
      <c r="R642" s="149"/>
      <c r="S642" s="149"/>
      <c r="T642" s="149"/>
      <c r="U642" s="149"/>
      <c r="V642" s="149"/>
      <c r="W642" s="149"/>
      <c r="X642" s="149"/>
      <c r="Y642" s="149"/>
      <c r="Z642" s="149"/>
      <c r="AA642" s="149"/>
    </row>
    <row r="643" spans="1:27" ht="15.75" customHeight="1" x14ac:dyDescent="0.25">
      <c r="A643" s="149"/>
      <c r="B643" s="149"/>
      <c r="C643" s="149"/>
      <c r="D643" s="149"/>
      <c r="E643" s="14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  <c r="Q643" s="149"/>
      <c r="R643" s="149"/>
      <c r="S643" s="149"/>
      <c r="T643" s="149"/>
      <c r="U643" s="149"/>
      <c r="V643" s="149"/>
      <c r="W643" s="149"/>
      <c r="X643" s="149"/>
      <c r="Y643" s="149"/>
      <c r="Z643" s="149"/>
      <c r="AA643" s="149"/>
    </row>
    <row r="644" spans="1:27" ht="15.75" customHeight="1" x14ac:dyDescent="0.25">
      <c r="A644" s="149"/>
      <c r="B644" s="149"/>
      <c r="C644" s="149"/>
      <c r="D644" s="149"/>
      <c r="E644" s="14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  <c r="Q644" s="149"/>
      <c r="R644" s="149"/>
      <c r="S644" s="149"/>
      <c r="T644" s="149"/>
      <c r="U644" s="149"/>
      <c r="V644" s="149"/>
      <c r="W644" s="149"/>
      <c r="X644" s="149"/>
      <c r="Y644" s="149"/>
      <c r="Z644" s="149"/>
      <c r="AA644" s="149"/>
    </row>
    <row r="645" spans="1:27" ht="15.75" customHeight="1" x14ac:dyDescent="0.25">
      <c r="A645" s="149"/>
      <c r="B645" s="149"/>
      <c r="C645" s="149"/>
      <c r="D645" s="149"/>
      <c r="E645" s="14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  <c r="Q645" s="149"/>
      <c r="R645" s="149"/>
      <c r="S645" s="149"/>
      <c r="T645" s="149"/>
      <c r="U645" s="149"/>
      <c r="V645" s="149"/>
      <c r="W645" s="149"/>
      <c r="X645" s="149"/>
      <c r="Y645" s="149"/>
      <c r="Z645" s="149"/>
      <c r="AA645" s="149"/>
    </row>
    <row r="646" spans="1:27" ht="15.75" customHeight="1" x14ac:dyDescent="0.25">
      <c r="A646" s="149"/>
      <c r="B646" s="149"/>
      <c r="C646" s="149"/>
      <c r="D646" s="149"/>
      <c r="E646" s="14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  <c r="Q646" s="149"/>
      <c r="R646" s="149"/>
      <c r="S646" s="149"/>
      <c r="T646" s="149"/>
      <c r="U646" s="149"/>
      <c r="V646" s="149"/>
      <c r="W646" s="149"/>
      <c r="X646" s="149"/>
      <c r="Y646" s="149"/>
      <c r="Z646" s="149"/>
      <c r="AA646" s="149"/>
    </row>
    <row r="647" spans="1:27" ht="15.75" customHeight="1" x14ac:dyDescent="0.25">
      <c r="A647" s="149"/>
      <c r="B647" s="149"/>
      <c r="C647" s="149"/>
      <c r="D647" s="149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  <c r="Q647" s="149"/>
      <c r="R647" s="149"/>
      <c r="S647" s="149"/>
      <c r="T647" s="149"/>
      <c r="U647" s="149"/>
      <c r="V647" s="149"/>
      <c r="W647" s="149"/>
      <c r="X647" s="149"/>
      <c r="Y647" s="149"/>
      <c r="Z647" s="149"/>
      <c r="AA647" s="149"/>
    </row>
    <row r="648" spans="1:27" ht="15.75" customHeight="1" x14ac:dyDescent="0.25">
      <c r="A648" s="149"/>
      <c r="B648" s="149"/>
      <c r="C648" s="149"/>
      <c r="D648" s="149"/>
      <c r="E648" s="14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  <c r="Q648" s="149"/>
      <c r="R648" s="149"/>
      <c r="S648" s="149"/>
      <c r="T648" s="149"/>
      <c r="U648" s="149"/>
      <c r="V648" s="149"/>
      <c r="W648" s="149"/>
      <c r="X648" s="149"/>
      <c r="Y648" s="149"/>
      <c r="Z648" s="149"/>
      <c r="AA648" s="149"/>
    </row>
    <row r="649" spans="1:27" ht="15.75" customHeight="1" x14ac:dyDescent="0.25">
      <c r="A649" s="149"/>
      <c r="B649" s="149"/>
      <c r="C649" s="149"/>
      <c r="D649" s="149"/>
      <c r="E649" s="14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  <c r="Q649" s="149"/>
      <c r="R649" s="149"/>
      <c r="S649" s="149"/>
      <c r="T649" s="149"/>
      <c r="U649" s="149"/>
      <c r="V649" s="149"/>
      <c r="W649" s="149"/>
      <c r="X649" s="149"/>
      <c r="Y649" s="149"/>
      <c r="Z649" s="149"/>
      <c r="AA649" s="149"/>
    </row>
    <row r="650" spans="1:27" ht="15.75" customHeight="1" x14ac:dyDescent="0.25">
      <c r="A650" s="149"/>
      <c r="B650" s="149"/>
      <c r="C650" s="149"/>
      <c r="D650" s="149"/>
      <c r="E650" s="14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  <c r="Q650" s="149"/>
      <c r="R650" s="149"/>
      <c r="S650" s="149"/>
      <c r="T650" s="149"/>
      <c r="U650" s="149"/>
      <c r="V650" s="149"/>
      <c r="W650" s="149"/>
      <c r="X650" s="149"/>
      <c r="Y650" s="149"/>
      <c r="Z650" s="149"/>
      <c r="AA650" s="149"/>
    </row>
    <row r="651" spans="1:27" ht="15.75" customHeight="1" x14ac:dyDescent="0.25">
      <c r="A651" s="149"/>
      <c r="B651" s="149"/>
      <c r="C651" s="149"/>
      <c r="D651" s="149"/>
      <c r="E651" s="14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  <c r="Q651" s="149"/>
      <c r="R651" s="149"/>
      <c r="S651" s="149"/>
      <c r="T651" s="149"/>
      <c r="U651" s="149"/>
      <c r="V651" s="149"/>
      <c r="W651" s="149"/>
      <c r="X651" s="149"/>
      <c r="Y651" s="149"/>
      <c r="Z651" s="149"/>
      <c r="AA651" s="149"/>
    </row>
    <row r="652" spans="1:27" ht="15.75" customHeight="1" x14ac:dyDescent="0.25">
      <c r="A652" s="149"/>
      <c r="B652" s="149"/>
      <c r="C652" s="149"/>
      <c r="D652" s="149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  <c r="Q652" s="149"/>
      <c r="R652" s="149"/>
      <c r="S652" s="149"/>
      <c r="T652" s="149"/>
      <c r="U652" s="149"/>
      <c r="V652" s="149"/>
      <c r="W652" s="149"/>
      <c r="X652" s="149"/>
      <c r="Y652" s="149"/>
      <c r="Z652" s="149"/>
      <c r="AA652" s="149"/>
    </row>
    <row r="653" spans="1:27" ht="15.75" customHeight="1" x14ac:dyDescent="0.25">
      <c r="A653" s="149"/>
      <c r="B653" s="149"/>
      <c r="C653" s="149"/>
      <c r="D653" s="149"/>
      <c r="E653" s="14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  <c r="Q653" s="149"/>
      <c r="R653" s="149"/>
      <c r="S653" s="149"/>
      <c r="T653" s="149"/>
      <c r="U653" s="149"/>
      <c r="V653" s="149"/>
      <c r="W653" s="149"/>
      <c r="X653" s="149"/>
      <c r="Y653" s="149"/>
      <c r="Z653" s="149"/>
      <c r="AA653" s="149"/>
    </row>
    <row r="654" spans="1:27" ht="15.75" customHeight="1" x14ac:dyDescent="0.25">
      <c r="A654" s="149"/>
      <c r="B654" s="149"/>
      <c r="C654" s="149"/>
      <c r="D654" s="149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  <c r="Q654" s="149"/>
      <c r="R654" s="149"/>
      <c r="S654" s="149"/>
      <c r="T654" s="149"/>
      <c r="U654" s="149"/>
      <c r="V654" s="149"/>
      <c r="W654" s="149"/>
      <c r="X654" s="149"/>
      <c r="Y654" s="149"/>
      <c r="Z654" s="149"/>
      <c r="AA654" s="149"/>
    </row>
    <row r="655" spans="1:27" ht="15.75" customHeight="1" x14ac:dyDescent="0.25">
      <c r="A655" s="149"/>
      <c r="B655" s="149"/>
      <c r="C655" s="149"/>
      <c r="D655" s="149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  <c r="Q655" s="149"/>
      <c r="R655" s="149"/>
      <c r="S655" s="149"/>
      <c r="T655" s="149"/>
      <c r="U655" s="149"/>
      <c r="V655" s="149"/>
      <c r="W655" s="149"/>
      <c r="X655" s="149"/>
      <c r="Y655" s="149"/>
      <c r="Z655" s="149"/>
      <c r="AA655" s="149"/>
    </row>
    <row r="656" spans="1:27" ht="15.75" customHeight="1" x14ac:dyDescent="0.25">
      <c r="A656" s="149"/>
      <c r="B656" s="149"/>
      <c r="C656" s="149"/>
      <c r="D656" s="149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  <c r="Q656" s="149"/>
      <c r="R656" s="149"/>
      <c r="S656" s="149"/>
      <c r="T656" s="149"/>
      <c r="U656" s="149"/>
      <c r="V656" s="149"/>
      <c r="W656" s="149"/>
      <c r="X656" s="149"/>
      <c r="Y656" s="149"/>
      <c r="Z656" s="149"/>
      <c r="AA656" s="149"/>
    </row>
    <row r="657" spans="1:27" ht="15.75" customHeight="1" x14ac:dyDescent="0.25">
      <c r="A657" s="149"/>
      <c r="B657" s="149"/>
      <c r="C657" s="149"/>
      <c r="D657" s="149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  <c r="Q657" s="149"/>
      <c r="R657" s="149"/>
      <c r="S657" s="149"/>
      <c r="T657" s="149"/>
      <c r="U657" s="149"/>
      <c r="V657" s="149"/>
      <c r="W657" s="149"/>
      <c r="X657" s="149"/>
      <c r="Y657" s="149"/>
      <c r="Z657" s="149"/>
      <c r="AA657" s="149"/>
    </row>
    <row r="658" spans="1:27" ht="15.75" customHeight="1" x14ac:dyDescent="0.25">
      <c r="A658" s="149"/>
      <c r="B658" s="149"/>
      <c r="C658" s="149"/>
      <c r="D658" s="149"/>
      <c r="E658" s="14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  <c r="Q658" s="149"/>
      <c r="R658" s="149"/>
      <c r="S658" s="149"/>
      <c r="T658" s="149"/>
      <c r="U658" s="149"/>
      <c r="V658" s="149"/>
      <c r="W658" s="149"/>
      <c r="X658" s="149"/>
      <c r="Y658" s="149"/>
      <c r="Z658" s="149"/>
      <c r="AA658" s="149"/>
    </row>
    <row r="659" spans="1:27" ht="15.75" customHeight="1" x14ac:dyDescent="0.25">
      <c r="A659" s="149"/>
      <c r="B659" s="149"/>
      <c r="C659" s="149"/>
      <c r="D659" s="149"/>
      <c r="E659" s="14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  <c r="Q659" s="149"/>
      <c r="R659" s="149"/>
      <c r="S659" s="149"/>
      <c r="T659" s="149"/>
      <c r="U659" s="149"/>
      <c r="V659" s="149"/>
      <c r="W659" s="149"/>
      <c r="X659" s="149"/>
      <c r="Y659" s="149"/>
      <c r="Z659" s="149"/>
      <c r="AA659" s="149"/>
    </row>
    <row r="660" spans="1:27" ht="15.75" customHeight="1" x14ac:dyDescent="0.25">
      <c r="A660" s="149"/>
      <c r="B660" s="149"/>
      <c r="C660" s="149"/>
      <c r="D660" s="149"/>
      <c r="E660" s="14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  <c r="Q660" s="149"/>
      <c r="R660" s="149"/>
      <c r="S660" s="149"/>
      <c r="T660" s="149"/>
      <c r="U660" s="149"/>
      <c r="V660" s="149"/>
      <c r="W660" s="149"/>
      <c r="X660" s="149"/>
      <c r="Y660" s="149"/>
      <c r="Z660" s="149"/>
      <c r="AA660" s="149"/>
    </row>
    <row r="661" spans="1:27" ht="15.75" customHeight="1" x14ac:dyDescent="0.25">
      <c r="A661" s="149"/>
      <c r="B661" s="149"/>
      <c r="C661" s="149"/>
      <c r="D661" s="149"/>
      <c r="E661" s="14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  <c r="Q661" s="149"/>
      <c r="R661" s="149"/>
      <c r="S661" s="149"/>
      <c r="T661" s="149"/>
      <c r="U661" s="149"/>
      <c r="V661" s="149"/>
      <c r="W661" s="149"/>
      <c r="X661" s="149"/>
      <c r="Y661" s="149"/>
      <c r="Z661" s="149"/>
      <c r="AA661" s="149"/>
    </row>
    <row r="662" spans="1:27" ht="15.75" customHeight="1" x14ac:dyDescent="0.25">
      <c r="A662" s="149"/>
      <c r="B662" s="149"/>
      <c r="C662" s="149"/>
      <c r="D662" s="149"/>
      <c r="E662" s="14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  <c r="Q662" s="149"/>
      <c r="R662" s="149"/>
      <c r="S662" s="149"/>
      <c r="T662" s="149"/>
      <c r="U662" s="149"/>
      <c r="V662" s="149"/>
      <c r="W662" s="149"/>
      <c r="X662" s="149"/>
      <c r="Y662" s="149"/>
      <c r="Z662" s="149"/>
      <c r="AA662" s="149"/>
    </row>
    <row r="663" spans="1:27" ht="15.75" customHeight="1" x14ac:dyDescent="0.25">
      <c r="A663" s="149"/>
      <c r="B663" s="149"/>
      <c r="C663" s="149"/>
      <c r="D663" s="149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  <c r="Q663" s="149"/>
      <c r="R663" s="149"/>
      <c r="S663" s="149"/>
      <c r="T663" s="149"/>
      <c r="U663" s="149"/>
      <c r="V663" s="149"/>
      <c r="W663" s="149"/>
      <c r="X663" s="149"/>
      <c r="Y663" s="149"/>
      <c r="Z663" s="149"/>
      <c r="AA663" s="149"/>
    </row>
    <row r="664" spans="1:27" ht="15.75" customHeight="1" x14ac:dyDescent="0.25">
      <c r="A664" s="149"/>
      <c r="B664" s="149"/>
      <c r="C664" s="149"/>
      <c r="D664" s="149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  <c r="Q664" s="149"/>
      <c r="R664" s="149"/>
      <c r="S664" s="149"/>
      <c r="T664" s="149"/>
      <c r="U664" s="149"/>
      <c r="V664" s="149"/>
      <c r="W664" s="149"/>
      <c r="X664" s="149"/>
      <c r="Y664" s="149"/>
      <c r="Z664" s="149"/>
      <c r="AA664" s="149"/>
    </row>
    <row r="665" spans="1:27" ht="15.75" customHeight="1" x14ac:dyDescent="0.25">
      <c r="A665" s="149"/>
      <c r="B665" s="149"/>
      <c r="C665" s="149"/>
      <c r="D665" s="149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  <c r="Q665" s="149"/>
      <c r="R665" s="149"/>
      <c r="S665" s="149"/>
      <c r="T665" s="149"/>
      <c r="U665" s="149"/>
      <c r="V665" s="149"/>
      <c r="W665" s="149"/>
      <c r="X665" s="149"/>
      <c r="Y665" s="149"/>
      <c r="Z665" s="149"/>
      <c r="AA665" s="149"/>
    </row>
    <row r="666" spans="1:27" ht="15.75" customHeight="1" x14ac:dyDescent="0.25">
      <c r="A666" s="149"/>
      <c r="B666" s="149"/>
      <c r="C666" s="149"/>
      <c r="D666" s="149"/>
      <c r="E666" s="14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  <c r="Q666" s="149"/>
      <c r="R666" s="149"/>
      <c r="S666" s="149"/>
      <c r="T666" s="149"/>
      <c r="U666" s="149"/>
      <c r="V666" s="149"/>
      <c r="W666" s="149"/>
      <c r="X666" s="149"/>
      <c r="Y666" s="149"/>
      <c r="Z666" s="149"/>
      <c r="AA666" s="149"/>
    </row>
    <row r="667" spans="1:27" ht="15.75" customHeight="1" x14ac:dyDescent="0.25">
      <c r="A667" s="149"/>
      <c r="B667" s="149"/>
      <c r="C667" s="149"/>
      <c r="D667" s="149"/>
      <c r="E667" s="14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  <c r="Q667" s="149"/>
      <c r="R667" s="149"/>
      <c r="S667" s="149"/>
      <c r="T667" s="149"/>
      <c r="U667" s="149"/>
      <c r="V667" s="149"/>
      <c r="W667" s="149"/>
      <c r="X667" s="149"/>
      <c r="Y667" s="149"/>
      <c r="Z667" s="149"/>
      <c r="AA667" s="149"/>
    </row>
    <row r="668" spans="1:27" ht="15.75" customHeight="1" x14ac:dyDescent="0.25">
      <c r="A668" s="149"/>
      <c r="B668" s="149"/>
      <c r="C668" s="149"/>
      <c r="D668" s="149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  <c r="Q668" s="149"/>
      <c r="R668" s="149"/>
      <c r="S668" s="149"/>
      <c r="T668" s="149"/>
      <c r="U668" s="149"/>
      <c r="V668" s="149"/>
      <c r="W668" s="149"/>
      <c r="X668" s="149"/>
      <c r="Y668" s="149"/>
      <c r="Z668" s="149"/>
      <c r="AA668" s="149"/>
    </row>
    <row r="669" spans="1:27" ht="15.75" customHeight="1" x14ac:dyDescent="0.25">
      <c r="A669" s="149"/>
      <c r="B669" s="149"/>
      <c r="C669" s="149"/>
      <c r="D669" s="149"/>
      <c r="E669" s="14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  <c r="Q669" s="149"/>
      <c r="R669" s="149"/>
      <c r="S669" s="149"/>
      <c r="T669" s="149"/>
      <c r="U669" s="149"/>
      <c r="V669" s="149"/>
      <c r="W669" s="149"/>
      <c r="X669" s="149"/>
      <c r="Y669" s="149"/>
      <c r="Z669" s="149"/>
      <c r="AA669" s="149"/>
    </row>
    <row r="670" spans="1:27" ht="15.75" customHeight="1" x14ac:dyDescent="0.25">
      <c r="A670" s="149"/>
      <c r="B670" s="149"/>
      <c r="C670" s="149"/>
      <c r="D670" s="149"/>
      <c r="E670" s="14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  <c r="Q670" s="149"/>
      <c r="R670" s="149"/>
      <c r="S670" s="149"/>
      <c r="T670" s="149"/>
      <c r="U670" s="149"/>
      <c r="V670" s="149"/>
      <c r="W670" s="149"/>
      <c r="X670" s="149"/>
      <c r="Y670" s="149"/>
      <c r="Z670" s="149"/>
      <c r="AA670" s="149"/>
    </row>
    <row r="671" spans="1:27" ht="15.75" customHeight="1" x14ac:dyDescent="0.25">
      <c r="A671" s="149"/>
      <c r="B671" s="149"/>
      <c r="C671" s="149"/>
      <c r="D671" s="149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  <c r="Q671" s="149"/>
      <c r="R671" s="149"/>
      <c r="S671" s="149"/>
      <c r="T671" s="149"/>
      <c r="U671" s="149"/>
      <c r="V671" s="149"/>
      <c r="W671" s="149"/>
      <c r="X671" s="149"/>
      <c r="Y671" s="149"/>
      <c r="Z671" s="149"/>
      <c r="AA671" s="149"/>
    </row>
    <row r="672" spans="1:27" ht="15.75" customHeight="1" x14ac:dyDescent="0.25">
      <c r="A672" s="149"/>
      <c r="B672" s="149"/>
      <c r="C672" s="149"/>
      <c r="D672" s="149"/>
      <c r="E672" s="14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  <c r="Q672" s="149"/>
      <c r="R672" s="149"/>
      <c r="S672" s="149"/>
      <c r="T672" s="149"/>
      <c r="U672" s="149"/>
      <c r="V672" s="149"/>
      <c r="W672" s="149"/>
      <c r="X672" s="149"/>
      <c r="Y672" s="149"/>
      <c r="Z672" s="149"/>
      <c r="AA672" s="149"/>
    </row>
    <row r="673" spans="1:27" ht="15.75" customHeight="1" x14ac:dyDescent="0.25">
      <c r="A673" s="149"/>
      <c r="B673" s="149"/>
      <c r="C673" s="149"/>
      <c r="D673" s="149"/>
      <c r="E673" s="14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  <c r="Q673" s="149"/>
      <c r="R673" s="149"/>
      <c r="S673" s="149"/>
      <c r="T673" s="149"/>
      <c r="U673" s="149"/>
      <c r="V673" s="149"/>
      <c r="W673" s="149"/>
      <c r="X673" s="149"/>
      <c r="Y673" s="149"/>
      <c r="Z673" s="149"/>
      <c r="AA673" s="149"/>
    </row>
    <row r="674" spans="1:27" ht="15.75" customHeight="1" x14ac:dyDescent="0.25">
      <c r="A674" s="149"/>
      <c r="B674" s="149"/>
      <c r="C674" s="149"/>
      <c r="D674" s="149"/>
      <c r="E674" s="14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  <c r="Q674" s="149"/>
      <c r="R674" s="149"/>
      <c r="S674" s="149"/>
      <c r="T674" s="149"/>
      <c r="U674" s="149"/>
      <c r="V674" s="149"/>
      <c r="W674" s="149"/>
      <c r="X674" s="149"/>
      <c r="Y674" s="149"/>
      <c r="Z674" s="149"/>
      <c r="AA674" s="149"/>
    </row>
    <row r="675" spans="1:27" ht="15.75" customHeight="1" x14ac:dyDescent="0.25">
      <c r="A675" s="149"/>
      <c r="B675" s="149"/>
      <c r="C675" s="149"/>
      <c r="D675" s="149"/>
      <c r="E675" s="14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  <c r="Q675" s="149"/>
      <c r="R675" s="149"/>
      <c r="S675" s="149"/>
      <c r="T675" s="149"/>
      <c r="U675" s="149"/>
      <c r="V675" s="149"/>
      <c r="W675" s="149"/>
      <c r="X675" s="149"/>
      <c r="Y675" s="149"/>
      <c r="Z675" s="149"/>
      <c r="AA675" s="149"/>
    </row>
    <row r="676" spans="1:27" ht="15.75" customHeight="1" x14ac:dyDescent="0.25">
      <c r="A676" s="149"/>
      <c r="B676" s="149"/>
      <c r="C676" s="149"/>
      <c r="D676" s="149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  <c r="Q676" s="149"/>
      <c r="R676" s="149"/>
      <c r="S676" s="149"/>
      <c r="T676" s="149"/>
      <c r="U676" s="149"/>
      <c r="V676" s="149"/>
      <c r="W676" s="149"/>
      <c r="X676" s="149"/>
      <c r="Y676" s="149"/>
      <c r="Z676" s="149"/>
      <c r="AA676" s="149"/>
    </row>
    <row r="677" spans="1:27" ht="15.75" customHeight="1" x14ac:dyDescent="0.25">
      <c r="A677" s="149"/>
      <c r="B677" s="149"/>
      <c r="C677" s="149"/>
      <c r="D677" s="149"/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  <c r="Q677" s="149"/>
      <c r="R677" s="149"/>
      <c r="S677" s="149"/>
      <c r="T677" s="149"/>
      <c r="U677" s="149"/>
      <c r="V677" s="149"/>
      <c r="W677" s="149"/>
      <c r="X677" s="149"/>
      <c r="Y677" s="149"/>
      <c r="Z677" s="149"/>
      <c r="AA677" s="149"/>
    </row>
    <row r="678" spans="1:27" ht="15.75" customHeight="1" x14ac:dyDescent="0.25">
      <c r="A678" s="149"/>
      <c r="B678" s="149"/>
      <c r="C678" s="149"/>
      <c r="D678" s="149"/>
      <c r="E678" s="14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  <c r="Q678" s="149"/>
      <c r="R678" s="149"/>
      <c r="S678" s="149"/>
      <c r="T678" s="149"/>
      <c r="U678" s="149"/>
      <c r="V678" s="149"/>
      <c r="W678" s="149"/>
      <c r="X678" s="149"/>
      <c r="Y678" s="149"/>
      <c r="Z678" s="149"/>
      <c r="AA678" s="149"/>
    </row>
    <row r="679" spans="1:27" ht="15.75" customHeight="1" x14ac:dyDescent="0.25">
      <c r="A679" s="149"/>
      <c r="B679" s="149"/>
      <c r="C679" s="149"/>
      <c r="D679" s="149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  <c r="Q679" s="149"/>
      <c r="R679" s="149"/>
      <c r="S679" s="149"/>
      <c r="T679" s="149"/>
      <c r="U679" s="149"/>
      <c r="V679" s="149"/>
      <c r="W679" s="149"/>
      <c r="X679" s="149"/>
      <c r="Y679" s="149"/>
      <c r="Z679" s="149"/>
      <c r="AA679" s="149"/>
    </row>
    <row r="680" spans="1:27" ht="15.75" customHeight="1" x14ac:dyDescent="0.25">
      <c r="A680" s="149"/>
      <c r="B680" s="149"/>
      <c r="C680" s="149"/>
      <c r="D680" s="149"/>
      <c r="E680" s="14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  <c r="Q680" s="149"/>
      <c r="R680" s="149"/>
      <c r="S680" s="149"/>
      <c r="T680" s="149"/>
      <c r="U680" s="149"/>
      <c r="V680" s="149"/>
      <c r="W680" s="149"/>
      <c r="X680" s="149"/>
      <c r="Y680" s="149"/>
      <c r="Z680" s="149"/>
      <c r="AA680" s="149"/>
    </row>
    <row r="681" spans="1:27" ht="15.75" customHeight="1" x14ac:dyDescent="0.25">
      <c r="A681" s="149"/>
      <c r="B681" s="149"/>
      <c r="C681" s="149"/>
      <c r="D681" s="149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  <c r="Q681" s="149"/>
      <c r="R681" s="149"/>
      <c r="S681" s="149"/>
      <c r="T681" s="149"/>
      <c r="U681" s="149"/>
      <c r="V681" s="149"/>
      <c r="W681" s="149"/>
      <c r="X681" s="149"/>
      <c r="Y681" s="149"/>
      <c r="Z681" s="149"/>
      <c r="AA681" s="149"/>
    </row>
    <row r="682" spans="1:27" ht="15.75" customHeight="1" x14ac:dyDescent="0.25">
      <c r="A682" s="149"/>
      <c r="B682" s="149"/>
      <c r="C682" s="149"/>
      <c r="D682" s="149"/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  <c r="Q682" s="149"/>
      <c r="R682" s="149"/>
      <c r="S682" s="149"/>
      <c r="T682" s="149"/>
      <c r="U682" s="149"/>
      <c r="V682" s="149"/>
      <c r="W682" s="149"/>
      <c r="X682" s="149"/>
      <c r="Y682" s="149"/>
      <c r="Z682" s="149"/>
      <c r="AA682" s="149"/>
    </row>
    <row r="683" spans="1:27" ht="15.75" customHeight="1" x14ac:dyDescent="0.25">
      <c r="A683" s="149"/>
      <c r="B683" s="149"/>
      <c r="C683" s="149"/>
      <c r="D683" s="149"/>
      <c r="E683" s="14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  <c r="Q683" s="149"/>
      <c r="R683" s="149"/>
      <c r="S683" s="149"/>
      <c r="T683" s="149"/>
      <c r="U683" s="149"/>
      <c r="V683" s="149"/>
      <c r="W683" s="149"/>
      <c r="X683" s="149"/>
      <c r="Y683" s="149"/>
      <c r="Z683" s="149"/>
      <c r="AA683" s="149"/>
    </row>
    <row r="684" spans="1:27" ht="15.75" customHeight="1" x14ac:dyDescent="0.25">
      <c r="A684" s="149"/>
      <c r="B684" s="149"/>
      <c r="C684" s="149"/>
      <c r="D684" s="149"/>
      <c r="E684" s="14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  <c r="Q684" s="149"/>
      <c r="R684" s="149"/>
      <c r="S684" s="149"/>
      <c r="T684" s="149"/>
      <c r="U684" s="149"/>
      <c r="V684" s="149"/>
      <c r="W684" s="149"/>
      <c r="X684" s="149"/>
      <c r="Y684" s="149"/>
      <c r="Z684" s="149"/>
      <c r="AA684" s="149"/>
    </row>
    <row r="685" spans="1:27" ht="15.75" customHeight="1" x14ac:dyDescent="0.25">
      <c r="A685" s="149"/>
      <c r="B685" s="149"/>
      <c r="C685" s="149"/>
      <c r="D685" s="149"/>
      <c r="E685" s="14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  <c r="Q685" s="149"/>
      <c r="R685" s="149"/>
      <c r="S685" s="149"/>
      <c r="T685" s="149"/>
      <c r="U685" s="149"/>
      <c r="V685" s="149"/>
      <c r="W685" s="149"/>
      <c r="X685" s="149"/>
      <c r="Y685" s="149"/>
      <c r="Z685" s="149"/>
      <c r="AA685" s="149"/>
    </row>
    <row r="686" spans="1:27" ht="15.75" customHeight="1" x14ac:dyDescent="0.25">
      <c r="A686" s="149"/>
      <c r="B686" s="149"/>
      <c r="C686" s="149"/>
      <c r="D686" s="149"/>
      <c r="E686" s="14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  <c r="Q686" s="149"/>
      <c r="R686" s="149"/>
      <c r="S686" s="149"/>
      <c r="T686" s="149"/>
      <c r="U686" s="149"/>
      <c r="V686" s="149"/>
      <c r="W686" s="149"/>
      <c r="X686" s="149"/>
      <c r="Y686" s="149"/>
      <c r="Z686" s="149"/>
      <c r="AA686" s="149"/>
    </row>
    <row r="687" spans="1:27" ht="15.75" customHeight="1" x14ac:dyDescent="0.25">
      <c r="A687" s="149"/>
      <c r="B687" s="149"/>
      <c r="C687" s="149"/>
      <c r="D687" s="149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  <c r="Q687" s="149"/>
      <c r="R687" s="149"/>
      <c r="S687" s="149"/>
      <c r="T687" s="149"/>
      <c r="U687" s="149"/>
      <c r="V687" s="149"/>
      <c r="W687" s="149"/>
      <c r="X687" s="149"/>
      <c r="Y687" s="149"/>
      <c r="Z687" s="149"/>
      <c r="AA687" s="149"/>
    </row>
    <row r="688" spans="1:27" ht="15.75" customHeight="1" x14ac:dyDescent="0.25">
      <c r="A688" s="149"/>
      <c r="B688" s="149"/>
      <c r="C688" s="149"/>
      <c r="D688" s="149"/>
      <c r="E688" s="14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  <c r="Q688" s="149"/>
      <c r="R688" s="149"/>
      <c r="S688" s="149"/>
      <c r="T688" s="149"/>
      <c r="U688" s="149"/>
      <c r="V688" s="149"/>
      <c r="W688" s="149"/>
      <c r="X688" s="149"/>
      <c r="Y688" s="149"/>
      <c r="Z688" s="149"/>
      <c r="AA688" s="149"/>
    </row>
    <row r="689" spans="1:27" ht="15.75" customHeight="1" x14ac:dyDescent="0.25">
      <c r="A689" s="149"/>
      <c r="B689" s="149"/>
      <c r="C689" s="149"/>
      <c r="D689" s="149"/>
      <c r="E689" s="14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  <c r="Q689" s="149"/>
      <c r="R689" s="149"/>
      <c r="S689" s="149"/>
      <c r="T689" s="149"/>
      <c r="U689" s="149"/>
      <c r="V689" s="149"/>
      <c r="W689" s="149"/>
      <c r="X689" s="149"/>
      <c r="Y689" s="149"/>
      <c r="Z689" s="149"/>
      <c r="AA689" s="149"/>
    </row>
    <row r="690" spans="1:27" ht="15.75" customHeight="1" x14ac:dyDescent="0.25">
      <c r="A690" s="149"/>
      <c r="B690" s="149"/>
      <c r="C690" s="149"/>
      <c r="D690" s="149"/>
      <c r="E690" s="14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  <c r="Q690" s="149"/>
      <c r="R690" s="149"/>
      <c r="S690" s="149"/>
      <c r="T690" s="149"/>
      <c r="U690" s="149"/>
      <c r="V690" s="149"/>
      <c r="W690" s="149"/>
      <c r="X690" s="149"/>
      <c r="Y690" s="149"/>
      <c r="Z690" s="149"/>
      <c r="AA690" s="149"/>
    </row>
    <row r="691" spans="1:27" ht="15.75" customHeight="1" x14ac:dyDescent="0.25">
      <c r="A691" s="149"/>
      <c r="B691" s="149"/>
      <c r="C691" s="149"/>
      <c r="D691" s="149"/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  <c r="Q691" s="149"/>
      <c r="R691" s="149"/>
      <c r="S691" s="149"/>
      <c r="T691" s="149"/>
      <c r="U691" s="149"/>
      <c r="V691" s="149"/>
      <c r="W691" s="149"/>
      <c r="X691" s="149"/>
      <c r="Y691" s="149"/>
      <c r="Z691" s="149"/>
      <c r="AA691" s="149"/>
    </row>
    <row r="692" spans="1:27" ht="15.75" customHeight="1" x14ac:dyDescent="0.25">
      <c r="A692" s="149"/>
      <c r="B692" s="149"/>
      <c r="C692" s="149"/>
      <c r="D692" s="149"/>
      <c r="E692" s="14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  <c r="Q692" s="149"/>
      <c r="R692" s="149"/>
      <c r="S692" s="149"/>
      <c r="T692" s="149"/>
      <c r="U692" s="149"/>
      <c r="V692" s="149"/>
      <c r="W692" s="149"/>
      <c r="X692" s="149"/>
      <c r="Y692" s="149"/>
      <c r="Z692" s="149"/>
      <c r="AA692" s="149"/>
    </row>
    <row r="693" spans="1:27" ht="15.75" customHeight="1" x14ac:dyDescent="0.25">
      <c r="A693" s="149"/>
      <c r="B693" s="149"/>
      <c r="C693" s="149"/>
      <c r="D693" s="149"/>
      <c r="E693" s="14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  <c r="Q693" s="149"/>
      <c r="R693" s="149"/>
      <c r="S693" s="149"/>
      <c r="T693" s="149"/>
      <c r="U693" s="149"/>
      <c r="V693" s="149"/>
      <c r="W693" s="149"/>
      <c r="X693" s="149"/>
      <c r="Y693" s="149"/>
      <c r="Z693" s="149"/>
      <c r="AA693" s="149"/>
    </row>
    <row r="694" spans="1:27" ht="15.75" customHeight="1" x14ac:dyDescent="0.25">
      <c r="A694" s="149"/>
      <c r="B694" s="149"/>
      <c r="C694" s="149"/>
      <c r="D694" s="149"/>
      <c r="E694" s="14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  <c r="Q694" s="149"/>
      <c r="R694" s="149"/>
      <c r="S694" s="149"/>
      <c r="T694" s="149"/>
      <c r="U694" s="149"/>
      <c r="V694" s="149"/>
      <c r="W694" s="149"/>
      <c r="X694" s="149"/>
      <c r="Y694" s="149"/>
      <c r="Z694" s="149"/>
      <c r="AA694" s="149"/>
    </row>
    <row r="695" spans="1:27" ht="15.75" customHeight="1" x14ac:dyDescent="0.25">
      <c r="A695" s="149"/>
      <c r="B695" s="149"/>
      <c r="C695" s="149"/>
      <c r="D695" s="149"/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  <c r="Q695" s="149"/>
      <c r="R695" s="149"/>
      <c r="S695" s="149"/>
      <c r="T695" s="149"/>
      <c r="U695" s="149"/>
      <c r="V695" s="149"/>
      <c r="W695" s="149"/>
      <c r="X695" s="149"/>
      <c r="Y695" s="149"/>
      <c r="Z695" s="149"/>
      <c r="AA695" s="149"/>
    </row>
    <row r="696" spans="1:27" ht="15.75" customHeight="1" x14ac:dyDescent="0.25">
      <c r="A696" s="149"/>
      <c r="B696" s="149"/>
      <c r="C696" s="149"/>
      <c r="D696" s="149"/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  <c r="Q696" s="149"/>
      <c r="R696" s="149"/>
      <c r="S696" s="149"/>
      <c r="T696" s="149"/>
      <c r="U696" s="149"/>
      <c r="V696" s="149"/>
      <c r="W696" s="149"/>
      <c r="X696" s="149"/>
      <c r="Y696" s="149"/>
      <c r="Z696" s="149"/>
      <c r="AA696" s="149"/>
    </row>
    <row r="697" spans="1:27" ht="15.75" customHeight="1" x14ac:dyDescent="0.25">
      <c r="A697" s="149"/>
      <c r="B697" s="149"/>
      <c r="C697" s="149"/>
      <c r="D697" s="149"/>
      <c r="E697" s="14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  <c r="Q697" s="149"/>
      <c r="R697" s="149"/>
      <c r="S697" s="149"/>
      <c r="T697" s="149"/>
      <c r="U697" s="149"/>
      <c r="V697" s="149"/>
      <c r="W697" s="149"/>
      <c r="X697" s="149"/>
      <c r="Y697" s="149"/>
      <c r="Z697" s="149"/>
      <c r="AA697" s="149"/>
    </row>
    <row r="698" spans="1:27" ht="15.75" customHeight="1" x14ac:dyDescent="0.25">
      <c r="A698" s="149"/>
      <c r="B698" s="149"/>
      <c r="C698" s="149"/>
      <c r="D698" s="149"/>
      <c r="E698" s="14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  <c r="Q698" s="149"/>
      <c r="R698" s="149"/>
      <c r="S698" s="149"/>
      <c r="T698" s="149"/>
      <c r="U698" s="149"/>
      <c r="V698" s="149"/>
      <c r="W698" s="149"/>
      <c r="X698" s="149"/>
      <c r="Y698" s="149"/>
      <c r="Z698" s="149"/>
      <c r="AA698" s="149"/>
    </row>
    <row r="699" spans="1:27" ht="15.75" customHeight="1" x14ac:dyDescent="0.25">
      <c r="A699" s="149"/>
      <c r="B699" s="149"/>
      <c r="C699" s="149"/>
      <c r="D699" s="149"/>
      <c r="E699" s="14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  <c r="Q699" s="149"/>
      <c r="R699" s="149"/>
      <c r="S699" s="149"/>
      <c r="T699" s="149"/>
      <c r="U699" s="149"/>
      <c r="V699" s="149"/>
      <c r="W699" s="149"/>
      <c r="X699" s="149"/>
      <c r="Y699" s="149"/>
      <c r="Z699" s="149"/>
      <c r="AA699" s="149"/>
    </row>
    <row r="700" spans="1:27" ht="15.75" customHeight="1" x14ac:dyDescent="0.25">
      <c r="A700" s="149"/>
      <c r="B700" s="149"/>
      <c r="C700" s="149"/>
      <c r="D700" s="149"/>
      <c r="E700" s="14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  <c r="Q700" s="149"/>
      <c r="R700" s="149"/>
      <c r="S700" s="149"/>
      <c r="T700" s="149"/>
      <c r="U700" s="149"/>
      <c r="V700" s="149"/>
      <c r="W700" s="149"/>
      <c r="X700" s="149"/>
      <c r="Y700" s="149"/>
      <c r="Z700" s="149"/>
      <c r="AA700" s="149"/>
    </row>
    <row r="701" spans="1:27" ht="15.75" customHeight="1" x14ac:dyDescent="0.25">
      <c r="A701" s="149"/>
      <c r="B701" s="149"/>
      <c r="C701" s="149"/>
      <c r="D701" s="149"/>
      <c r="E701" s="14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  <c r="Q701" s="149"/>
      <c r="R701" s="149"/>
      <c r="S701" s="149"/>
      <c r="T701" s="149"/>
      <c r="U701" s="149"/>
      <c r="V701" s="149"/>
      <c r="W701" s="149"/>
      <c r="X701" s="149"/>
      <c r="Y701" s="149"/>
      <c r="Z701" s="149"/>
      <c r="AA701" s="149"/>
    </row>
    <row r="702" spans="1:27" ht="15.75" customHeight="1" x14ac:dyDescent="0.25">
      <c r="A702" s="149"/>
      <c r="B702" s="149"/>
      <c r="C702" s="149"/>
      <c r="D702" s="149"/>
      <c r="E702" s="14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  <c r="Q702" s="149"/>
      <c r="R702" s="149"/>
      <c r="S702" s="149"/>
      <c r="T702" s="149"/>
      <c r="U702" s="149"/>
      <c r="V702" s="149"/>
      <c r="W702" s="149"/>
      <c r="X702" s="149"/>
      <c r="Y702" s="149"/>
      <c r="Z702" s="149"/>
      <c r="AA702" s="149"/>
    </row>
    <row r="703" spans="1:27" ht="15.75" customHeight="1" x14ac:dyDescent="0.25">
      <c r="A703" s="149"/>
      <c r="B703" s="149"/>
      <c r="C703" s="149"/>
      <c r="D703" s="149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  <c r="Q703" s="149"/>
      <c r="R703" s="149"/>
      <c r="S703" s="149"/>
      <c r="T703" s="149"/>
      <c r="U703" s="149"/>
      <c r="V703" s="149"/>
      <c r="W703" s="149"/>
      <c r="X703" s="149"/>
      <c r="Y703" s="149"/>
      <c r="Z703" s="149"/>
      <c r="AA703" s="149"/>
    </row>
    <row r="704" spans="1:27" ht="15.75" customHeight="1" x14ac:dyDescent="0.25">
      <c r="A704" s="149"/>
      <c r="B704" s="149"/>
      <c r="C704" s="149"/>
      <c r="D704" s="149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  <c r="Q704" s="149"/>
      <c r="R704" s="149"/>
      <c r="S704" s="149"/>
      <c r="T704" s="149"/>
      <c r="U704" s="149"/>
      <c r="V704" s="149"/>
      <c r="W704" s="149"/>
      <c r="X704" s="149"/>
      <c r="Y704" s="149"/>
      <c r="Z704" s="149"/>
      <c r="AA704" s="149"/>
    </row>
    <row r="705" spans="1:27" ht="15.75" customHeight="1" x14ac:dyDescent="0.25">
      <c r="A705" s="149"/>
      <c r="B705" s="149"/>
      <c r="C705" s="149"/>
      <c r="D705" s="149"/>
      <c r="E705" s="14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  <c r="Q705" s="149"/>
      <c r="R705" s="149"/>
      <c r="S705" s="149"/>
      <c r="T705" s="149"/>
      <c r="U705" s="149"/>
      <c r="V705" s="149"/>
      <c r="W705" s="149"/>
      <c r="X705" s="149"/>
      <c r="Y705" s="149"/>
      <c r="Z705" s="149"/>
      <c r="AA705" s="149"/>
    </row>
    <row r="706" spans="1:27" ht="15.75" customHeight="1" x14ac:dyDescent="0.25">
      <c r="A706" s="149"/>
      <c r="B706" s="149"/>
      <c r="C706" s="149"/>
      <c r="D706" s="149"/>
      <c r="E706" s="14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  <c r="Q706" s="149"/>
      <c r="R706" s="149"/>
      <c r="S706" s="149"/>
      <c r="T706" s="149"/>
      <c r="U706" s="149"/>
      <c r="V706" s="149"/>
      <c r="W706" s="149"/>
      <c r="X706" s="149"/>
      <c r="Y706" s="149"/>
      <c r="Z706" s="149"/>
      <c r="AA706" s="149"/>
    </row>
    <row r="707" spans="1:27" ht="15.75" customHeight="1" x14ac:dyDescent="0.25">
      <c r="A707" s="149"/>
      <c r="B707" s="149"/>
      <c r="C707" s="149"/>
      <c r="D707" s="149"/>
      <c r="E707" s="14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  <c r="Q707" s="149"/>
      <c r="R707" s="149"/>
      <c r="S707" s="149"/>
      <c r="T707" s="149"/>
      <c r="U707" s="149"/>
      <c r="V707" s="149"/>
      <c r="W707" s="149"/>
      <c r="X707" s="149"/>
      <c r="Y707" s="149"/>
      <c r="Z707" s="149"/>
      <c r="AA707" s="149"/>
    </row>
    <row r="708" spans="1:27" ht="15.75" customHeight="1" x14ac:dyDescent="0.25">
      <c r="A708" s="149"/>
      <c r="B708" s="149"/>
      <c r="C708" s="149"/>
      <c r="D708" s="149"/>
      <c r="E708" s="14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  <c r="Q708" s="149"/>
      <c r="R708" s="149"/>
      <c r="S708" s="149"/>
      <c r="T708" s="149"/>
      <c r="U708" s="149"/>
      <c r="V708" s="149"/>
      <c r="W708" s="149"/>
      <c r="X708" s="149"/>
      <c r="Y708" s="149"/>
      <c r="Z708" s="149"/>
      <c r="AA708" s="149"/>
    </row>
    <row r="709" spans="1:27" ht="15.75" customHeight="1" x14ac:dyDescent="0.25">
      <c r="A709" s="149"/>
      <c r="B709" s="149"/>
      <c r="C709" s="149"/>
      <c r="D709" s="149"/>
      <c r="E709" s="14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  <c r="Q709" s="149"/>
      <c r="R709" s="149"/>
      <c r="S709" s="149"/>
      <c r="T709" s="149"/>
      <c r="U709" s="149"/>
      <c r="V709" s="149"/>
      <c r="W709" s="149"/>
      <c r="X709" s="149"/>
      <c r="Y709" s="149"/>
      <c r="Z709" s="149"/>
      <c r="AA709" s="149"/>
    </row>
    <row r="710" spans="1:27" ht="15.75" customHeight="1" x14ac:dyDescent="0.25">
      <c r="A710" s="149"/>
      <c r="B710" s="149"/>
      <c r="C710" s="149"/>
      <c r="D710" s="149"/>
      <c r="E710" s="14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  <c r="Q710" s="149"/>
      <c r="R710" s="149"/>
      <c r="S710" s="149"/>
      <c r="T710" s="149"/>
      <c r="U710" s="149"/>
      <c r="V710" s="149"/>
      <c r="W710" s="149"/>
      <c r="X710" s="149"/>
      <c r="Y710" s="149"/>
      <c r="Z710" s="149"/>
      <c r="AA710" s="149"/>
    </row>
    <row r="711" spans="1:27" ht="15.75" customHeight="1" x14ac:dyDescent="0.25">
      <c r="A711" s="149"/>
      <c r="B711" s="149"/>
      <c r="C711" s="149"/>
      <c r="D711" s="149"/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  <c r="Q711" s="149"/>
      <c r="R711" s="149"/>
      <c r="S711" s="149"/>
      <c r="T711" s="149"/>
      <c r="U711" s="149"/>
      <c r="V711" s="149"/>
      <c r="W711" s="149"/>
      <c r="X711" s="149"/>
      <c r="Y711" s="149"/>
      <c r="Z711" s="149"/>
      <c r="AA711" s="149"/>
    </row>
    <row r="712" spans="1:27" ht="15.75" customHeight="1" x14ac:dyDescent="0.25">
      <c r="A712" s="149"/>
      <c r="B712" s="149"/>
      <c r="C712" s="149"/>
      <c r="D712" s="149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  <c r="Q712" s="149"/>
      <c r="R712" s="149"/>
      <c r="S712" s="149"/>
      <c r="T712" s="149"/>
      <c r="U712" s="149"/>
      <c r="V712" s="149"/>
      <c r="W712" s="149"/>
      <c r="X712" s="149"/>
      <c r="Y712" s="149"/>
      <c r="Z712" s="149"/>
      <c r="AA712" s="149"/>
    </row>
    <row r="713" spans="1:27" ht="15.75" customHeight="1" x14ac:dyDescent="0.25">
      <c r="A713" s="149"/>
      <c r="B713" s="149"/>
      <c r="C713" s="149"/>
      <c r="D713" s="149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  <c r="Q713" s="149"/>
      <c r="R713" s="149"/>
      <c r="S713" s="149"/>
      <c r="T713" s="149"/>
      <c r="U713" s="149"/>
      <c r="V713" s="149"/>
      <c r="W713" s="149"/>
      <c r="X713" s="149"/>
      <c r="Y713" s="149"/>
      <c r="Z713" s="149"/>
      <c r="AA713" s="149"/>
    </row>
    <row r="714" spans="1:27" ht="15.75" customHeight="1" x14ac:dyDescent="0.25">
      <c r="A714" s="149"/>
      <c r="B714" s="149"/>
      <c r="C714" s="149"/>
      <c r="D714" s="149"/>
      <c r="E714" s="14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  <c r="Q714" s="149"/>
      <c r="R714" s="149"/>
      <c r="S714" s="149"/>
      <c r="T714" s="149"/>
      <c r="U714" s="149"/>
      <c r="V714" s="149"/>
      <c r="W714" s="149"/>
      <c r="X714" s="149"/>
      <c r="Y714" s="149"/>
      <c r="Z714" s="149"/>
      <c r="AA714" s="149"/>
    </row>
    <row r="715" spans="1:27" ht="15.75" customHeight="1" x14ac:dyDescent="0.25">
      <c r="A715" s="149"/>
      <c r="B715" s="149"/>
      <c r="C715" s="149"/>
      <c r="D715" s="149"/>
      <c r="E715" s="14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  <c r="Q715" s="149"/>
      <c r="R715" s="149"/>
      <c r="S715" s="149"/>
      <c r="T715" s="149"/>
      <c r="U715" s="149"/>
      <c r="V715" s="149"/>
      <c r="W715" s="149"/>
      <c r="X715" s="149"/>
      <c r="Y715" s="149"/>
      <c r="Z715" s="149"/>
      <c r="AA715" s="149"/>
    </row>
    <row r="716" spans="1:27" ht="15.75" customHeight="1" x14ac:dyDescent="0.25">
      <c r="A716" s="149"/>
      <c r="B716" s="149"/>
      <c r="C716" s="149"/>
      <c r="D716" s="149"/>
      <c r="E716" s="14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  <c r="Q716" s="149"/>
      <c r="R716" s="149"/>
      <c r="S716" s="149"/>
      <c r="T716" s="149"/>
      <c r="U716" s="149"/>
      <c r="V716" s="149"/>
      <c r="W716" s="149"/>
      <c r="X716" s="149"/>
      <c r="Y716" s="149"/>
      <c r="Z716" s="149"/>
      <c r="AA716" s="149"/>
    </row>
    <row r="717" spans="1:27" ht="15.75" customHeight="1" x14ac:dyDescent="0.25">
      <c r="A717" s="149"/>
      <c r="B717" s="149"/>
      <c r="C717" s="149"/>
      <c r="D717" s="149"/>
      <c r="E717" s="14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  <c r="Q717" s="149"/>
      <c r="R717" s="149"/>
      <c r="S717" s="149"/>
      <c r="T717" s="149"/>
      <c r="U717" s="149"/>
      <c r="V717" s="149"/>
      <c r="W717" s="149"/>
      <c r="X717" s="149"/>
      <c r="Y717" s="149"/>
      <c r="Z717" s="149"/>
      <c r="AA717" s="149"/>
    </row>
    <row r="718" spans="1:27" ht="15.75" customHeight="1" x14ac:dyDescent="0.25">
      <c r="A718" s="149"/>
      <c r="B718" s="149"/>
      <c r="C718" s="149"/>
      <c r="D718" s="149"/>
      <c r="E718" s="14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  <c r="Q718" s="149"/>
      <c r="R718" s="149"/>
      <c r="S718" s="149"/>
      <c r="T718" s="149"/>
      <c r="U718" s="149"/>
      <c r="V718" s="149"/>
      <c r="W718" s="149"/>
      <c r="X718" s="149"/>
      <c r="Y718" s="149"/>
      <c r="Z718" s="149"/>
      <c r="AA718" s="149"/>
    </row>
    <row r="719" spans="1:27" ht="15.75" customHeight="1" x14ac:dyDescent="0.25">
      <c r="A719" s="149"/>
      <c r="B719" s="149"/>
      <c r="C719" s="149"/>
      <c r="D719" s="149"/>
      <c r="E719" s="14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  <c r="Q719" s="149"/>
      <c r="R719" s="149"/>
      <c r="S719" s="149"/>
      <c r="T719" s="149"/>
      <c r="U719" s="149"/>
      <c r="V719" s="149"/>
      <c r="W719" s="149"/>
      <c r="X719" s="149"/>
      <c r="Y719" s="149"/>
      <c r="Z719" s="149"/>
      <c r="AA719" s="149"/>
    </row>
    <row r="720" spans="1:27" ht="15.75" customHeight="1" x14ac:dyDescent="0.25">
      <c r="A720" s="149"/>
      <c r="B720" s="149"/>
      <c r="C720" s="149"/>
      <c r="D720" s="149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  <c r="Q720" s="149"/>
      <c r="R720" s="149"/>
      <c r="S720" s="149"/>
      <c r="T720" s="149"/>
      <c r="U720" s="149"/>
      <c r="V720" s="149"/>
      <c r="W720" s="149"/>
      <c r="X720" s="149"/>
      <c r="Y720" s="149"/>
      <c r="Z720" s="149"/>
      <c r="AA720" s="149"/>
    </row>
    <row r="721" spans="1:27" ht="15.75" customHeight="1" x14ac:dyDescent="0.25">
      <c r="A721" s="149"/>
      <c r="B721" s="149"/>
      <c r="C721" s="149"/>
      <c r="D721" s="149"/>
      <c r="E721" s="14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  <c r="Q721" s="149"/>
      <c r="R721" s="149"/>
      <c r="S721" s="149"/>
      <c r="T721" s="149"/>
      <c r="U721" s="149"/>
      <c r="V721" s="149"/>
      <c r="W721" s="149"/>
      <c r="X721" s="149"/>
      <c r="Y721" s="149"/>
      <c r="Z721" s="149"/>
      <c r="AA721" s="149"/>
    </row>
    <row r="722" spans="1:27" ht="15.75" customHeight="1" x14ac:dyDescent="0.25">
      <c r="A722" s="149"/>
      <c r="B722" s="149"/>
      <c r="C722" s="149"/>
      <c r="D722" s="149"/>
      <c r="E722" s="14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  <c r="Q722" s="149"/>
      <c r="R722" s="149"/>
      <c r="S722" s="149"/>
      <c r="T722" s="149"/>
      <c r="U722" s="149"/>
      <c r="V722" s="149"/>
      <c r="W722" s="149"/>
      <c r="X722" s="149"/>
      <c r="Y722" s="149"/>
      <c r="Z722" s="149"/>
      <c r="AA722" s="149"/>
    </row>
    <row r="723" spans="1:27" ht="15.75" customHeight="1" x14ac:dyDescent="0.25">
      <c r="A723" s="149"/>
      <c r="B723" s="149"/>
      <c r="C723" s="149"/>
      <c r="D723" s="149"/>
      <c r="E723" s="14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  <c r="Q723" s="149"/>
      <c r="R723" s="149"/>
      <c r="S723" s="149"/>
      <c r="T723" s="149"/>
      <c r="U723" s="149"/>
      <c r="V723" s="149"/>
      <c r="W723" s="149"/>
      <c r="X723" s="149"/>
      <c r="Y723" s="149"/>
      <c r="Z723" s="149"/>
      <c r="AA723" s="149"/>
    </row>
    <row r="724" spans="1:27" ht="15.75" customHeight="1" x14ac:dyDescent="0.25">
      <c r="A724" s="149"/>
      <c r="B724" s="149"/>
      <c r="C724" s="149"/>
      <c r="D724" s="149"/>
      <c r="E724" s="14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  <c r="Q724" s="149"/>
      <c r="R724" s="149"/>
      <c r="S724" s="149"/>
      <c r="T724" s="149"/>
      <c r="U724" s="149"/>
      <c r="V724" s="149"/>
      <c r="W724" s="149"/>
      <c r="X724" s="149"/>
      <c r="Y724" s="149"/>
      <c r="Z724" s="149"/>
      <c r="AA724" s="149"/>
    </row>
    <row r="725" spans="1:27" ht="15.75" customHeight="1" x14ac:dyDescent="0.25">
      <c r="A725" s="149"/>
      <c r="B725" s="149"/>
      <c r="C725" s="149"/>
      <c r="D725" s="149"/>
      <c r="E725" s="14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  <c r="Q725" s="149"/>
      <c r="R725" s="149"/>
      <c r="S725" s="149"/>
      <c r="T725" s="149"/>
      <c r="U725" s="149"/>
      <c r="V725" s="149"/>
      <c r="W725" s="149"/>
      <c r="X725" s="149"/>
      <c r="Y725" s="149"/>
      <c r="Z725" s="149"/>
      <c r="AA725" s="149"/>
    </row>
    <row r="726" spans="1:27" ht="15.75" customHeight="1" x14ac:dyDescent="0.25">
      <c r="A726" s="149"/>
      <c r="B726" s="149"/>
      <c r="C726" s="149"/>
      <c r="D726" s="149"/>
      <c r="E726" s="14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  <c r="Q726" s="149"/>
      <c r="R726" s="149"/>
      <c r="S726" s="149"/>
      <c r="T726" s="149"/>
      <c r="U726" s="149"/>
      <c r="V726" s="149"/>
      <c r="W726" s="149"/>
      <c r="X726" s="149"/>
      <c r="Y726" s="149"/>
      <c r="Z726" s="149"/>
      <c r="AA726" s="149"/>
    </row>
    <row r="727" spans="1:27" ht="15.75" customHeight="1" x14ac:dyDescent="0.25">
      <c r="A727" s="149"/>
      <c r="B727" s="149"/>
      <c r="C727" s="149"/>
      <c r="D727" s="149"/>
      <c r="E727" s="14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  <c r="Q727" s="149"/>
      <c r="R727" s="149"/>
      <c r="S727" s="149"/>
      <c r="T727" s="149"/>
      <c r="U727" s="149"/>
      <c r="V727" s="149"/>
      <c r="W727" s="149"/>
      <c r="X727" s="149"/>
      <c r="Y727" s="149"/>
      <c r="Z727" s="149"/>
      <c r="AA727" s="149"/>
    </row>
    <row r="728" spans="1:27" ht="15.75" customHeight="1" x14ac:dyDescent="0.25">
      <c r="A728" s="149"/>
      <c r="B728" s="149"/>
      <c r="C728" s="149"/>
      <c r="D728" s="149"/>
      <c r="E728" s="14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  <c r="Q728" s="149"/>
      <c r="R728" s="149"/>
      <c r="S728" s="149"/>
      <c r="T728" s="149"/>
      <c r="U728" s="149"/>
      <c r="V728" s="149"/>
      <c r="W728" s="149"/>
      <c r="X728" s="149"/>
      <c r="Y728" s="149"/>
      <c r="Z728" s="149"/>
      <c r="AA728" s="149"/>
    </row>
    <row r="729" spans="1:27" ht="15.75" customHeight="1" x14ac:dyDescent="0.25">
      <c r="A729" s="149"/>
      <c r="B729" s="149"/>
      <c r="C729" s="149"/>
      <c r="D729" s="149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  <c r="Q729" s="149"/>
      <c r="R729" s="149"/>
      <c r="S729" s="149"/>
      <c r="T729" s="149"/>
      <c r="U729" s="149"/>
      <c r="V729" s="149"/>
      <c r="W729" s="149"/>
      <c r="X729" s="149"/>
      <c r="Y729" s="149"/>
      <c r="Z729" s="149"/>
      <c r="AA729" s="149"/>
    </row>
    <row r="730" spans="1:27" ht="15.75" customHeight="1" x14ac:dyDescent="0.25">
      <c r="A730" s="149"/>
      <c r="B730" s="149"/>
      <c r="C730" s="149"/>
      <c r="D730" s="149"/>
      <c r="E730" s="14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  <c r="Q730" s="149"/>
      <c r="R730" s="149"/>
      <c r="S730" s="149"/>
      <c r="T730" s="149"/>
      <c r="U730" s="149"/>
      <c r="V730" s="149"/>
      <c r="W730" s="149"/>
      <c r="X730" s="149"/>
      <c r="Y730" s="149"/>
      <c r="Z730" s="149"/>
      <c r="AA730" s="149"/>
    </row>
    <row r="731" spans="1:27" ht="15.75" customHeight="1" x14ac:dyDescent="0.25">
      <c r="A731" s="149"/>
      <c r="B731" s="149"/>
      <c r="C731" s="149"/>
      <c r="D731" s="149"/>
      <c r="E731" s="14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  <c r="Q731" s="149"/>
      <c r="R731" s="149"/>
      <c r="S731" s="149"/>
      <c r="T731" s="149"/>
      <c r="U731" s="149"/>
      <c r="V731" s="149"/>
      <c r="W731" s="149"/>
      <c r="X731" s="149"/>
      <c r="Y731" s="149"/>
      <c r="Z731" s="149"/>
      <c r="AA731" s="149"/>
    </row>
    <row r="732" spans="1:27" ht="15.75" customHeight="1" x14ac:dyDescent="0.25">
      <c r="A732" s="149"/>
      <c r="B732" s="149"/>
      <c r="C732" s="149"/>
      <c r="D732" s="149"/>
      <c r="E732" s="14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  <c r="Q732" s="149"/>
      <c r="R732" s="149"/>
      <c r="S732" s="149"/>
      <c r="T732" s="149"/>
      <c r="U732" s="149"/>
      <c r="V732" s="149"/>
      <c r="W732" s="149"/>
      <c r="X732" s="149"/>
      <c r="Y732" s="149"/>
      <c r="Z732" s="149"/>
      <c r="AA732" s="149"/>
    </row>
    <row r="733" spans="1:27" ht="15.75" customHeight="1" x14ac:dyDescent="0.25">
      <c r="A733" s="149"/>
      <c r="B733" s="149"/>
      <c r="C733" s="149"/>
      <c r="D733" s="149"/>
      <c r="E733" s="14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  <c r="Q733" s="149"/>
      <c r="R733" s="149"/>
      <c r="S733" s="149"/>
      <c r="T733" s="149"/>
      <c r="U733" s="149"/>
      <c r="V733" s="149"/>
      <c r="W733" s="149"/>
      <c r="X733" s="149"/>
      <c r="Y733" s="149"/>
      <c r="Z733" s="149"/>
      <c r="AA733" s="149"/>
    </row>
    <row r="734" spans="1:27" ht="15.75" customHeight="1" x14ac:dyDescent="0.25">
      <c r="A734" s="149"/>
      <c r="B734" s="149"/>
      <c r="C734" s="149"/>
      <c r="D734" s="149"/>
      <c r="E734" s="14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  <c r="Q734" s="149"/>
      <c r="R734" s="149"/>
      <c r="S734" s="149"/>
      <c r="T734" s="149"/>
      <c r="U734" s="149"/>
      <c r="V734" s="149"/>
      <c r="W734" s="149"/>
      <c r="X734" s="149"/>
      <c r="Y734" s="149"/>
      <c r="Z734" s="149"/>
      <c r="AA734" s="149"/>
    </row>
    <row r="735" spans="1:27" ht="15.75" customHeight="1" x14ac:dyDescent="0.25">
      <c r="A735" s="149"/>
      <c r="B735" s="149"/>
      <c r="C735" s="149"/>
      <c r="D735" s="149"/>
      <c r="E735" s="14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  <c r="Q735" s="149"/>
      <c r="R735" s="149"/>
      <c r="S735" s="149"/>
      <c r="T735" s="149"/>
      <c r="U735" s="149"/>
      <c r="V735" s="149"/>
      <c r="W735" s="149"/>
      <c r="X735" s="149"/>
      <c r="Y735" s="149"/>
      <c r="Z735" s="149"/>
      <c r="AA735" s="149"/>
    </row>
    <row r="736" spans="1:27" ht="15.75" customHeight="1" x14ac:dyDescent="0.25">
      <c r="A736" s="149"/>
      <c r="B736" s="149"/>
      <c r="C736" s="149"/>
      <c r="D736" s="149"/>
      <c r="E736" s="14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  <c r="Q736" s="149"/>
      <c r="R736" s="149"/>
      <c r="S736" s="149"/>
      <c r="T736" s="149"/>
      <c r="U736" s="149"/>
      <c r="V736" s="149"/>
      <c r="W736" s="149"/>
      <c r="X736" s="149"/>
      <c r="Y736" s="149"/>
      <c r="Z736" s="149"/>
      <c r="AA736" s="149"/>
    </row>
    <row r="737" spans="1:27" ht="15.75" customHeight="1" x14ac:dyDescent="0.25">
      <c r="A737" s="149"/>
      <c r="B737" s="149"/>
      <c r="C737" s="149"/>
      <c r="D737" s="149"/>
      <c r="E737" s="14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  <c r="Q737" s="149"/>
      <c r="R737" s="149"/>
      <c r="S737" s="149"/>
      <c r="T737" s="149"/>
      <c r="U737" s="149"/>
      <c r="V737" s="149"/>
      <c r="W737" s="149"/>
      <c r="X737" s="149"/>
      <c r="Y737" s="149"/>
      <c r="Z737" s="149"/>
      <c r="AA737" s="149"/>
    </row>
    <row r="738" spans="1:27" ht="15.75" customHeight="1" x14ac:dyDescent="0.25">
      <c r="A738" s="149"/>
      <c r="B738" s="149"/>
      <c r="C738" s="149"/>
      <c r="D738" s="149"/>
      <c r="E738" s="14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  <c r="Q738" s="149"/>
      <c r="R738" s="149"/>
      <c r="S738" s="149"/>
      <c r="T738" s="149"/>
      <c r="U738" s="149"/>
      <c r="V738" s="149"/>
      <c r="W738" s="149"/>
      <c r="X738" s="149"/>
      <c r="Y738" s="149"/>
      <c r="Z738" s="149"/>
      <c r="AA738" s="149"/>
    </row>
    <row r="739" spans="1:27" ht="15.75" customHeight="1" x14ac:dyDescent="0.25">
      <c r="A739" s="149"/>
      <c r="B739" s="149"/>
      <c r="C739" s="149"/>
      <c r="D739" s="149"/>
      <c r="E739" s="14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  <c r="Q739" s="149"/>
      <c r="R739" s="149"/>
      <c r="S739" s="149"/>
      <c r="T739" s="149"/>
      <c r="U739" s="149"/>
      <c r="V739" s="149"/>
      <c r="W739" s="149"/>
      <c r="X739" s="149"/>
      <c r="Y739" s="149"/>
      <c r="Z739" s="149"/>
      <c r="AA739" s="149"/>
    </row>
    <row r="740" spans="1:27" ht="15.75" customHeight="1" x14ac:dyDescent="0.25">
      <c r="A740" s="149"/>
      <c r="B740" s="149"/>
      <c r="C740" s="149"/>
      <c r="D740" s="149"/>
      <c r="E740" s="14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  <c r="Q740" s="149"/>
      <c r="R740" s="149"/>
      <c r="S740" s="149"/>
      <c r="T740" s="149"/>
      <c r="U740" s="149"/>
      <c r="V740" s="149"/>
      <c r="W740" s="149"/>
      <c r="X740" s="149"/>
      <c r="Y740" s="149"/>
      <c r="Z740" s="149"/>
      <c r="AA740" s="149"/>
    </row>
    <row r="741" spans="1:27" ht="15.75" customHeight="1" x14ac:dyDescent="0.25">
      <c r="A741" s="149"/>
      <c r="B741" s="149"/>
      <c r="C741" s="149"/>
      <c r="D741" s="149"/>
      <c r="E741" s="14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  <c r="Q741" s="149"/>
      <c r="R741" s="149"/>
      <c r="S741" s="149"/>
      <c r="T741" s="149"/>
      <c r="U741" s="149"/>
      <c r="V741" s="149"/>
      <c r="W741" s="149"/>
      <c r="X741" s="149"/>
      <c r="Y741" s="149"/>
      <c r="Z741" s="149"/>
      <c r="AA741" s="149"/>
    </row>
    <row r="742" spans="1:27" ht="15.75" customHeight="1" x14ac:dyDescent="0.25">
      <c r="A742" s="149"/>
      <c r="B742" s="149"/>
      <c r="C742" s="149"/>
      <c r="D742" s="149"/>
      <c r="E742" s="14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  <c r="Q742" s="149"/>
      <c r="R742" s="149"/>
      <c r="S742" s="149"/>
      <c r="T742" s="149"/>
      <c r="U742" s="149"/>
      <c r="V742" s="149"/>
      <c r="W742" s="149"/>
      <c r="X742" s="149"/>
      <c r="Y742" s="149"/>
      <c r="Z742" s="149"/>
      <c r="AA742" s="149"/>
    </row>
    <row r="743" spans="1:27" ht="15.75" customHeight="1" x14ac:dyDescent="0.25">
      <c r="A743" s="149"/>
      <c r="B743" s="149"/>
      <c r="C743" s="149"/>
      <c r="D743" s="149"/>
      <c r="E743" s="14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  <c r="Q743" s="149"/>
      <c r="R743" s="149"/>
      <c r="S743" s="149"/>
      <c r="T743" s="149"/>
      <c r="U743" s="149"/>
      <c r="V743" s="149"/>
      <c r="W743" s="149"/>
      <c r="X743" s="149"/>
      <c r="Y743" s="149"/>
      <c r="Z743" s="149"/>
      <c r="AA743" s="149"/>
    </row>
    <row r="744" spans="1:27" ht="15.75" customHeight="1" x14ac:dyDescent="0.25">
      <c r="A744" s="149"/>
      <c r="B744" s="149"/>
      <c r="C744" s="149"/>
      <c r="D744" s="149"/>
      <c r="E744" s="14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  <c r="Q744" s="149"/>
      <c r="R744" s="149"/>
      <c r="S744" s="149"/>
      <c r="T744" s="149"/>
      <c r="U744" s="149"/>
      <c r="V744" s="149"/>
      <c r="W744" s="149"/>
      <c r="X744" s="149"/>
      <c r="Y744" s="149"/>
      <c r="Z744" s="149"/>
      <c r="AA744" s="149"/>
    </row>
    <row r="745" spans="1:27" ht="15.75" customHeight="1" x14ac:dyDescent="0.25">
      <c r="A745" s="149"/>
      <c r="B745" s="149"/>
      <c r="C745" s="149"/>
      <c r="D745" s="149"/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  <c r="Q745" s="149"/>
      <c r="R745" s="149"/>
      <c r="S745" s="149"/>
      <c r="T745" s="149"/>
      <c r="U745" s="149"/>
      <c r="V745" s="149"/>
      <c r="W745" s="149"/>
      <c r="X745" s="149"/>
      <c r="Y745" s="149"/>
      <c r="Z745" s="149"/>
      <c r="AA745" s="149"/>
    </row>
    <row r="746" spans="1:27" ht="15.75" customHeight="1" x14ac:dyDescent="0.25">
      <c r="A746" s="149"/>
      <c r="B746" s="149"/>
      <c r="C746" s="149"/>
      <c r="D746" s="149"/>
      <c r="E746" s="14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  <c r="Q746" s="149"/>
      <c r="R746" s="149"/>
      <c r="S746" s="149"/>
      <c r="T746" s="149"/>
      <c r="U746" s="149"/>
      <c r="V746" s="149"/>
      <c r="W746" s="149"/>
      <c r="X746" s="149"/>
      <c r="Y746" s="149"/>
      <c r="Z746" s="149"/>
      <c r="AA746" s="149"/>
    </row>
    <row r="747" spans="1:27" ht="15.75" customHeight="1" x14ac:dyDescent="0.25">
      <c r="A747" s="149"/>
      <c r="B747" s="149"/>
      <c r="C747" s="149"/>
      <c r="D747" s="149"/>
      <c r="E747" s="14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  <c r="Q747" s="149"/>
      <c r="R747" s="149"/>
      <c r="S747" s="149"/>
      <c r="T747" s="149"/>
      <c r="U747" s="149"/>
      <c r="V747" s="149"/>
      <c r="W747" s="149"/>
      <c r="X747" s="149"/>
      <c r="Y747" s="149"/>
      <c r="Z747" s="149"/>
      <c r="AA747" s="149"/>
    </row>
    <row r="748" spans="1:27" ht="15.75" customHeight="1" x14ac:dyDescent="0.25">
      <c r="A748" s="149"/>
      <c r="B748" s="149"/>
      <c r="C748" s="149"/>
      <c r="D748" s="149"/>
      <c r="E748" s="14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  <c r="Q748" s="149"/>
      <c r="R748" s="149"/>
      <c r="S748" s="149"/>
      <c r="T748" s="149"/>
      <c r="U748" s="149"/>
      <c r="V748" s="149"/>
      <c r="W748" s="149"/>
      <c r="X748" s="149"/>
      <c r="Y748" s="149"/>
      <c r="Z748" s="149"/>
      <c r="AA748" s="149"/>
    </row>
    <row r="749" spans="1:27" ht="15.75" customHeight="1" x14ac:dyDescent="0.25">
      <c r="A749" s="149"/>
      <c r="B749" s="149"/>
      <c r="C749" s="149"/>
      <c r="D749" s="149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  <c r="Q749" s="149"/>
      <c r="R749" s="149"/>
      <c r="S749" s="149"/>
      <c r="T749" s="149"/>
      <c r="U749" s="149"/>
      <c r="V749" s="149"/>
      <c r="W749" s="149"/>
      <c r="X749" s="149"/>
      <c r="Y749" s="149"/>
      <c r="Z749" s="149"/>
      <c r="AA749" s="149"/>
    </row>
    <row r="750" spans="1:27" ht="15.75" customHeight="1" x14ac:dyDescent="0.25">
      <c r="A750" s="149"/>
      <c r="B750" s="149"/>
      <c r="C750" s="149"/>
      <c r="D750" s="149"/>
      <c r="E750" s="14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  <c r="Q750" s="149"/>
      <c r="R750" s="149"/>
      <c r="S750" s="149"/>
      <c r="T750" s="149"/>
      <c r="U750" s="149"/>
      <c r="V750" s="149"/>
      <c r="W750" s="149"/>
      <c r="X750" s="149"/>
      <c r="Y750" s="149"/>
      <c r="Z750" s="149"/>
      <c r="AA750" s="149"/>
    </row>
    <row r="751" spans="1:27" ht="15.75" customHeight="1" x14ac:dyDescent="0.25">
      <c r="A751" s="149"/>
      <c r="B751" s="149"/>
      <c r="C751" s="149"/>
      <c r="D751" s="149"/>
      <c r="E751" s="14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  <c r="Q751" s="149"/>
      <c r="R751" s="149"/>
      <c r="S751" s="149"/>
      <c r="T751" s="149"/>
      <c r="U751" s="149"/>
      <c r="V751" s="149"/>
      <c r="W751" s="149"/>
      <c r="X751" s="149"/>
      <c r="Y751" s="149"/>
      <c r="Z751" s="149"/>
      <c r="AA751" s="149"/>
    </row>
    <row r="752" spans="1:27" ht="15.75" customHeight="1" x14ac:dyDescent="0.25">
      <c r="A752" s="149"/>
      <c r="B752" s="149"/>
      <c r="C752" s="149"/>
      <c r="D752" s="149"/>
      <c r="E752" s="14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  <c r="Q752" s="149"/>
      <c r="R752" s="149"/>
      <c r="S752" s="149"/>
      <c r="T752" s="149"/>
      <c r="U752" s="149"/>
      <c r="V752" s="149"/>
      <c r="W752" s="149"/>
      <c r="X752" s="149"/>
      <c r="Y752" s="149"/>
      <c r="Z752" s="149"/>
      <c r="AA752" s="149"/>
    </row>
    <row r="753" spans="1:27" ht="15.75" customHeight="1" x14ac:dyDescent="0.25">
      <c r="A753" s="149"/>
      <c r="B753" s="149"/>
      <c r="C753" s="149"/>
      <c r="D753" s="149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  <c r="Q753" s="149"/>
      <c r="R753" s="149"/>
      <c r="S753" s="149"/>
      <c r="T753" s="149"/>
      <c r="U753" s="149"/>
      <c r="V753" s="149"/>
      <c r="W753" s="149"/>
      <c r="X753" s="149"/>
      <c r="Y753" s="149"/>
      <c r="Z753" s="149"/>
      <c r="AA753" s="149"/>
    </row>
    <row r="754" spans="1:27" ht="15.75" customHeight="1" x14ac:dyDescent="0.25">
      <c r="A754" s="149"/>
      <c r="B754" s="149"/>
      <c r="C754" s="149"/>
      <c r="D754" s="149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  <c r="Q754" s="149"/>
      <c r="R754" s="149"/>
      <c r="S754" s="149"/>
      <c r="T754" s="149"/>
      <c r="U754" s="149"/>
      <c r="V754" s="149"/>
      <c r="W754" s="149"/>
      <c r="X754" s="149"/>
      <c r="Y754" s="149"/>
      <c r="Z754" s="149"/>
      <c r="AA754" s="149"/>
    </row>
    <row r="755" spans="1:27" ht="15.75" customHeight="1" x14ac:dyDescent="0.25">
      <c r="A755" s="149"/>
      <c r="B755" s="149"/>
      <c r="C755" s="149"/>
      <c r="D755" s="149"/>
      <c r="E755" s="14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  <c r="Q755" s="149"/>
      <c r="R755" s="149"/>
      <c r="S755" s="149"/>
      <c r="T755" s="149"/>
      <c r="U755" s="149"/>
      <c r="V755" s="149"/>
      <c r="W755" s="149"/>
      <c r="X755" s="149"/>
      <c r="Y755" s="149"/>
      <c r="Z755" s="149"/>
      <c r="AA755" s="149"/>
    </row>
    <row r="756" spans="1:27" ht="15.75" customHeight="1" x14ac:dyDescent="0.25">
      <c r="A756" s="149"/>
      <c r="B756" s="149"/>
      <c r="C756" s="149"/>
      <c r="D756" s="149"/>
      <c r="E756" s="14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  <c r="Q756" s="149"/>
      <c r="R756" s="149"/>
      <c r="S756" s="149"/>
      <c r="T756" s="149"/>
      <c r="U756" s="149"/>
      <c r="V756" s="149"/>
      <c r="W756" s="149"/>
      <c r="X756" s="149"/>
      <c r="Y756" s="149"/>
      <c r="Z756" s="149"/>
      <c r="AA756" s="149"/>
    </row>
    <row r="757" spans="1:27" ht="15.75" customHeight="1" x14ac:dyDescent="0.25">
      <c r="A757" s="149"/>
      <c r="B757" s="149"/>
      <c r="C757" s="149"/>
      <c r="D757" s="149"/>
      <c r="E757" s="14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  <c r="Q757" s="149"/>
      <c r="R757" s="149"/>
      <c r="S757" s="149"/>
      <c r="T757" s="149"/>
      <c r="U757" s="149"/>
      <c r="V757" s="149"/>
      <c r="W757" s="149"/>
      <c r="X757" s="149"/>
      <c r="Y757" s="149"/>
      <c r="Z757" s="149"/>
      <c r="AA757" s="149"/>
    </row>
    <row r="758" spans="1:27" ht="15.75" customHeight="1" x14ac:dyDescent="0.25">
      <c r="A758" s="149"/>
      <c r="B758" s="149"/>
      <c r="C758" s="149"/>
      <c r="D758" s="149"/>
      <c r="E758" s="14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  <c r="Q758" s="149"/>
      <c r="R758" s="149"/>
      <c r="S758" s="149"/>
      <c r="T758" s="149"/>
      <c r="U758" s="149"/>
      <c r="V758" s="149"/>
      <c r="W758" s="149"/>
      <c r="X758" s="149"/>
      <c r="Y758" s="149"/>
      <c r="Z758" s="149"/>
      <c r="AA758" s="149"/>
    </row>
    <row r="759" spans="1:27" ht="15.75" customHeight="1" x14ac:dyDescent="0.25">
      <c r="A759" s="149"/>
      <c r="B759" s="149"/>
      <c r="C759" s="149"/>
      <c r="D759" s="149"/>
      <c r="E759" s="14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  <c r="Q759" s="149"/>
      <c r="R759" s="149"/>
      <c r="S759" s="149"/>
      <c r="T759" s="149"/>
      <c r="U759" s="149"/>
      <c r="V759" s="149"/>
      <c r="W759" s="149"/>
      <c r="X759" s="149"/>
      <c r="Y759" s="149"/>
      <c r="Z759" s="149"/>
      <c r="AA759" s="149"/>
    </row>
    <row r="760" spans="1:27" ht="15.75" customHeight="1" x14ac:dyDescent="0.25">
      <c r="A760" s="149"/>
      <c r="B760" s="149"/>
      <c r="C760" s="149"/>
      <c r="D760" s="149"/>
      <c r="E760" s="14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  <c r="Q760" s="149"/>
      <c r="R760" s="149"/>
      <c r="S760" s="149"/>
      <c r="T760" s="149"/>
      <c r="U760" s="149"/>
      <c r="V760" s="149"/>
      <c r="W760" s="149"/>
      <c r="X760" s="149"/>
      <c r="Y760" s="149"/>
      <c r="Z760" s="149"/>
      <c r="AA760" s="149"/>
    </row>
    <row r="761" spans="1:27" ht="15.75" customHeight="1" x14ac:dyDescent="0.25">
      <c r="A761" s="149"/>
      <c r="B761" s="149"/>
      <c r="C761" s="149"/>
      <c r="D761" s="149"/>
      <c r="E761" s="14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  <c r="Q761" s="149"/>
      <c r="R761" s="149"/>
      <c r="S761" s="149"/>
      <c r="T761" s="149"/>
      <c r="U761" s="149"/>
      <c r="V761" s="149"/>
      <c r="W761" s="149"/>
      <c r="X761" s="149"/>
      <c r="Y761" s="149"/>
      <c r="Z761" s="149"/>
      <c r="AA761" s="149"/>
    </row>
    <row r="762" spans="1:27" ht="15.75" customHeight="1" x14ac:dyDescent="0.25">
      <c r="A762" s="149"/>
      <c r="B762" s="149"/>
      <c r="C762" s="149"/>
      <c r="D762" s="149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  <c r="Q762" s="149"/>
      <c r="R762" s="149"/>
      <c r="S762" s="149"/>
      <c r="T762" s="149"/>
      <c r="U762" s="149"/>
      <c r="V762" s="149"/>
      <c r="W762" s="149"/>
      <c r="X762" s="149"/>
      <c r="Y762" s="149"/>
      <c r="Z762" s="149"/>
      <c r="AA762" s="149"/>
    </row>
    <row r="763" spans="1:27" ht="15.75" customHeight="1" x14ac:dyDescent="0.25">
      <c r="A763" s="149"/>
      <c r="B763" s="149"/>
      <c r="C763" s="149"/>
      <c r="D763" s="149"/>
      <c r="E763" s="14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  <c r="Q763" s="149"/>
      <c r="R763" s="149"/>
      <c r="S763" s="149"/>
      <c r="T763" s="149"/>
      <c r="U763" s="149"/>
      <c r="V763" s="149"/>
      <c r="W763" s="149"/>
      <c r="X763" s="149"/>
      <c r="Y763" s="149"/>
      <c r="Z763" s="149"/>
      <c r="AA763" s="149"/>
    </row>
    <row r="764" spans="1:27" ht="15.75" customHeight="1" x14ac:dyDescent="0.25">
      <c r="A764" s="149"/>
      <c r="B764" s="149"/>
      <c r="C764" s="149"/>
      <c r="D764" s="149"/>
      <c r="E764" s="14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  <c r="Q764" s="149"/>
      <c r="R764" s="149"/>
      <c r="S764" s="149"/>
      <c r="T764" s="149"/>
      <c r="U764" s="149"/>
      <c r="V764" s="149"/>
      <c r="W764" s="149"/>
      <c r="X764" s="149"/>
      <c r="Y764" s="149"/>
      <c r="Z764" s="149"/>
      <c r="AA764" s="149"/>
    </row>
    <row r="765" spans="1:27" ht="15.75" customHeight="1" x14ac:dyDescent="0.25">
      <c r="A765" s="149"/>
      <c r="B765" s="149"/>
      <c r="C765" s="149"/>
      <c r="D765" s="149"/>
      <c r="E765" s="14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  <c r="Q765" s="149"/>
      <c r="R765" s="149"/>
      <c r="S765" s="149"/>
      <c r="T765" s="149"/>
      <c r="U765" s="149"/>
      <c r="V765" s="149"/>
      <c r="W765" s="149"/>
      <c r="X765" s="149"/>
      <c r="Y765" s="149"/>
      <c r="Z765" s="149"/>
      <c r="AA765" s="149"/>
    </row>
    <row r="766" spans="1:27" ht="15.75" customHeight="1" x14ac:dyDescent="0.25">
      <c r="A766" s="149"/>
      <c r="B766" s="149"/>
      <c r="C766" s="149"/>
      <c r="D766" s="149"/>
      <c r="E766" s="14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  <c r="Q766" s="149"/>
      <c r="R766" s="149"/>
      <c r="S766" s="149"/>
      <c r="T766" s="149"/>
      <c r="U766" s="149"/>
      <c r="V766" s="149"/>
      <c r="W766" s="149"/>
      <c r="X766" s="149"/>
      <c r="Y766" s="149"/>
      <c r="Z766" s="149"/>
      <c r="AA766" s="149"/>
    </row>
    <row r="767" spans="1:27" ht="15.75" customHeight="1" x14ac:dyDescent="0.25">
      <c r="A767" s="149"/>
      <c r="B767" s="149"/>
      <c r="C767" s="149"/>
      <c r="D767" s="149"/>
      <c r="E767" s="14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  <c r="Q767" s="149"/>
      <c r="R767" s="149"/>
      <c r="S767" s="149"/>
      <c r="T767" s="149"/>
      <c r="U767" s="149"/>
      <c r="V767" s="149"/>
      <c r="W767" s="149"/>
      <c r="X767" s="149"/>
      <c r="Y767" s="149"/>
      <c r="Z767" s="149"/>
      <c r="AA767" s="149"/>
    </row>
    <row r="768" spans="1:27" ht="15.75" customHeight="1" x14ac:dyDescent="0.25">
      <c r="A768" s="149"/>
      <c r="B768" s="149"/>
      <c r="C768" s="149"/>
      <c r="D768" s="149"/>
      <c r="E768" s="14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  <c r="Q768" s="149"/>
      <c r="R768" s="149"/>
      <c r="S768" s="149"/>
      <c r="T768" s="149"/>
      <c r="U768" s="149"/>
      <c r="V768" s="149"/>
      <c r="W768" s="149"/>
      <c r="X768" s="149"/>
      <c r="Y768" s="149"/>
      <c r="Z768" s="149"/>
      <c r="AA768" s="149"/>
    </row>
    <row r="769" spans="1:27" ht="15.75" customHeight="1" x14ac:dyDescent="0.25">
      <c r="A769" s="149"/>
      <c r="B769" s="149"/>
      <c r="C769" s="149"/>
      <c r="D769" s="149"/>
      <c r="E769" s="14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  <c r="Q769" s="149"/>
      <c r="R769" s="149"/>
      <c r="S769" s="149"/>
      <c r="T769" s="149"/>
      <c r="U769" s="149"/>
      <c r="V769" s="149"/>
      <c r="W769" s="149"/>
      <c r="X769" s="149"/>
      <c r="Y769" s="149"/>
      <c r="Z769" s="149"/>
      <c r="AA769" s="149"/>
    </row>
    <row r="770" spans="1:27" ht="15.75" customHeight="1" x14ac:dyDescent="0.25">
      <c r="A770" s="149"/>
      <c r="B770" s="149"/>
      <c r="C770" s="149"/>
      <c r="D770" s="149"/>
      <c r="E770" s="14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  <c r="Q770" s="149"/>
      <c r="R770" s="149"/>
      <c r="S770" s="149"/>
      <c r="T770" s="149"/>
      <c r="U770" s="149"/>
      <c r="V770" s="149"/>
      <c r="W770" s="149"/>
      <c r="X770" s="149"/>
      <c r="Y770" s="149"/>
      <c r="Z770" s="149"/>
      <c r="AA770" s="149"/>
    </row>
    <row r="771" spans="1:27" ht="15.75" customHeight="1" x14ac:dyDescent="0.25">
      <c r="A771" s="149"/>
      <c r="B771" s="149"/>
      <c r="C771" s="149"/>
      <c r="D771" s="149"/>
      <c r="E771" s="14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  <c r="Q771" s="149"/>
      <c r="R771" s="149"/>
      <c r="S771" s="149"/>
      <c r="T771" s="149"/>
      <c r="U771" s="149"/>
      <c r="V771" s="149"/>
      <c r="W771" s="149"/>
      <c r="X771" s="149"/>
      <c r="Y771" s="149"/>
      <c r="Z771" s="149"/>
      <c r="AA771" s="149"/>
    </row>
    <row r="772" spans="1:27" ht="15.75" customHeight="1" x14ac:dyDescent="0.25">
      <c r="A772" s="149"/>
      <c r="B772" s="149"/>
      <c r="C772" s="149"/>
      <c r="D772" s="149"/>
      <c r="E772" s="14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  <c r="Q772" s="149"/>
      <c r="R772" s="149"/>
      <c r="S772" s="149"/>
      <c r="T772" s="149"/>
      <c r="U772" s="149"/>
      <c r="V772" s="149"/>
      <c r="W772" s="149"/>
      <c r="X772" s="149"/>
      <c r="Y772" s="149"/>
      <c r="Z772" s="149"/>
      <c r="AA772" s="149"/>
    </row>
    <row r="773" spans="1:27" ht="15.75" customHeight="1" x14ac:dyDescent="0.25">
      <c r="A773" s="149"/>
      <c r="B773" s="149"/>
      <c r="C773" s="149"/>
      <c r="D773" s="149"/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  <c r="Q773" s="149"/>
      <c r="R773" s="149"/>
      <c r="S773" s="149"/>
      <c r="T773" s="149"/>
      <c r="U773" s="149"/>
      <c r="V773" s="149"/>
      <c r="W773" s="149"/>
      <c r="X773" s="149"/>
      <c r="Y773" s="149"/>
      <c r="Z773" s="149"/>
      <c r="AA773" s="149"/>
    </row>
    <row r="774" spans="1:27" ht="15.75" customHeight="1" x14ac:dyDescent="0.25">
      <c r="A774" s="149"/>
      <c r="B774" s="149"/>
      <c r="C774" s="149"/>
      <c r="D774" s="149"/>
      <c r="E774" s="14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  <c r="Q774" s="149"/>
      <c r="R774" s="149"/>
      <c r="S774" s="149"/>
      <c r="T774" s="149"/>
      <c r="U774" s="149"/>
      <c r="V774" s="149"/>
      <c r="W774" s="149"/>
      <c r="X774" s="149"/>
      <c r="Y774" s="149"/>
      <c r="Z774" s="149"/>
      <c r="AA774" s="149"/>
    </row>
    <row r="775" spans="1:27" ht="15.75" customHeight="1" x14ac:dyDescent="0.25">
      <c r="A775" s="149"/>
      <c r="B775" s="149"/>
      <c r="C775" s="149"/>
      <c r="D775" s="149"/>
      <c r="E775" s="14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  <c r="Q775" s="149"/>
      <c r="R775" s="149"/>
      <c r="S775" s="149"/>
      <c r="T775" s="149"/>
      <c r="U775" s="149"/>
      <c r="V775" s="149"/>
      <c r="W775" s="149"/>
      <c r="X775" s="149"/>
      <c r="Y775" s="149"/>
      <c r="Z775" s="149"/>
      <c r="AA775" s="149"/>
    </row>
    <row r="776" spans="1:27" ht="15.75" customHeight="1" x14ac:dyDescent="0.25">
      <c r="A776" s="149"/>
      <c r="B776" s="149"/>
      <c r="C776" s="149"/>
      <c r="D776" s="149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  <c r="Q776" s="149"/>
      <c r="R776" s="149"/>
      <c r="S776" s="149"/>
      <c r="T776" s="149"/>
      <c r="U776" s="149"/>
      <c r="V776" s="149"/>
      <c r="W776" s="149"/>
      <c r="X776" s="149"/>
      <c r="Y776" s="149"/>
      <c r="Z776" s="149"/>
      <c r="AA776" s="149"/>
    </row>
    <row r="777" spans="1:27" ht="15.75" customHeight="1" x14ac:dyDescent="0.25">
      <c r="A777" s="149"/>
      <c r="B777" s="149"/>
      <c r="C777" s="149"/>
      <c r="D777" s="149"/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  <c r="Q777" s="149"/>
      <c r="R777" s="149"/>
      <c r="S777" s="149"/>
      <c r="T777" s="149"/>
      <c r="U777" s="149"/>
      <c r="V777" s="149"/>
      <c r="W777" s="149"/>
      <c r="X777" s="149"/>
      <c r="Y777" s="149"/>
      <c r="Z777" s="149"/>
      <c r="AA777" s="149"/>
    </row>
    <row r="778" spans="1:27" ht="15.75" customHeight="1" x14ac:dyDescent="0.25">
      <c r="A778" s="149"/>
      <c r="B778" s="149"/>
      <c r="C778" s="149"/>
      <c r="D778" s="149"/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  <c r="Q778" s="149"/>
      <c r="R778" s="149"/>
      <c r="S778" s="149"/>
      <c r="T778" s="149"/>
      <c r="U778" s="149"/>
      <c r="V778" s="149"/>
      <c r="W778" s="149"/>
      <c r="X778" s="149"/>
      <c r="Y778" s="149"/>
      <c r="Z778" s="149"/>
      <c r="AA778" s="149"/>
    </row>
    <row r="779" spans="1:27" ht="15.75" customHeight="1" x14ac:dyDescent="0.25">
      <c r="A779" s="149"/>
      <c r="B779" s="149"/>
      <c r="C779" s="149"/>
      <c r="D779" s="149"/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  <c r="Q779" s="149"/>
      <c r="R779" s="149"/>
      <c r="S779" s="149"/>
      <c r="T779" s="149"/>
      <c r="U779" s="149"/>
      <c r="V779" s="149"/>
      <c r="W779" s="149"/>
      <c r="X779" s="149"/>
      <c r="Y779" s="149"/>
      <c r="Z779" s="149"/>
      <c r="AA779" s="149"/>
    </row>
    <row r="780" spans="1:27" ht="15.75" customHeight="1" x14ac:dyDescent="0.25">
      <c r="A780" s="149"/>
      <c r="B780" s="149"/>
      <c r="C780" s="149"/>
      <c r="D780" s="149"/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  <c r="Q780" s="149"/>
      <c r="R780" s="149"/>
      <c r="S780" s="149"/>
      <c r="T780" s="149"/>
      <c r="U780" s="149"/>
      <c r="V780" s="149"/>
      <c r="W780" s="149"/>
      <c r="X780" s="149"/>
      <c r="Y780" s="149"/>
      <c r="Z780" s="149"/>
      <c r="AA780" s="149"/>
    </row>
    <row r="781" spans="1:27" ht="15.75" customHeight="1" x14ac:dyDescent="0.25">
      <c r="A781" s="149"/>
      <c r="B781" s="149"/>
      <c r="C781" s="149"/>
      <c r="D781" s="149"/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  <c r="Q781" s="149"/>
      <c r="R781" s="149"/>
      <c r="S781" s="149"/>
      <c r="T781" s="149"/>
      <c r="U781" s="149"/>
      <c r="V781" s="149"/>
      <c r="W781" s="149"/>
      <c r="X781" s="149"/>
      <c r="Y781" s="149"/>
      <c r="Z781" s="149"/>
      <c r="AA781" s="149"/>
    </row>
    <row r="782" spans="1:27" ht="15.75" customHeight="1" x14ac:dyDescent="0.25">
      <c r="A782" s="149"/>
      <c r="B782" s="149"/>
      <c r="C782" s="149"/>
      <c r="D782" s="149"/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  <c r="Q782" s="149"/>
      <c r="R782" s="149"/>
      <c r="S782" s="149"/>
      <c r="T782" s="149"/>
      <c r="U782" s="149"/>
      <c r="V782" s="149"/>
      <c r="W782" s="149"/>
      <c r="X782" s="149"/>
      <c r="Y782" s="149"/>
      <c r="Z782" s="149"/>
      <c r="AA782" s="149"/>
    </row>
    <row r="783" spans="1:27" ht="15.75" customHeight="1" x14ac:dyDescent="0.25">
      <c r="A783" s="149"/>
      <c r="B783" s="149"/>
      <c r="C783" s="149"/>
      <c r="D783" s="149"/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  <c r="Q783" s="149"/>
      <c r="R783" s="149"/>
      <c r="S783" s="149"/>
      <c r="T783" s="149"/>
      <c r="U783" s="149"/>
      <c r="V783" s="149"/>
      <c r="W783" s="149"/>
      <c r="X783" s="149"/>
      <c r="Y783" s="149"/>
      <c r="Z783" s="149"/>
      <c r="AA783" s="149"/>
    </row>
    <row r="784" spans="1:27" ht="15.75" customHeight="1" x14ac:dyDescent="0.25">
      <c r="A784" s="149"/>
      <c r="B784" s="149"/>
      <c r="C784" s="149"/>
      <c r="D784" s="149"/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  <c r="Q784" s="149"/>
      <c r="R784" s="149"/>
      <c r="S784" s="149"/>
      <c r="T784" s="149"/>
      <c r="U784" s="149"/>
      <c r="V784" s="149"/>
      <c r="W784" s="149"/>
      <c r="X784" s="149"/>
      <c r="Y784" s="149"/>
      <c r="Z784" s="149"/>
      <c r="AA784" s="149"/>
    </row>
    <row r="785" spans="1:27" ht="15.75" customHeight="1" x14ac:dyDescent="0.25">
      <c r="A785" s="149"/>
      <c r="B785" s="149"/>
      <c r="C785" s="149"/>
      <c r="D785" s="149"/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  <c r="Q785" s="149"/>
      <c r="R785" s="149"/>
      <c r="S785" s="149"/>
      <c r="T785" s="149"/>
      <c r="U785" s="149"/>
      <c r="V785" s="149"/>
      <c r="W785" s="149"/>
      <c r="X785" s="149"/>
      <c r="Y785" s="149"/>
      <c r="Z785" s="149"/>
      <c r="AA785" s="149"/>
    </row>
    <row r="786" spans="1:27" ht="15.75" customHeight="1" x14ac:dyDescent="0.25">
      <c r="A786" s="149"/>
      <c r="B786" s="149"/>
      <c r="C786" s="149"/>
      <c r="D786" s="149"/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  <c r="Q786" s="149"/>
      <c r="R786" s="149"/>
      <c r="S786" s="149"/>
      <c r="T786" s="149"/>
      <c r="U786" s="149"/>
      <c r="V786" s="149"/>
      <c r="W786" s="149"/>
      <c r="X786" s="149"/>
      <c r="Y786" s="149"/>
      <c r="Z786" s="149"/>
      <c r="AA786" s="149"/>
    </row>
    <row r="787" spans="1:27" ht="15.75" customHeight="1" x14ac:dyDescent="0.25">
      <c r="A787" s="149"/>
      <c r="B787" s="149"/>
      <c r="C787" s="149"/>
      <c r="D787" s="149"/>
      <c r="E787" s="14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  <c r="Q787" s="149"/>
      <c r="R787" s="149"/>
      <c r="S787" s="149"/>
      <c r="T787" s="149"/>
      <c r="U787" s="149"/>
      <c r="V787" s="149"/>
      <c r="W787" s="149"/>
      <c r="X787" s="149"/>
      <c r="Y787" s="149"/>
      <c r="Z787" s="149"/>
      <c r="AA787" s="149"/>
    </row>
    <row r="788" spans="1:27" ht="15.75" customHeight="1" x14ac:dyDescent="0.25">
      <c r="A788" s="149"/>
      <c r="B788" s="149"/>
      <c r="C788" s="149"/>
      <c r="D788" s="149"/>
      <c r="E788" s="14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  <c r="Q788" s="149"/>
      <c r="R788" s="149"/>
      <c r="S788" s="149"/>
      <c r="T788" s="149"/>
      <c r="U788" s="149"/>
      <c r="V788" s="149"/>
      <c r="W788" s="149"/>
      <c r="X788" s="149"/>
      <c r="Y788" s="149"/>
      <c r="Z788" s="149"/>
      <c r="AA788" s="149"/>
    </row>
    <row r="789" spans="1:27" ht="15.75" customHeight="1" x14ac:dyDescent="0.25">
      <c r="A789" s="149"/>
      <c r="B789" s="149"/>
      <c r="C789" s="149"/>
      <c r="D789" s="149"/>
      <c r="E789" s="14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  <c r="Q789" s="149"/>
      <c r="R789" s="149"/>
      <c r="S789" s="149"/>
      <c r="T789" s="149"/>
      <c r="U789" s="149"/>
      <c r="V789" s="149"/>
      <c r="W789" s="149"/>
      <c r="X789" s="149"/>
      <c r="Y789" s="149"/>
      <c r="Z789" s="149"/>
      <c r="AA789" s="149"/>
    </row>
    <row r="790" spans="1:27" ht="15.75" customHeight="1" x14ac:dyDescent="0.25">
      <c r="A790" s="149"/>
      <c r="B790" s="149"/>
      <c r="C790" s="149"/>
      <c r="D790" s="149"/>
      <c r="E790" s="14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  <c r="Q790" s="149"/>
      <c r="R790" s="149"/>
      <c r="S790" s="149"/>
      <c r="T790" s="149"/>
      <c r="U790" s="149"/>
      <c r="V790" s="149"/>
      <c r="W790" s="149"/>
      <c r="X790" s="149"/>
      <c r="Y790" s="149"/>
      <c r="Z790" s="149"/>
      <c r="AA790" s="149"/>
    </row>
    <row r="791" spans="1:27" ht="15.75" customHeight="1" x14ac:dyDescent="0.25">
      <c r="A791" s="149"/>
      <c r="B791" s="149"/>
      <c r="C791" s="149"/>
      <c r="D791" s="149"/>
      <c r="E791" s="14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  <c r="Q791" s="149"/>
      <c r="R791" s="149"/>
      <c r="S791" s="149"/>
      <c r="T791" s="149"/>
      <c r="U791" s="149"/>
      <c r="V791" s="149"/>
      <c r="W791" s="149"/>
      <c r="X791" s="149"/>
      <c r="Y791" s="149"/>
      <c r="Z791" s="149"/>
      <c r="AA791" s="149"/>
    </row>
    <row r="792" spans="1:27" ht="15.75" customHeight="1" x14ac:dyDescent="0.25">
      <c r="A792" s="149"/>
      <c r="B792" s="149"/>
      <c r="C792" s="149"/>
      <c r="D792" s="149"/>
      <c r="E792" s="14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  <c r="Q792" s="149"/>
      <c r="R792" s="149"/>
      <c r="S792" s="149"/>
      <c r="T792" s="149"/>
      <c r="U792" s="149"/>
      <c r="V792" s="149"/>
      <c r="W792" s="149"/>
      <c r="X792" s="149"/>
      <c r="Y792" s="149"/>
      <c r="Z792" s="149"/>
      <c r="AA792" s="149"/>
    </row>
    <row r="793" spans="1:27" ht="15.75" customHeight="1" x14ac:dyDescent="0.25">
      <c r="A793" s="149"/>
      <c r="B793" s="149"/>
      <c r="C793" s="149"/>
      <c r="D793" s="149"/>
      <c r="E793" s="14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  <c r="Q793" s="149"/>
      <c r="R793" s="149"/>
      <c r="S793" s="149"/>
      <c r="T793" s="149"/>
      <c r="U793" s="149"/>
      <c r="V793" s="149"/>
      <c r="W793" s="149"/>
      <c r="X793" s="149"/>
      <c r="Y793" s="149"/>
      <c r="Z793" s="149"/>
      <c r="AA793" s="149"/>
    </row>
    <row r="794" spans="1:27" ht="15.75" customHeight="1" x14ac:dyDescent="0.25">
      <c r="A794" s="149"/>
      <c r="B794" s="149"/>
      <c r="C794" s="149"/>
      <c r="D794" s="149"/>
      <c r="E794" s="14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  <c r="Q794" s="149"/>
      <c r="R794" s="149"/>
      <c r="S794" s="149"/>
      <c r="T794" s="149"/>
      <c r="U794" s="149"/>
      <c r="V794" s="149"/>
      <c r="W794" s="149"/>
      <c r="X794" s="149"/>
      <c r="Y794" s="149"/>
      <c r="Z794" s="149"/>
      <c r="AA794" s="149"/>
    </row>
    <row r="795" spans="1:27" ht="15.75" customHeight="1" x14ac:dyDescent="0.25">
      <c r="A795" s="149"/>
      <c r="B795" s="149"/>
      <c r="C795" s="149"/>
      <c r="D795" s="149"/>
      <c r="E795" s="14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  <c r="Q795" s="149"/>
      <c r="R795" s="149"/>
      <c r="S795" s="149"/>
      <c r="T795" s="149"/>
      <c r="U795" s="149"/>
      <c r="V795" s="149"/>
      <c r="W795" s="149"/>
      <c r="X795" s="149"/>
      <c r="Y795" s="149"/>
      <c r="Z795" s="149"/>
      <c r="AA795" s="149"/>
    </row>
    <row r="796" spans="1:27" ht="15.75" customHeight="1" x14ac:dyDescent="0.25">
      <c r="A796" s="149"/>
      <c r="B796" s="149"/>
      <c r="C796" s="149"/>
      <c r="D796" s="149"/>
      <c r="E796" s="14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  <c r="Q796" s="149"/>
      <c r="R796" s="149"/>
      <c r="S796" s="149"/>
      <c r="T796" s="149"/>
      <c r="U796" s="149"/>
      <c r="V796" s="149"/>
      <c r="W796" s="149"/>
      <c r="X796" s="149"/>
      <c r="Y796" s="149"/>
      <c r="Z796" s="149"/>
      <c r="AA796" s="149"/>
    </row>
    <row r="797" spans="1:27" ht="15.75" customHeight="1" x14ac:dyDescent="0.25">
      <c r="A797" s="149"/>
      <c r="B797" s="149"/>
      <c r="C797" s="149"/>
      <c r="D797" s="149"/>
      <c r="E797" s="14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  <c r="Q797" s="149"/>
      <c r="R797" s="149"/>
      <c r="S797" s="149"/>
      <c r="T797" s="149"/>
      <c r="U797" s="149"/>
      <c r="V797" s="149"/>
      <c r="W797" s="149"/>
      <c r="X797" s="149"/>
      <c r="Y797" s="149"/>
      <c r="Z797" s="149"/>
      <c r="AA797" s="149"/>
    </row>
    <row r="798" spans="1:27" ht="15.75" customHeight="1" x14ac:dyDescent="0.25">
      <c r="A798" s="149"/>
      <c r="B798" s="149"/>
      <c r="C798" s="149"/>
      <c r="D798" s="149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  <c r="Q798" s="149"/>
      <c r="R798" s="149"/>
      <c r="S798" s="149"/>
      <c r="T798" s="149"/>
      <c r="U798" s="149"/>
      <c r="V798" s="149"/>
      <c r="W798" s="149"/>
      <c r="X798" s="149"/>
      <c r="Y798" s="149"/>
      <c r="Z798" s="149"/>
      <c r="AA798" s="149"/>
    </row>
    <row r="799" spans="1:27" ht="15.75" customHeight="1" x14ac:dyDescent="0.25">
      <c r="A799" s="149"/>
      <c r="B799" s="149"/>
      <c r="C799" s="149"/>
      <c r="D799" s="149"/>
      <c r="E799" s="14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  <c r="Q799" s="149"/>
      <c r="R799" s="149"/>
      <c r="S799" s="149"/>
      <c r="T799" s="149"/>
      <c r="U799" s="149"/>
      <c r="V799" s="149"/>
      <c r="W799" s="149"/>
      <c r="X799" s="149"/>
      <c r="Y799" s="149"/>
      <c r="Z799" s="149"/>
      <c r="AA799" s="149"/>
    </row>
    <row r="800" spans="1:27" ht="15.75" customHeight="1" x14ac:dyDescent="0.25">
      <c r="A800" s="149"/>
      <c r="B800" s="149"/>
      <c r="C800" s="149"/>
      <c r="D800" s="149"/>
      <c r="E800" s="14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  <c r="Q800" s="149"/>
      <c r="R800" s="149"/>
      <c r="S800" s="149"/>
      <c r="T800" s="149"/>
      <c r="U800" s="149"/>
      <c r="V800" s="149"/>
      <c r="W800" s="149"/>
      <c r="X800" s="149"/>
      <c r="Y800" s="149"/>
      <c r="Z800" s="149"/>
      <c r="AA800" s="149"/>
    </row>
    <row r="801" spans="1:27" ht="15.75" customHeight="1" x14ac:dyDescent="0.25">
      <c r="A801" s="149"/>
      <c r="B801" s="149"/>
      <c r="C801" s="149"/>
      <c r="D801" s="149"/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  <c r="Q801" s="149"/>
      <c r="R801" s="149"/>
      <c r="S801" s="149"/>
      <c r="T801" s="149"/>
      <c r="U801" s="149"/>
      <c r="V801" s="149"/>
      <c r="W801" s="149"/>
      <c r="X801" s="149"/>
      <c r="Y801" s="149"/>
      <c r="Z801" s="149"/>
      <c r="AA801" s="149"/>
    </row>
    <row r="802" spans="1:27" ht="15.75" customHeight="1" x14ac:dyDescent="0.25">
      <c r="A802" s="149"/>
      <c r="B802" s="149"/>
      <c r="C802" s="149"/>
      <c r="D802" s="149"/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  <c r="Q802" s="149"/>
      <c r="R802" s="149"/>
      <c r="S802" s="149"/>
      <c r="T802" s="149"/>
      <c r="U802" s="149"/>
      <c r="V802" s="149"/>
      <c r="W802" s="149"/>
      <c r="X802" s="149"/>
      <c r="Y802" s="149"/>
      <c r="Z802" s="149"/>
      <c r="AA802" s="149"/>
    </row>
    <row r="803" spans="1:27" ht="15.75" customHeight="1" x14ac:dyDescent="0.25">
      <c r="A803" s="149"/>
      <c r="B803" s="149"/>
      <c r="C803" s="149"/>
      <c r="D803" s="149"/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  <c r="Q803" s="149"/>
      <c r="R803" s="149"/>
      <c r="S803" s="149"/>
      <c r="T803" s="149"/>
      <c r="U803" s="149"/>
      <c r="V803" s="149"/>
      <c r="W803" s="149"/>
      <c r="X803" s="149"/>
      <c r="Y803" s="149"/>
      <c r="Z803" s="149"/>
      <c r="AA803" s="149"/>
    </row>
    <row r="804" spans="1:27" ht="15.75" customHeight="1" x14ac:dyDescent="0.25">
      <c r="A804" s="149"/>
      <c r="B804" s="149"/>
      <c r="C804" s="149"/>
      <c r="D804" s="149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  <c r="Q804" s="149"/>
      <c r="R804" s="149"/>
      <c r="S804" s="149"/>
      <c r="T804" s="149"/>
      <c r="U804" s="149"/>
      <c r="V804" s="149"/>
      <c r="W804" s="149"/>
      <c r="X804" s="149"/>
      <c r="Y804" s="149"/>
      <c r="Z804" s="149"/>
      <c r="AA804" s="149"/>
    </row>
    <row r="805" spans="1:27" ht="15.75" customHeight="1" x14ac:dyDescent="0.25">
      <c r="A805" s="149"/>
      <c r="B805" s="149"/>
      <c r="C805" s="149"/>
      <c r="D805" s="149"/>
      <c r="E805" s="14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  <c r="Q805" s="149"/>
      <c r="R805" s="149"/>
      <c r="S805" s="149"/>
      <c r="T805" s="149"/>
      <c r="U805" s="149"/>
      <c r="V805" s="149"/>
      <c r="W805" s="149"/>
      <c r="X805" s="149"/>
      <c r="Y805" s="149"/>
      <c r="Z805" s="149"/>
      <c r="AA805" s="149"/>
    </row>
    <row r="806" spans="1:27" ht="15.75" customHeight="1" x14ac:dyDescent="0.25">
      <c r="A806" s="149"/>
      <c r="B806" s="149"/>
      <c r="C806" s="149"/>
      <c r="D806" s="149"/>
      <c r="E806" s="14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  <c r="Q806" s="149"/>
      <c r="R806" s="149"/>
      <c r="S806" s="149"/>
      <c r="T806" s="149"/>
      <c r="U806" s="149"/>
      <c r="V806" s="149"/>
      <c r="W806" s="149"/>
      <c r="X806" s="149"/>
      <c r="Y806" s="149"/>
      <c r="Z806" s="149"/>
      <c r="AA806" s="149"/>
    </row>
    <row r="807" spans="1:27" ht="15.75" customHeight="1" x14ac:dyDescent="0.25">
      <c r="A807" s="149"/>
      <c r="B807" s="149"/>
      <c r="C807" s="149"/>
      <c r="D807" s="149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  <c r="Q807" s="149"/>
      <c r="R807" s="149"/>
      <c r="S807" s="149"/>
      <c r="T807" s="149"/>
      <c r="U807" s="149"/>
      <c r="V807" s="149"/>
      <c r="W807" s="149"/>
      <c r="X807" s="149"/>
      <c r="Y807" s="149"/>
      <c r="Z807" s="149"/>
      <c r="AA807" s="149"/>
    </row>
    <row r="808" spans="1:27" ht="15.75" customHeight="1" x14ac:dyDescent="0.25">
      <c r="A808" s="149"/>
      <c r="B808" s="149"/>
      <c r="C808" s="149"/>
      <c r="D808" s="149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  <c r="Q808" s="149"/>
      <c r="R808" s="149"/>
      <c r="S808" s="149"/>
      <c r="T808" s="149"/>
      <c r="U808" s="149"/>
      <c r="V808" s="149"/>
      <c r="W808" s="149"/>
      <c r="X808" s="149"/>
      <c r="Y808" s="149"/>
      <c r="Z808" s="149"/>
      <c r="AA808" s="149"/>
    </row>
    <row r="809" spans="1:27" ht="15.75" customHeight="1" x14ac:dyDescent="0.25">
      <c r="A809" s="149"/>
      <c r="B809" s="149"/>
      <c r="C809" s="149"/>
      <c r="D809" s="149"/>
      <c r="E809" s="14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  <c r="Q809" s="149"/>
      <c r="R809" s="149"/>
      <c r="S809" s="149"/>
      <c r="T809" s="149"/>
      <c r="U809" s="149"/>
      <c r="V809" s="149"/>
      <c r="W809" s="149"/>
      <c r="X809" s="149"/>
      <c r="Y809" s="149"/>
      <c r="Z809" s="149"/>
      <c r="AA809" s="149"/>
    </row>
    <row r="810" spans="1:27" ht="15.75" customHeight="1" x14ac:dyDescent="0.25">
      <c r="A810" s="149"/>
      <c r="B810" s="149"/>
      <c r="C810" s="149"/>
      <c r="D810" s="149"/>
      <c r="E810" s="14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  <c r="Q810" s="149"/>
      <c r="R810" s="149"/>
      <c r="S810" s="149"/>
      <c r="T810" s="149"/>
      <c r="U810" s="149"/>
      <c r="V810" s="149"/>
      <c r="W810" s="149"/>
      <c r="X810" s="149"/>
      <c r="Y810" s="149"/>
      <c r="Z810" s="149"/>
      <c r="AA810" s="149"/>
    </row>
    <row r="811" spans="1:27" ht="15.75" customHeight="1" x14ac:dyDescent="0.25">
      <c r="A811" s="149"/>
      <c r="B811" s="149"/>
      <c r="C811" s="149"/>
      <c r="D811" s="149"/>
      <c r="E811" s="14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  <c r="Q811" s="149"/>
      <c r="R811" s="149"/>
      <c r="S811" s="149"/>
      <c r="T811" s="149"/>
      <c r="U811" s="149"/>
      <c r="V811" s="149"/>
      <c r="W811" s="149"/>
      <c r="X811" s="149"/>
      <c r="Y811" s="149"/>
      <c r="Z811" s="149"/>
      <c r="AA811" s="149"/>
    </row>
    <row r="812" spans="1:27" ht="15.75" customHeight="1" x14ac:dyDescent="0.25">
      <c r="A812" s="149"/>
      <c r="B812" s="149"/>
      <c r="C812" s="149"/>
      <c r="D812" s="149"/>
      <c r="E812" s="14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  <c r="Q812" s="149"/>
      <c r="R812" s="149"/>
      <c r="S812" s="149"/>
      <c r="T812" s="149"/>
      <c r="U812" s="149"/>
      <c r="V812" s="149"/>
      <c r="W812" s="149"/>
      <c r="X812" s="149"/>
      <c r="Y812" s="149"/>
      <c r="Z812" s="149"/>
      <c r="AA812" s="149"/>
    </row>
    <row r="813" spans="1:27" ht="15.75" customHeight="1" x14ac:dyDescent="0.25">
      <c r="A813" s="149"/>
      <c r="B813" s="149"/>
      <c r="C813" s="149"/>
      <c r="D813" s="149"/>
      <c r="E813" s="14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  <c r="Q813" s="149"/>
      <c r="R813" s="149"/>
      <c r="S813" s="149"/>
      <c r="T813" s="149"/>
      <c r="U813" s="149"/>
      <c r="V813" s="149"/>
      <c r="W813" s="149"/>
      <c r="X813" s="149"/>
      <c r="Y813" s="149"/>
      <c r="Z813" s="149"/>
      <c r="AA813" s="149"/>
    </row>
    <row r="814" spans="1:27" ht="15.75" customHeight="1" x14ac:dyDescent="0.25">
      <c r="A814" s="149"/>
      <c r="B814" s="149"/>
      <c r="C814" s="149"/>
      <c r="D814" s="149"/>
      <c r="E814" s="14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  <c r="Q814" s="149"/>
      <c r="R814" s="149"/>
      <c r="S814" s="149"/>
      <c r="T814" s="149"/>
      <c r="U814" s="149"/>
      <c r="V814" s="149"/>
      <c r="W814" s="149"/>
      <c r="X814" s="149"/>
      <c r="Y814" s="149"/>
      <c r="Z814" s="149"/>
      <c r="AA814" s="149"/>
    </row>
    <row r="815" spans="1:27" ht="15.75" customHeight="1" x14ac:dyDescent="0.25">
      <c r="A815" s="149"/>
      <c r="B815" s="149"/>
      <c r="C815" s="149"/>
      <c r="D815" s="149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  <c r="Q815" s="149"/>
      <c r="R815" s="149"/>
      <c r="S815" s="149"/>
      <c r="T815" s="149"/>
      <c r="U815" s="149"/>
      <c r="V815" s="149"/>
      <c r="W815" s="149"/>
      <c r="X815" s="149"/>
      <c r="Y815" s="149"/>
      <c r="Z815" s="149"/>
      <c r="AA815" s="149"/>
    </row>
    <row r="816" spans="1:27" ht="15.75" customHeight="1" x14ac:dyDescent="0.25">
      <c r="A816" s="149"/>
      <c r="B816" s="149"/>
      <c r="C816" s="149"/>
      <c r="D816" s="149"/>
      <c r="E816" s="14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  <c r="Q816" s="149"/>
      <c r="R816" s="149"/>
      <c r="S816" s="149"/>
      <c r="T816" s="149"/>
      <c r="U816" s="149"/>
      <c r="V816" s="149"/>
      <c r="W816" s="149"/>
      <c r="X816" s="149"/>
      <c r="Y816" s="149"/>
      <c r="Z816" s="149"/>
      <c r="AA816" s="149"/>
    </row>
    <row r="817" spans="1:27" ht="15.75" customHeight="1" x14ac:dyDescent="0.25">
      <c r="A817" s="149"/>
      <c r="B817" s="149"/>
      <c r="C817" s="149"/>
      <c r="D817" s="149"/>
      <c r="E817" s="14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  <c r="Q817" s="149"/>
      <c r="R817" s="149"/>
      <c r="S817" s="149"/>
      <c r="T817" s="149"/>
      <c r="U817" s="149"/>
      <c r="V817" s="149"/>
      <c r="W817" s="149"/>
      <c r="X817" s="149"/>
      <c r="Y817" s="149"/>
      <c r="Z817" s="149"/>
      <c r="AA817" s="149"/>
    </row>
    <row r="818" spans="1:27" ht="15.75" customHeight="1" x14ac:dyDescent="0.25">
      <c r="A818" s="149"/>
      <c r="B818" s="149"/>
      <c r="C818" s="149"/>
      <c r="D818" s="149"/>
      <c r="E818" s="14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  <c r="Q818" s="149"/>
      <c r="R818" s="149"/>
      <c r="S818" s="149"/>
      <c r="T818" s="149"/>
      <c r="U818" s="149"/>
      <c r="V818" s="149"/>
      <c r="W818" s="149"/>
      <c r="X818" s="149"/>
      <c r="Y818" s="149"/>
      <c r="Z818" s="149"/>
      <c r="AA818" s="149"/>
    </row>
    <row r="819" spans="1:27" ht="15.75" customHeight="1" x14ac:dyDescent="0.25">
      <c r="A819" s="149"/>
      <c r="B819" s="149"/>
      <c r="C819" s="149"/>
      <c r="D819" s="149"/>
      <c r="E819" s="14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  <c r="Q819" s="149"/>
      <c r="R819" s="149"/>
      <c r="S819" s="149"/>
      <c r="T819" s="149"/>
      <c r="U819" s="149"/>
      <c r="V819" s="149"/>
      <c r="W819" s="149"/>
      <c r="X819" s="149"/>
      <c r="Y819" s="149"/>
      <c r="Z819" s="149"/>
      <c r="AA819" s="149"/>
    </row>
    <row r="820" spans="1:27" ht="15.75" customHeight="1" x14ac:dyDescent="0.25">
      <c r="A820" s="149"/>
      <c r="B820" s="149"/>
      <c r="C820" s="149"/>
      <c r="D820" s="149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  <c r="Q820" s="149"/>
      <c r="R820" s="149"/>
      <c r="S820" s="149"/>
      <c r="T820" s="149"/>
      <c r="U820" s="149"/>
      <c r="V820" s="149"/>
      <c r="W820" s="149"/>
      <c r="X820" s="149"/>
      <c r="Y820" s="149"/>
      <c r="Z820" s="149"/>
      <c r="AA820" s="149"/>
    </row>
    <row r="821" spans="1:27" ht="15.75" customHeight="1" x14ac:dyDescent="0.25">
      <c r="A821" s="149"/>
      <c r="B821" s="149"/>
      <c r="C821" s="149"/>
      <c r="D821" s="149"/>
      <c r="E821" s="14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  <c r="Q821" s="149"/>
      <c r="R821" s="149"/>
      <c r="S821" s="149"/>
      <c r="T821" s="149"/>
      <c r="U821" s="149"/>
      <c r="V821" s="149"/>
      <c r="W821" s="149"/>
      <c r="X821" s="149"/>
      <c r="Y821" s="149"/>
      <c r="Z821" s="149"/>
      <c r="AA821" s="149"/>
    </row>
    <row r="822" spans="1:27" ht="15.75" customHeight="1" x14ac:dyDescent="0.25">
      <c r="A822" s="149"/>
      <c r="B822" s="149"/>
      <c r="C822" s="149"/>
      <c r="D822" s="149"/>
      <c r="E822" s="14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  <c r="Q822" s="149"/>
      <c r="R822" s="149"/>
      <c r="S822" s="149"/>
      <c r="T822" s="149"/>
      <c r="U822" s="149"/>
      <c r="V822" s="149"/>
      <c r="W822" s="149"/>
      <c r="X822" s="149"/>
      <c r="Y822" s="149"/>
      <c r="Z822" s="149"/>
      <c r="AA822" s="149"/>
    </row>
    <row r="823" spans="1:27" ht="15.75" customHeight="1" x14ac:dyDescent="0.25">
      <c r="A823" s="149"/>
      <c r="B823" s="149"/>
      <c r="C823" s="149"/>
      <c r="D823" s="149"/>
      <c r="E823" s="14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  <c r="Q823" s="149"/>
      <c r="R823" s="149"/>
      <c r="S823" s="149"/>
      <c r="T823" s="149"/>
      <c r="U823" s="149"/>
      <c r="V823" s="149"/>
      <c r="W823" s="149"/>
      <c r="X823" s="149"/>
      <c r="Y823" s="149"/>
      <c r="Z823" s="149"/>
      <c r="AA823" s="149"/>
    </row>
    <row r="824" spans="1:27" ht="15.75" customHeight="1" x14ac:dyDescent="0.25">
      <c r="A824" s="149"/>
      <c r="B824" s="149"/>
      <c r="C824" s="149"/>
      <c r="D824" s="149"/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  <c r="Q824" s="149"/>
      <c r="R824" s="149"/>
      <c r="S824" s="149"/>
      <c r="T824" s="149"/>
      <c r="U824" s="149"/>
      <c r="V824" s="149"/>
      <c r="W824" s="149"/>
      <c r="X824" s="149"/>
      <c r="Y824" s="149"/>
      <c r="Z824" s="149"/>
      <c r="AA824" s="149"/>
    </row>
    <row r="825" spans="1:27" ht="15.75" customHeight="1" x14ac:dyDescent="0.25">
      <c r="A825" s="149"/>
      <c r="B825" s="149"/>
      <c r="C825" s="149"/>
      <c r="D825" s="149"/>
      <c r="E825" s="14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  <c r="Q825" s="149"/>
      <c r="R825" s="149"/>
      <c r="S825" s="149"/>
      <c r="T825" s="149"/>
      <c r="U825" s="149"/>
      <c r="V825" s="149"/>
      <c r="W825" s="149"/>
      <c r="X825" s="149"/>
      <c r="Y825" s="149"/>
      <c r="Z825" s="149"/>
      <c r="AA825" s="149"/>
    </row>
    <row r="826" spans="1:27" ht="15.75" customHeight="1" x14ac:dyDescent="0.25">
      <c r="A826" s="149"/>
      <c r="B826" s="149"/>
      <c r="C826" s="149"/>
      <c r="D826" s="149"/>
      <c r="E826" s="14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  <c r="Q826" s="149"/>
      <c r="R826" s="149"/>
      <c r="S826" s="149"/>
      <c r="T826" s="149"/>
      <c r="U826" s="149"/>
      <c r="V826" s="149"/>
      <c r="W826" s="149"/>
      <c r="X826" s="149"/>
      <c r="Y826" s="149"/>
      <c r="Z826" s="149"/>
      <c r="AA826" s="149"/>
    </row>
    <row r="827" spans="1:27" ht="15.75" customHeight="1" x14ac:dyDescent="0.25">
      <c r="A827" s="149"/>
      <c r="B827" s="149"/>
      <c r="C827" s="149"/>
      <c r="D827" s="149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  <c r="Q827" s="149"/>
      <c r="R827" s="149"/>
      <c r="S827" s="149"/>
      <c r="T827" s="149"/>
      <c r="U827" s="149"/>
      <c r="V827" s="149"/>
      <c r="W827" s="149"/>
      <c r="X827" s="149"/>
      <c r="Y827" s="149"/>
      <c r="Z827" s="149"/>
      <c r="AA827" s="149"/>
    </row>
    <row r="828" spans="1:27" ht="15.75" customHeight="1" x14ac:dyDescent="0.25">
      <c r="A828" s="149"/>
      <c r="B828" s="149"/>
      <c r="C828" s="149"/>
      <c r="D828" s="149"/>
      <c r="E828" s="14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  <c r="Q828" s="149"/>
      <c r="R828" s="149"/>
      <c r="S828" s="149"/>
      <c r="T828" s="149"/>
      <c r="U828" s="149"/>
      <c r="V828" s="149"/>
      <c r="W828" s="149"/>
      <c r="X828" s="149"/>
      <c r="Y828" s="149"/>
      <c r="Z828" s="149"/>
      <c r="AA828" s="149"/>
    </row>
    <row r="829" spans="1:27" ht="15.75" customHeight="1" x14ac:dyDescent="0.25">
      <c r="A829" s="149"/>
      <c r="B829" s="149"/>
      <c r="C829" s="149"/>
      <c r="D829" s="149"/>
      <c r="E829" s="14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  <c r="Q829" s="149"/>
      <c r="R829" s="149"/>
      <c r="S829" s="149"/>
      <c r="T829" s="149"/>
      <c r="U829" s="149"/>
      <c r="V829" s="149"/>
      <c r="W829" s="149"/>
      <c r="X829" s="149"/>
      <c r="Y829" s="149"/>
      <c r="Z829" s="149"/>
      <c r="AA829" s="149"/>
    </row>
    <row r="830" spans="1:27" ht="15.75" customHeight="1" x14ac:dyDescent="0.25">
      <c r="A830" s="149"/>
      <c r="B830" s="149"/>
      <c r="C830" s="149"/>
      <c r="D830" s="149"/>
      <c r="E830" s="14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  <c r="Q830" s="149"/>
      <c r="R830" s="149"/>
      <c r="S830" s="149"/>
      <c r="T830" s="149"/>
      <c r="U830" s="149"/>
      <c r="V830" s="149"/>
      <c r="W830" s="149"/>
      <c r="X830" s="149"/>
      <c r="Y830" s="149"/>
      <c r="Z830" s="149"/>
      <c r="AA830" s="149"/>
    </row>
    <row r="831" spans="1:27" ht="15.75" customHeight="1" x14ac:dyDescent="0.25">
      <c r="A831" s="149"/>
      <c r="B831" s="149"/>
      <c r="C831" s="149"/>
      <c r="D831" s="149"/>
      <c r="E831" s="14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  <c r="Q831" s="149"/>
      <c r="R831" s="149"/>
      <c r="S831" s="149"/>
      <c r="T831" s="149"/>
      <c r="U831" s="149"/>
      <c r="V831" s="149"/>
      <c r="W831" s="149"/>
      <c r="X831" s="149"/>
      <c r="Y831" s="149"/>
      <c r="Z831" s="149"/>
      <c r="AA831" s="149"/>
    </row>
    <row r="832" spans="1:27" ht="15.75" customHeight="1" x14ac:dyDescent="0.25">
      <c r="A832" s="149"/>
      <c r="B832" s="149"/>
      <c r="C832" s="149"/>
      <c r="D832" s="149"/>
      <c r="E832" s="14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  <c r="Q832" s="149"/>
      <c r="R832" s="149"/>
      <c r="S832" s="149"/>
      <c r="T832" s="149"/>
      <c r="U832" s="149"/>
      <c r="V832" s="149"/>
      <c r="W832" s="149"/>
      <c r="X832" s="149"/>
      <c r="Y832" s="149"/>
      <c r="Z832" s="149"/>
      <c r="AA832" s="149"/>
    </row>
    <row r="833" spans="1:27" ht="15.75" customHeight="1" x14ac:dyDescent="0.25">
      <c r="A833" s="149"/>
      <c r="B833" s="149"/>
      <c r="C833" s="149"/>
      <c r="D833" s="149"/>
      <c r="E833" s="14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  <c r="Q833" s="149"/>
      <c r="R833" s="149"/>
      <c r="S833" s="149"/>
      <c r="T833" s="149"/>
      <c r="U833" s="149"/>
      <c r="V833" s="149"/>
      <c r="W833" s="149"/>
      <c r="X833" s="149"/>
      <c r="Y833" s="149"/>
      <c r="Z833" s="149"/>
      <c r="AA833" s="149"/>
    </row>
    <row r="834" spans="1:27" ht="15.75" customHeight="1" x14ac:dyDescent="0.25">
      <c r="A834" s="149"/>
      <c r="B834" s="149"/>
      <c r="C834" s="149"/>
      <c r="D834" s="149"/>
      <c r="E834" s="14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  <c r="Q834" s="149"/>
      <c r="R834" s="149"/>
      <c r="S834" s="149"/>
      <c r="T834" s="149"/>
      <c r="U834" s="149"/>
      <c r="V834" s="149"/>
      <c r="W834" s="149"/>
      <c r="X834" s="149"/>
      <c r="Y834" s="149"/>
      <c r="Z834" s="149"/>
      <c r="AA834" s="149"/>
    </row>
    <row r="835" spans="1:27" ht="15.75" customHeight="1" x14ac:dyDescent="0.25">
      <c r="A835" s="149"/>
      <c r="B835" s="149"/>
      <c r="C835" s="149"/>
      <c r="D835" s="149"/>
      <c r="E835" s="14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  <c r="Q835" s="149"/>
      <c r="R835" s="149"/>
      <c r="S835" s="149"/>
      <c r="T835" s="149"/>
      <c r="U835" s="149"/>
      <c r="V835" s="149"/>
      <c r="W835" s="149"/>
      <c r="X835" s="149"/>
      <c r="Y835" s="149"/>
      <c r="Z835" s="149"/>
      <c r="AA835" s="149"/>
    </row>
    <row r="836" spans="1:27" ht="15.75" customHeight="1" x14ac:dyDescent="0.25">
      <c r="A836" s="149"/>
      <c r="B836" s="149"/>
      <c r="C836" s="149"/>
      <c r="D836" s="149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  <c r="Q836" s="149"/>
      <c r="R836" s="149"/>
      <c r="S836" s="149"/>
      <c r="T836" s="149"/>
      <c r="U836" s="149"/>
      <c r="V836" s="149"/>
      <c r="W836" s="149"/>
      <c r="X836" s="149"/>
      <c r="Y836" s="149"/>
      <c r="Z836" s="149"/>
      <c r="AA836" s="149"/>
    </row>
    <row r="837" spans="1:27" ht="15.75" customHeight="1" x14ac:dyDescent="0.25">
      <c r="A837" s="149"/>
      <c r="B837" s="149"/>
      <c r="C837" s="149"/>
      <c r="D837" s="149"/>
      <c r="E837" s="14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  <c r="Q837" s="149"/>
      <c r="R837" s="149"/>
      <c r="S837" s="149"/>
      <c r="T837" s="149"/>
      <c r="U837" s="149"/>
      <c r="V837" s="149"/>
      <c r="W837" s="149"/>
      <c r="X837" s="149"/>
      <c r="Y837" s="149"/>
      <c r="Z837" s="149"/>
      <c r="AA837" s="149"/>
    </row>
    <row r="838" spans="1:27" ht="15.75" customHeight="1" x14ac:dyDescent="0.25">
      <c r="A838" s="149"/>
      <c r="B838" s="149"/>
      <c r="C838" s="149"/>
      <c r="D838" s="149"/>
      <c r="E838" s="14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  <c r="Q838" s="149"/>
      <c r="R838" s="149"/>
      <c r="S838" s="149"/>
      <c r="T838" s="149"/>
      <c r="U838" s="149"/>
      <c r="V838" s="149"/>
      <c r="W838" s="149"/>
      <c r="X838" s="149"/>
      <c r="Y838" s="149"/>
      <c r="Z838" s="149"/>
      <c r="AA838" s="149"/>
    </row>
    <row r="839" spans="1:27" ht="15.75" customHeight="1" x14ac:dyDescent="0.25">
      <c r="A839" s="149"/>
      <c r="B839" s="149"/>
      <c r="C839" s="149"/>
      <c r="D839" s="149"/>
      <c r="E839" s="14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  <c r="Q839" s="149"/>
      <c r="R839" s="149"/>
      <c r="S839" s="149"/>
      <c r="T839" s="149"/>
      <c r="U839" s="149"/>
      <c r="V839" s="149"/>
      <c r="W839" s="149"/>
      <c r="X839" s="149"/>
      <c r="Y839" s="149"/>
      <c r="Z839" s="149"/>
      <c r="AA839" s="149"/>
    </row>
    <row r="840" spans="1:27" ht="15.75" customHeight="1" x14ac:dyDescent="0.25">
      <c r="A840" s="149"/>
      <c r="B840" s="149"/>
      <c r="C840" s="149"/>
      <c r="D840" s="149"/>
      <c r="E840" s="14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  <c r="Q840" s="149"/>
      <c r="R840" s="149"/>
      <c r="S840" s="149"/>
      <c r="T840" s="149"/>
      <c r="U840" s="149"/>
      <c r="V840" s="149"/>
      <c r="W840" s="149"/>
      <c r="X840" s="149"/>
      <c r="Y840" s="149"/>
      <c r="Z840" s="149"/>
      <c r="AA840" s="149"/>
    </row>
    <row r="841" spans="1:27" ht="15.75" customHeight="1" x14ac:dyDescent="0.25">
      <c r="A841" s="149"/>
      <c r="B841" s="149"/>
      <c r="C841" s="149"/>
      <c r="D841" s="149"/>
      <c r="E841" s="14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  <c r="Q841" s="149"/>
      <c r="R841" s="149"/>
      <c r="S841" s="149"/>
      <c r="T841" s="149"/>
      <c r="U841" s="149"/>
      <c r="V841" s="149"/>
      <c r="W841" s="149"/>
      <c r="X841" s="149"/>
      <c r="Y841" s="149"/>
      <c r="Z841" s="149"/>
      <c r="AA841" s="149"/>
    </row>
    <row r="842" spans="1:27" ht="15.75" customHeight="1" x14ac:dyDescent="0.25">
      <c r="A842" s="149"/>
      <c r="B842" s="149"/>
      <c r="C842" s="149"/>
      <c r="D842" s="149"/>
      <c r="E842" s="14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  <c r="Q842" s="149"/>
      <c r="R842" s="149"/>
      <c r="S842" s="149"/>
      <c r="T842" s="149"/>
      <c r="U842" s="149"/>
      <c r="V842" s="149"/>
      <c r="W842" s="149"/>
      <c r="X842" s="149"/>
      <c r="Y842" s="149"/>
      <c r="Z842" s="149"/>
      <c r="AA842" s="149"/>
    </row>
    <row r="843" spans="1:27" ht="15.75" customHeight="1" x14ac:dyDescent="0.25">
      <c r="A843" s="149"/>
      <c r="B843" s="149"/>
      <c r="C843" s="149"/>
      <c r="D843" s="149"/>
      <c r="E843" s="14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  <c r="Q843" s="149"/>
      <c r="R843" s="149"/>
      <c r="S843" s="149"/>
      <c r="T843" s="149"/>
      <c r="U843" s="149"/>
      <c r="V843" s="149"/>
      <c r="W843" s="149"/>
      <c r="X843" s="149"/>
      <c r="Y843" s="149"/>
      <c r="Z843" s="149"/>
      <c r="AA843" s="149"/>
    </row>
    <row r="844" spans="1:27" ht="15.75" customHeight="1" x14ac:dyDescent="0.25">
      <c r="A844" s="149"/>
      <c r="B844" s="149"/>
      <c r="C844" s="149"/>
      <c r="D844" s="149"/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  <c r="Q844" s="149"/>
      <c r="R844" s="149"/>
      <c r="S844" s="149"/>
      <c r="T844" s="149"/>
      <c r="U844" s="149"/>
      <c r="V844" s="149"/>
      <c r="W844" s="149"/>
      <c r="X844" s="149"/>
      <c r="Y844" s="149"/>
      <c r="Z844" s="149"/>
      <c r="AA844" s="149"/>
    </row>
    <row r="845" spans="1:27" ht="15.75" customHeight="1" x14ac:dyDescent="0.25">
      <c r="A845" s="149"/>
      <c r="B845" s="149"/>
      <c r="C845" s="149"/>
      <c r="D845" s="149"/>
      <c r="E845" s="14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  <c r="Q845" s="149"/>
      <c r="R845" s="149"/>
      <c r="S845" s="149"/>
      <c r="T845" s="149"/>
      <c r="U845" s="149"/>
      <c r="V845" s="149"/>
      <c r="W845" s="149"/>
      <c r="X845" s="149"/>
      <c r="Y845" s="149"/>
      <c r="Z845" s="149"/>
      <c r="AA845" s="149"/>
    </row>
    <row r="846" spans="1:27" ht="15.75" customHeight="1" x14ac:dyDescent="0.25">
      <c r="A846" s="149"/>
      <c r="B846" s="149"/>
      <c r="C846" s="149"/>
      <c r="D846" s="149"/>
      <c r="E846" s="14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  <c r="Q846" s="149"/>
      <c r="R846" s="149"/>
      <c r="S846" s="149"/>
      <c r="T846" s="149"/>
      <c r="U846" s="149"/>
      <c r="V846" s="149"/>
      <c r="W846" s="149"/>
      <c r="X846" s="149"/>
      <c r="Y846" s="149"/>
      <c r="Z846" s="149"/>
      <c r="AA846" s="149"/>
    </row>
    <row r="847" spans="1:27" ht="15.75" customHeight="1" x14ac:dyDescent="0.25">
      <c r="A847" s="149"/>
      <c r="B847" s="149"/>
      <c r="C847" s="149"/>
      <c r="D847" s="149"/>
      <c r="E847" s="14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  <c r="Q847" s="149"/>
      <c r="R847" s="149"/>
      <c r="S847" s="149"/>
      <c r="T847" s="149"/>
      <c r="U847" s="149"/>
      <c r="V847" s="149"/>
      <c r="W847" s="149"/>
      <c r="X847" s="149"/>
      <c r="Y847" s="149"/>
      <c r="Z847" s="149"/>
      <c r="AA847" s="149"/>
    </row>
    <row r="848" spans="1:27" ht="15.75" customHeight="1" x14ac:dyDescent="0.25">
      <c r="A848" s="149"/>
      <c r="B848" s="149"/>
      <c r="C848" s="149"/>
      <c r="D848" s="149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  <c r="Q848" s="149"/>
      <c r="R848" s="149"/>
      <c r="S848" s="149"/>
      <c r="T848" s="149"/>
      <c r="U848" s="149"/>
      <c r="V848" s="149"/>
      <c r="W848" s="149"/>
      <c r="X848" s="149"/>
      <c r="Y848" s="149"/>
      <c r="Z848" s="149"/>
      <c r="AA848" s="149"/>
    </row>
    <row r="849" spans="1:27" ht="15.75" customHeight="1" x14ac:dyDescent="0.25">
      <c r="A849" s="149"/>
      <c r="B849" s="149"/>
      <c r="C849" s="149"/>
      <c r="D849" s="149"/>
      <c r="E849" s="14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  <c r="Q849" s="149"/>
      <c r="R849" s="149"/>
      <c r="S849" s="149"/>
      <c r="T849" s="149"/>
      <c r="U849" s="149"/>
      <c r="V849" s="149"/>
      <c r="W849" s="149"/>
      <c r="X849" s="149"/>
      <c r="Y849" s="149"/>
      <c r="Z849" s="149"/>
      <c r="AA849" s="149"/>
    </row>
    <row r="850" spans="1:27" ht="15.75" customHeight="1" x14ac:dyDescent="0.25">
      <c r="A850" s="149"/>
      <c r="B850" s="149"/>
      <c r="C850" s="149"/>
      <c r="D850" s="149"/>
      <c r="E850" s="14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  <c r="Q850" s="149"/>
      <c r="R850" s="149"/>
      <c r="S850" s="149"/>
      <c r="T850" s="149"/>
      <c r="U850" s="149"/>
      <c r="V850" s="149"/>
      <c r="W850" s="149"/>
      <c r="X850" s="149"/>
      <c r="Y850" s="149"/>
      <c r="Z850" s="149"/>
      <c r="AA850" s="149"/>
    </row>
    <row r="851" spans="1:27" ht="15.75" customHeight="1" x14ac:dyDescent="0.25">
      <c r="A851" s="149"/>
      <c r="B851" s="149"/>
      <c r="C851" s="149"/>
      <c r="D851" s="149"/>
      <c r="E851" s="14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  <c r="Q851" s="149"/>
      <c r="R851" s="149"/>
      <c r="S851" s="149"/>
      <c r="T851" s="149"/>
      <c r="U851" s="149"/>
      <c r="V851" s="149"/>
      <c r="W851" s="149"/>
      <c r="X851" s="149"/>
      <c r="Y851" s="149"/>
      <c r="Z851" s="149"/>
      <c r="AA851" s="149"/>
    </row>
    <row r="852" spans="1:27" ht="15.75" customHeight="1" x14ac:dyDescent="0.25">
      <c r="A852" s="149"/>
      <c r="B852" s="149"/>
      <c r="C852" s="149"/>
      <c r="D852" s="149"/>
      <c r="E852" s="14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  <c r="Q852" s="149"/>
      <c r="R852" s="149"/>
      <c r="S852" s="149"/>
      <c r="T852" s="149"/>
      <c r="U852" s="149"/>
      <c r="V852" s="149"/>
      <c r="W852" s="149"/>
      <c r="X852" s="149"/>
      <c r="Y852" s="149"/>
      <c r="Z852" s="149"/>
      <c r="AA852" s="149"/>
    </row>
    <row r="853" spans="1:27" ht="15.75" customHeight="1" x14ac:dyDescent="0.25">
      <c r="A853" s="149"/>
      <c r="B853" s="149"/>
      <c r="C853" s="149"/>
      <c r="D853" s="149"/>
      <c r="E853" s="14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  <c r="Q853" s="149"/>
      <c r="R853" s="149"/>
      <c r="S853" s="149"/>
      <c r="T853" s="149"/>
      <c r="U853" s="149"/>
      <c r="V853" s="149"/>
      <c r="W853" s="149"/>
      <c r="X853" s="149"/>
      <c r="Y853" s="149"/>
      <c r="Z853" s="149"/>
      <c r="AA853" s="149"/>
    </row>
    <row r="854" spans="1:27" ht="15.75" customHeight="1" x14ac:dyDescent="0.25">
      <c r="A854" s="149"/>
      <c r="B854" s="149"/>
      <c r="C854" s="149"/>
      <c r="D854" s="149"/>
      <c r="E854" s="14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  <c r="Q854" s="149"/>
      <c r="R854" s="149"/>
      <c r="S854" s="149"/>
      <c r="T854" s="149"/>
      <c r="U854" s="149"/>
      <c r="V854" s="149"/>
      <c r="W854" s="149"/>
      <c r="X854" s="149"/>
      <c r="Y854" s="149"/>
      <c r="Z854" s="149"/>
      <c r="AA854" s="149"/>
    </row>
    <row r="855" spans="1:27" ht="15.75" customHeight="1" x14ac:dyDescent="0.25">
      <c r="A855" s="149"/>
      <c r="B855" s="149"/>
      <c r="C855" s="149"/>
      <c r="D855" s="149"/>
      <c r="E855" s="14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  <c r="Q855" s="149"/>
      <c r="R855" s="149"/>
      <c r="S855" s="149"/>
      <c r="T855" s="149"/>
      <c r="U855" s="149"/>
      <c r="V855" s="149"/>
      <c r="W855" s="149"/>
      <c r="X855" s="149"/>
      <c r="Y855" s="149"/>
      <c r="Z855" s="149"/>
      <c r="AA855" s="149"/>
    </row>
    <row r="856" spans="1:27" ht="15.75" customHeight="1" x14ac:dyDescent="0.25">
      <c r="A856" s="149"/>
      <c r="B856" s="149"/>
      <c r="C856" s="149"/>
      <c r="D856" s="149"/>
      <c r="E856" s="14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  <c r="Q856" s="149"/>
      <c r="R856" s="149"/>
      <c r="S856" s="149"/>
      <c r="T856" s="149"/>
      <c r="U856" s="149"/>
      <c r="V856" s="149"/>
      <c r="W856" s="149"/>
      <c r="X856" s="149"/>
      <c r="Y856" s="149"/>
      <c r="Z856" s="149"/>
      <c r="AA856" s="149"/>
    </row>
    <row r="857" spans="1:27" ht="15.75" customHeight="1" x14ac:dyDescent="0.25">
      <c r="A857" s="149"/>
      <c r="B857" s="149"/>
      <c r="C857" s="149"/>
      <c r="D857" s="149"/>
      <c r="E857" s="149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  <c r="Q857" s="149"/>
      <c r="R857" s="149"/>
      <c r="S857" s="149"/>
      <c r="T857" s="149"/>
      <c r="U857" s="149"/>
      <c r="V857" s="149"/>
      <c r="W857" s="149"/>
      <c r="X857" s="149"/>
      <c r="Y857" s="149"/>
      <c r="Z857" s="149"/>
      <c r="AA857" s="149"/>
    </row>
    <row r="858" spans="1:27" ht="15.75" customHeight="1" x14ac:dyDescent="0.25">
      <c r="A858" s="149"/>
      <c r="B858" s="149"/>
      <c r="C858" s="149"/>
      <c r="D858" s="149"/>
      <c r="E858" s="149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  <c r="Q858" s="149"/>
      <c r="R858" s="149"/>
      <c r="S858" s="149"/>
      <c r="T858" s="149"/>
      <c r="U858" s="149"/>
      <c r="V858" s="149"/>
      <c r="W858" s="149"/>
      <c r="X858" s="149"/>
      <c r="Y858" s="149"/>
      <c r="Z858" s="149"/>
      <c r="AA858" s="149"/>
    </row>
    <row r="859" spans="1:27" ht="15.75" customHeight="1" x14ac:dyDescent="0.25">
      <c r="A859" s="149"/>
      <c r="B859" s="149"/>
      <c r="C859" s="149"/>
      <c r="D859" s="149"/>
      <c r="E859" s="149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  <c r="Q859" s="149"/>
      <c r="R859" s="149"/>
      <c r="S859" s="149"/>
      <c r="T859" s="149"/>
      <c r="U859" s="149"/>
      <c r="V859" s="149"/>
      <c r="W859" s="149"/>
      <c r="X859" s="149"/>
      <c r="Y859" s="149"/>
      <c r="Z859" s="149"/>
      <c r="AA859" s="149"/>
    </row>
    <row r="860" spans="1:27" ht="15.75" customHeight="1" x14ac:dyDescent="0.25">
      <c r="A860" s="149"/>
      <c r="B860" s="149"/>
      <c r="C860" s="149"/>
      <c r="D860" s="149"/>
      <c r="E860" s="149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  <c r="Q860" s="149"/>
      <c r="R860" s="149"/>
      <c r="S860" s="149"/>
      <c r="T860" s="149"/>
      <c r="U860" s="149"/>
      <c r="V860" s="149"/>
      <c r="W860" s="149"/>
      <c r="X860" s="149"/>
      <c r="Y860" s="149"/>
      <c r="Z860" s="149"/>
      <c r="AA860" s="149"/>
    </row>
    <row r="861" spans="1:27" ht="15.75" customHeight="1" x14ac:dyDescent="0.25">
      <c r="A861" s="149"/>
      <c r="B861" s="149"/>
      <c r="C861" s="149"/>
      <c r="D861" s="149"/>
      <c r="E861" s="149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  <c r="Q861" s="149"/>
      <c r="R861" s="149"/>
      <c r="S861" s="149"/>
      <c r="T861" s="149"/>
      <c r="U861" s="149"/>
      <c r="V861" s="149"/>
      <c r="W861" s="149"/>
      <c r="X861" s="149"/>
      <c r="Y861" s="149"/>
      <c r="Z861" s="149"/>
      <c r="AA861" s="149"/>
    </row>
    <row r="862" spans="1:27" ht="15.75" customHeight="1" x14ac:dyDescent="0.25">
      <c r="A862" s="149"/>
      <c r="B862" s="149"/>
      <c r="C862" s="149"/>
      <c r="D862" s="149"/>
      <c r="E862" s="149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  <c r="Q862" s="149"/>
      <c r="R862" s="149"/>
      <c r="S862" s="149"/>
      <c r="T862" s="149"/>
      <c r="U862" s="149"/>
      <c r="V862" s="149"/>
      <c r="W862" s="149"/>
      <c r="X862" s="149"/>
      <c r="Y862" s="149"/>
      <c r="Z862" s="149"/>
      <c r="AA862" s="149"/>
    </row>
    <row r="863" spans="1:27" ht="15.75" customHeight="1" x14ac:dyDescent="0.25">
      <c r="A863" s="149"/>
      <c r="B863" s="149"/>
      <c r="C863" s="149"/>
      <c r="D863" s="149"/>
      <c r="E863" s="149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  <c r="Q863" s="149"/>
      <c r="R863" s="149"/>
      <c r="S863" s="149"/>
      <c r="T863" s="149"/>
      <c r="U863" s="149"/>
      <c r="V863" s="149"/>
      <c r="W863" s="149"/>
      <c r="X863" s="149"/>
      <c r="Y863" s="149"/>
      <c r="Z863" s="149"/>
      <c r="AA863" s="149"/>
    </row>
    <row r="864" spans="1:27" ht="15.75" customHeight="1" x14ac:dyDescent="0.25">
      <c r="A864" s="149"/>
      <c r="B864" s="149"/>
      <c r="C864" s="149"/>
      <c r="D864" s="149"/>
      <c r="E864" s="14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  <c r="Q864" s="149"/>
      <c r="R864" s="149"/>
      <c r="S864" s="149"/>
      <c r="T864" s="149"/>
      <c r="U864" s="149"/>
      <c r="V864" s="149"/>
      <c r="W864" s="149"/>
      <c r="X864" s="149"/>
      <c r="Y864" s="149"/>
      <c r="Z864" s="149"/>
      <c r="AA864" s="149"/>
    </row>
    <row r="865" spans="1:27" ht="15.75" customHeight="1" x14ac:dyDescent="0.25">
      <c r="A865" s="149"/>
      <c r="B865" s="149"/>
      <c r="C865" s="149"/>
      <c r="D865" s="149"/>
      <c r="E865" s="149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  <c r="Q865" s="149"/>
      <c r="R865" s="149"/>
      <c r="S865" s="149"/>
      <c r="T865" s="149"/>
      <c r="U865" s="149"/>
      <c r="V865" s="149"/>
      <c r="W865" s="149"/>
      <c r="X865" s="149"/>
      <c r="Y865" s="149"/>
      <c r="Z865" s="149"/>
      <c r="AA865" s="149"/>
    </row>
    <row r="866" spans="1:27" ht="15.75" customHeight="1" x14ac:dyDescent="0.25">
      <c r="A866" s="149"/>
      <c r="B866" s="149"/>
      <c r="C866" s="149"/>
      <c r="D866" s="149"/>
      <c r="E866" s="149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  <c r="Q866" s="149"/>
      <c r="R866" s="149"/>
      <c r="S866" s="149"/>
      <c r="T866" s="149"/>
      <c r="U866" s="149"/>
      <c r="V866" s="149"/>
      <c r="W866" s="149"/>
      <c r="X866" s="149"/>
      <c r="Y866" s="149"/>
      <c r="Z866" s="149"/>
      <c r="AA866" s="149"/>
    </row>
    <row r="867" spans="1:27" ht="15.75" customHeight="1" x14ac:dyDescent="0.25">
      <c r="A867" s="149"/>
      <c r="B867" s="149"/>
      <c r="C867" s="149"/>
      <c r="D867" s="149"/>
      <c r="E867" s="149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  <c r="Q867" s="149"/>
      <c r="R867" s="149"/>
      <c r="S867" s="149"/>
      <c r="T867" s="149"/>
      <c r="U867" s="149"/>
      <c r="V867" s="149"/>
      <c r="W867" s="149"/>
      <c r="X867" s="149"/>
      <c r="Y867" s="149"/>
      <c r="Z867" s="149"/>
      <c r="AA867" s="149"/>
    </row>
    <row r="868" spans="1:27" ht="15.75" customHeight="1" x14ac:dyDescent="0.25">
      <c r="A868" s="149"/>
      <c r="B868" s="149"/>
      <c r="C868" s="149"/>
      <c r="D868" s="149"/>
      <c r="E868" s="149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  <c r="Q868" s="149"/>
      <c r="R868" s="149"/>
      <c r="S868" s="149"/>
      <c r="T868" s="149"/>
      <c r="U868" s="149"/>
      <c r="V868" s="149"/>
      <c r="W868" s="149"/>
      <c r="X868" s="149"/>
      <c r="Y868" s="149"/>
      <c r="Z868" s="149"/>
      <c r="AA868" s="149"/>
    </row>
    <row r="869" spans="1:27" ht="15.75" customHeight="1" x14ac:dyDescent="0.25">
      <c r="A869" s="149"/>
      <c r="B869" s="149"/>
      <c r="C869" s="149"/>
      <c r="D869" s="149"/>
      <c r="E869" s="149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  <c r="Q869" s="149"/>
      <c r="R869" s="149"/>
      <c r="S869" s="149"/>
      <c r="T869" s="149"/>
      <c r="U869" s="149"/>
      <c r="V869" s="149"/>
      <c r="W869" s="149"/>
      <c r="X869" s="149"/>
      <c r="Y869" s="149"/>
      <c r="Z869" s="149"/>
      <c r="AA869" s="149"/>
    </row>
    <row r="870" spans="1:27" ht="15.75" customHeight="1" x14ac:dyDescent="0.25">
      <c r="A870" s="149"/>
      <c r="B870" s="149"/>
      <c r="C870" s="149"/>
      <c r="D870" s="149"/>
      <c r="E870" s="149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  <c r="Q870" s="149"/>
      <c r="R870" s="149"/>
      <c r="S870" s="149"/>
      <c r="T870" s="149"/>
      <c r="U870" s="149"/>
      <c r="V870" s="149"/>
      <c r="W870" s="149"/>
      <c r="X870" s="149"/>
      <c r="Y870" s="149"/>
      <c r="Z870" s="149"/>
      <c r="AA870" s="149"/>
    </row>
    <row r="871" spans="1:27" ht="15.75" customHeight="1" x14ac:dyDescent="0.25">
      <c r="A871" s="149"/>
      <c r="B871" s="149"/>
      <c r="C871" s="149"/>
      <c r="D871" s="149"/>
      <c r="E871" s="149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  <c r="Q871" s="149"/>
      <c r="R871" s="149"/>
      <c r="S871" s="149"/>
      <c r="T871" s="149"/>
      <c r="U871" s="149"/>
      <c r="V871" s="149"/>
      <c r="W871" s="149"/>
      <c r="X871" s="149"/>
      <c r="Y871" s="149"/>
      <c r="Z871" s="149"/>
      <c r="AA871" s="149"/>
    </row>
    <row r="872" spans="1:27" ht="15.75" customHeight="1" x14ac:dyDescent="0.25">
      <c r="A872" s="149"/>
      <c r="B872" s="149"/>
      <c r="C872" s="149"/>
      <c r="D872" s="149"/>
      <c r="E872" s="14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  <c r="Q872" s="149"/>
      <c r="R872" s="149"/>
      <c r="S872" s="149"/>
      <c r="T872" s="149"/>
      <c r="U872" s="149"/>
      <c r="V872" s="149"/>
      <c r="W872" s="149"/>
      <c r="X872" s="149"/>
      <c r="Y872" s="149"/>
      <c r="Z872" s="149"/>
      <c r="AA872" s="149"/>
    </row>
    <row r="873" spans="1:27" ht="15.75" customHeight="1" x14ac:dyDescent="0.25">
      <c r="A873" s="149"/>
      <c r="B873" s="149"/>
      <c r="C873" s="149"/>
      <c r="D873" s="149"/>
      <c r="E873" s="149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  <c r="Q873" s="149"/>
      <c r="R873" s="149"/>
      <c r="S873" s="149"/>
      <c r="T873" s="149"/>
      <c r="U873" s="149"/>
      <c r="V873" s="149"/>
      <c r="W873" s="149"/>
      <c r="X873" s="149"/>
      <c r="Y873" s="149"/>
      <c r="Z873" s="149"/>
      <c r="AA873" s="149"/>
    </row>
    <row r="874" spans="1:27" ht="15.75" customHeight="1" x14ac:dyDescent="0.25">
      <c r="A874" s="149"/>
      <c r="B874" s="149"/>
      <c r="C874" s="149"/>
      <c r="D874" s="149"/>
      <c r="E874" s="14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  <c r="Q874" s="149"/>
      <c r="R874" s="149"/>
      <c r="S874" s="149"/>
      <c r="T874" s="149"/>
      <c r="U874" s="149"/>
      <c r="V874" s="149"/>
      <c r="W874" s="149"/>
      <c r="X874" s="149"/>
      <c r="Y874" s="149"/>
      <c r="Z874" s="149"/>
      <c r="AA874" s="149"/>
    </row>
    <row r="875" spans="1:27" ht="15.75" customHeight="1" x14ac:dyDescent="0.25">
      <c r="A875" s="149"/>
      <c r="B875" s="149"/>
      <c r="C875" s="149"/>
      <c r="D875" s="149"/>
      <c r="E875" s="14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  <c r="Q875" s="149"/>
      <c r="R875" s="149"/>
      <c r="S875" s="149"/>
      <c r="T875" s="149"/>
      <c r="U875" s="149"/>
      <c r="V875" s="149"/>
      <c r="W875" s="149"/>
      <c r="X875" s="149"/>
      <c r="Y875" s="149"/>
      <c r="Z875" s="149"/>
      <c r="AA875" s="149"/>
    </row>
    <row r="876" spans="1:27" ht="15.75" customHeight="1" x14ac:dyDescent="0.25">
      <c r="A876" s="149"/>
      <c r="B876" s="149"/>
      <c r="C876" s="149"/>
      <c r="D876" s="149"/>
      <c r="E876" s="149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  <c r="Q876" s="149"/>
      <c r="R876" s="149"/>
      <c r="S876" s="149"/>
      <c r="T876" s="149"/>
      <c r="U876" s="149"/>
      <c r="V876" s="149"/>
      <c r="W876" s="149"/>
      <c r="X876" s="149"/>
      <c r="Y876" s="149"/>
      <c r="Z876" s="149"/>
      <c r="AA876" s="149"/>
    </row>
    <row r="877" spans="1:27" ht="15.75" customHeight="1" x14ac:dyDescent="0.25">
      <c r="A877" s="149"/>
      <c r="B877" s="149"/>
      <c r="C877" s="149"/>
      <c r="D877" s="149"/>
      <c r="E877" s="149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  <c r="Q877" s="149"/>
      <c r="R877" s="149"/>
      <c r="S877" s="149"/>
      <c r="T877" s="149"/>
      <c r="U877" s="149"/>
      <c r="V877" s="149"/>
      <c r="W877" s="149"/>
      <c r="X877" s="149"/>
      <c r="Y877" s="149"/>
      <c r="Z877" s="149"/>
      <c r="AA877" s="149"/>
    </row>
    <row r="878" spans="1:27" ht="15.75" customHeight="1" x14ac:dyDescent="0.25">
      <c r="A878" s="149"/>
      <c r="B878" s="149"/>
      <c r="C878" s="149"/>
      <c r="D878" s="149"/>
      <c r="E878" s="149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  <c r="Q878" s="149"/>
      <c r="R878" s="149"/>
      <c r="S878" s="149"/>
      <c r="T878" s="149"/>
      <c r="U878" s="149"/>
      <c r="V878" s="149"/>
      <c r="W878" s="149"/>
      <c r="X878" s="149"/>
      <c r="Y878" s="149"/>
      <c r="Z878" s="149"/>
      <c r="AA878" s="149"/>
    </row>
    <row r="879" spans="1:27" ht="15.75" customHeight="1" x14ac:dyDescent="0.25">
      <c r="A879" s="149"/>
      <c r="B879" s="149"/>
      <c r="C879" s="149"/>
      <c r="D879" s="149"/>
      <c r="E879" s="149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  <c r="Q879" s="149"/>
      <c r="R879" s="149"/>
      <c r="S879" s="149"/>
      <c r="T879" s="149"/>
      <c r="U879" s="149"/>
      <c r="V879" s="149"/>
      <c r="W879" s="149"/>
      <c r="X879" s="149"/>
      <c r="Y879" s="149"/>
      <c r="Z879" s="149"/>
      <c r="AA879" s="149"/>
    </row>
    <row r="880" spans="1:27" ht="15.75" customHeight="1" x14ac:dyDescent="0.25">
      <c r="A880" s="149"/>
      <c r="B880" s="149"/>
      <c r="C880" s="149"/>
      <c r="D880" s="149"/>
      <c r="E880" s="149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  <c r="Q880" s="149"/>
      <c r="R880" s="149"/>
      <c r="S880" s="149"/>
      <c r="T880" s="149"/>
      <c r="U880" s="149"/>
      <c r="V880" s="149"/>
      <c r="W880" s="149"/>
      <c r="X880" s="149"/>
      <c r="Y880" s="149"/>
      <c r="Z880" s="149"/>
      <c r="AA880" s="149"/>
    </row>
    <row r="881" spans="1:27" ht="15.75" customHeight="1" x14ac:dyDescent="0.25">
      <c r="A881" s="149"/>
      <c r="B881" s="149"/>
      <c r="C881" s="149"/>
      <c r="D881" s="149"/>
      <c r="E881" s="149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  <c r="Q881" s="149"/>
      <c r="R881" s="149"/>
      <c r="S881" s="149"/>
      <c r="T881" s="149"/>
      <c r="U881" s="149"/>
      <c r="V881" s="149"/>
      <c r="W881" s="149"/>
      <c r="X881" s="149"/>
      <c r="Y881" s="149"/>
      <c r="Z881" s="149"/>
      <c r="AA881" s="149"/>
    </row>
    <row r="882" spans="1:27" ht="15.75" customHeight="1" x14ac:dyDescent="0.25">
      <c r="A882" s="149"/>
      <c r="B882" s="149"/>
      <c r="C882" s="149"/>
      <c r="D882" s="149"/>
      <c r="E882" s="149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  <c r="Q882" s="149"/>
      <c r="R882" s="149"/>
      <c r="S882" s="149"/>
      <c r="T882" s="149"/>
      <c r="U882" s="149"/>
      <c r="V882" s="149"/>
      <c r="W882" s="149"/>
      <c r="X882" s="149"/>
      <c r="Y882" s="149"/>
      <c r="Z882" s="149"/>
      <c r="AA882" s="149"/>
    </row>
    <row r="883" spans="1:27" ht="15.75" customHeight="1" x14ac:dyDescent="0.25">
      <c r="A883" s="149"/>
      <c r="B883" s="149"/>
      <c r="C883" s="149"/>
      <c r="D883" s="149"/>
      <c r="E883" s="149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  <c r="Q883" s="149"/>
      <c r="R883" s="149"/>
      <c r="S883" s="149"/>
      <c r="T883" s="149"/>
      <c r="U883" s="149"/>
      <c r="V883" s="149"/>
      <c r="W883" s="149"/>
      <c r="X883" s="149"/>
      <c r="Y883" s="149"/>
      <c r="Z883" s="149"/>
      <c r="AA883" s="149"/>
    </row>
    <row r="884" spans="1:27" ht="15.75" customHeight="1" x14ac:dyDescent="0.25">
      <c r="A884" s="149"/>
      <c r="B884" s="149"/>
      <c r="C884" s="149"/>
      <c r="D884" s="149"/>
      <c r="E884" s="149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  <c r="Q884" s="149"/>
      <c r="R884" s="149"/>
      <c r="S884" s="149"/>
      <c r="T884" s="149"/>
      <c r="U884" s="149"/>
      <c r="V884" s="149"/>
      <c r="W884" s="149"/>
      <c r="X884" s="149"/>
      <c r="Y884" s="149"/>
      <c r="Z884" s="149"/>
      <c r="AA884" s="149"/>
    </row>
    <row r="885" spans="1:27" ht="15.75" customHeight="1" x14ac:dyDescent="0.25">
      <c r="A885" s="149"/>
      <c r="B885" s="149"/>
      <c r="C885" s="149"/>
      <c r="D885" s="149"/>
      <c r="E885" s="149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  <c r="Q885" s="149"/>
      <c r="R885" s="149"/>
      <c r="S885" s="149"/>
      <c r="T885" s="149"/>
      <c r="U885" s="149"/>
      <c r="V885" s="149"/>
      <c r="W885" s="149"/>
      <c r="X885" s="149"/>
      <c r="Y885" s="149"/>
      <c r="Z885" s="149"/>
      <c r="AA885" s="149"/>
    </row>
    <row r="886" spans="1:27" ht="15.75" customHeight="1" x14ac:dyDescent="0.25">
      <c r="A886" s="149"/>
      <c r="B886" s="149"/>
      <c r="C886" s="149"/>
      <c r="D886" s="149"/>
      <c r="E886" s="149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  <c r="Q886" s="149"/>
      <c r="R886" s="149"/>
      <c r="S886" s="149"/>
      <c r="T886" s="149"/>
      <c r="U886" s="149"/>
      <c r="V886" s="149"/>
      <c r="W886" s="149"/>
      <c r="X886" s="149"/>
      <c r="Y886" s="149"/>
      <c r="Z886" s="149"/>
      <c r="AA886" s="149"/>
    </row>
    <row r="887" spans="1:27" ht="15.75" customHeight="1" x14ac:dyDescent="0.25">
      <c r="A887" s="149"/>
      <c r="B887" s="149"/>
      <c r="C887" s="149"/>
      <c r="D887" s="149"/>
      <c r="E887" s="149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  <c r="Q887" s="149"/>
      <c r="R887" s="149"/>
      <c r="S887" s="149"/>
      <c r="T887" s="149"/>
      <c r="U887" s="149"/>
      <c r="V887" s="149"/>
      <c r="W887" s="149"/>
      <c r="X887" s="149"/>
      <c r="Y887" s="149"/>
      <c r="Z887" s="149"/>
      <c r="AA887" s="149"/>
    </row>
    <row r="888" spans="1:27" ht="15.75" customHeight="1" x14ac:dyDescent="0.25">
      <c r="A888" s="149"/>
      <c r="B888" s="149"/>
      <c r="C888" s="149"/>
      <c r="D888" s="149"/>
      <c r="E888" s="149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  <c r="Q888" s="149"/>
      <c r="R888" s="149"/>
      <c r="S888" s="149"/>
      <c r="T888" s="149"/>
      <c r="U888" s="149"/>
      <c r="V888" s="149"/>
      <c r="W888" s="149"/>
      <c r="X888" s="149"/>
      <c r="Y888" s="149"/>
      <c r="Z888" s="149"/>
      <c r="AA888" s="149"/>
    </row>
    <row r="889" spans="1:27" ht="15.75" customHeight="1" x14ac:dyDescent="0.25">
      <c r="A889" s="149"/>
      <c r="B889" s="149"/>
      <c r="C889" s="149"/>
      <c r="D889" s="149"/>
      <c r="E889" s="149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  <c r="Q889" s="149"/>
      <c r="R889" s="149"/>
      <c r="S889" s="149"/>
      <c r="T889" s="149"/>
      <c r="U889" s="149"/>
      <c r="V889" s="149"/>
      <c r="W889" s="149"/>
      <c r="X889" s="149"/>
      <c r="Y889" s="149"/>
      <c r="Z889" s="149"/>
      <c r="AA889" s="149"/>
    </row>
    <row r="890" spans="1:27" ht="15.75" customHeight="1" x14ac:dyDescent="0.25">
      <c r="A890" s="149"/>
      <c r="B890" s="149"/>
      <c r="C890" s="149"/>
      <c r="D890" s="149"/>
      <c r="E890" s="14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  <c r="Q890" s="149"/>
      <c r="R890" s="149"/>
      <c r="S890" s="149"/>
      <c r="T890" s="149"/>
      <c r="U890" s="149"/>
      <c r="V890" s="149"/>
      <c r="W890" s="149"/>
      <c r="X890" s="149"/>
      <c r="Y890" s="149"/>
      <c r="Z890" s="149"/>
      <c r="AA890" s="149"/>
    </row>
    <row r="891" spans="1:27" ht="15.75" customHeight="1" x14ac:dyDescent="0.25">
      <c r="A891" s="149"/>
      <c r="B891" s="149"/>
      <c r="C891" s="149"/>
      <c r="D891" s="149"/>
      <c r="E891" s="149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  <c r="Q891" s="149"/>
      <c r="R891" s="149"/>
      <c r="S891" s="149"/>
      <c r="T891" s="149"/>
      <c r="U891" s="149"/>
      <c r="V891" s="149"/>
      <c r="W891" s="149"/>
      <c r="X891" s="149"/>
      <c r="Y891" s="149"/>
      <c r="Z891" s="149"/>
      <c r="AA891" s="149"/>
    </row>
    <row r="892" spans="1:27" ht="15.75" customHeight="1" x14ac:dyDescent="0.25">
      <c r="A892" s="149"/>
      <c r="B892" s="149"/>
      <c r="C892" s="149"/>
      <c r="D892" s="149"/>
      <c r="E892" s="149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  <c r="Q892" s="149"/>
      <c r="R892" s="149"/>
      <c r="S892" s="149"/>
      <c r="T892" s="149"/>
      <c r="U892" s="149"/>
      <c r="V892" s="149"/>
      <c r="W892" s="149"/>
      <c r="X892" s="149"/>
      <c r="Y892" s="149"/>
      <c r="Z892" s="149"/>
      <c r="AA892" s="149"/>
    </row>
    <row r="893" spans="1:27" ht="15.75" customHeight="1" x14ac:dyDescent="0.25">
      <c r="A893" s="149"/>
      <c r="B893" s="149"/>
      <c r="C893" s="149"/>
      <c r="D893" s="149"/>
      <c r="E893" s="149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  <c r="Q893" s="149"/>
      <c r="R893" s="149"/>
      <c r="S893" s="149"/>
      <c r="T893" s="149"/>
      <c r="U893" s="149"/>
      <c r="V893" s="149"/>
      <c r="W893" s="149"/>
      <c r="X893" s="149"/>
      <c r="Y893" s="149"/>
      <c r="Z893" s="149"/>
      <c r="AA893" s="149"/>
    </row>
    <row r="894" spans="1:27" ht="15.75" customHeight="1" x14ac:dyDescent="0.25">
      <c r="A894" s="149"/>
      <c r="B894" s="149"/>
      <c r="C894" s="149"/>
      <c r="D894" s="149"/>
      <c r="E894" s="149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  <c r="Q894" s="149"/>
      <c r="R894" s="149"/>
      <c r="S894" s="149"/>
      <c r="T894" s="149"/>
      <c r="U894" s="149"/>
      <c r="V894" s="149"/>
      <c r="W894" s="149"/>
      <c r="X894" s="149"/>
      <c r="Y894" s="149"/>
      <c r="Z894" s="149"/>
      <c r="AA894" s="149"/>
    </row>
    <row r="895" spans="1:27" ht="15.75" customHeight="1" x14ac:dyDescent="0.25">
      <c r="A895" s="149"/>
      <c r="B895" s="149"/>
      <c r="C895" s="149"/>
      <c r="D895" s="149"/>
      <c r="E895" s="149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  <c r="Q895" s="149"/>
      <c r="R895" s="149"/>
      <c r="S895" s="149"/>
      <c r="T895" s="149"/>
      <c r="U895" s="149"/>
      <c r="V895" s="149"/>
      <c r="W895" s="149"/>
      <c r="X895" s="149"/>
      <c r="Y895" s="149"/>
      <c r="Z895" s="149"/>
      <c r="AA895" s="149"/>
    </row>
    <row r="896" spans="1:27" ht="15.75" customHeight="1" x14ac:dyDescent="0.25">
      <c r="A896" s="149"/>
      <c r="B896" s="149"/>
      <c r="C896" s="149"/>
      <c r="D896" s="149"/>
      <c r="E896" s="149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  <c r="Q896" s="149"/>
      <c r="R896" s="149"/>
      <c r="S896" s="149"/>
      <c r="T896" s="149"/>
      <c r="U896" s="149"/>
      <c r="V896" s="149"/>
      <c r="W896" s="149"/>
      <c r="X896" s="149"/>
      <c r="Y896" s="149"/>
      <c r="Z896" s="149"/>
      <c r="AA896" s="149"/>
    </row>
    <row r="897" spans="1:27" ht="15.75" customHeight="1" x14ac:dyDescent="0.25">
      <c r="A897" s="149"/>
      <c r="B897" s="149"/>
      <c r="C897" s="149"/>
      <c r="D897" s="149"/>
      <c r="E897" s="149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  <c r="Q897" s="149"/>
      <c r="R897" s="149"/>
      <c r="S897" s="149"/>
      <c r="T897" s="149"/>
      <c r="U897" s="149"/>
      <c r="V897" s="149"/>
      <c r="W897" s="149"/>
      <c r="X897" s="149"/>
      <c r="Y897" s="149"/>
      <c r="Z897" s="149"/>
      <c r="AA897" s="149"/>
    </row>
    <row r="898" spans="1:27" ht="15.75" customHeight="1" x14ac:dyDescent="0.25">
      <c r="A898" s="149"/>
      <c r="B898" s="149"/>
      <c r="C898" s="149"/>
      <c r="D898" s="149"/>
      <c r="E898" s="149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  <c r="Q898" s="149"/>
      <c r="R898" s="149"/>
      <c r="S898" s="149"/>
      <c r="T898" s="149"/>
      <c r="U898" s="149"/>
      <c r="V898" s="149"/>
      <c r="W898" s="149"/>
      <c r="X898" s="149"/>
      <c r="Y898" s="149"/>
      <c r="Z898" s="149"/>
      <c r="AA898" s="149"/>
    </row>
    <row r="899" spans="1:27" ht="15.75" customHeight="1" x14ac:dyDescent="0.25">
      <c r="A899" s="149"/>
      <c r="B899" s="149"/>
      <c r="C899" s="149"/>
      <c r="D899" s="149"/>
      <c r="E899" s="149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  <c r="Q899" s="149"/>
      <c r="R899" s="149"/>
      <c r="S899" s="149"/>
      <c r="T899" s="149"/>
      <c r="U899" s="149"/>
      <c r="V899" s="149"/>
      <c r="W899" s="149"/>
      <c r="X899" s="149"/>
      <c r="Y899" s="149"/>
      <c r="Z899" s="149"/>
      <c r="AA899" s="149"/>
    </row>
    <row r="900" spans="1:27" ht="15.75" customHeight="1" x14ac:dyDescent="0.25">
      <c r="A900" s="149"/>
      <c r="B900" s="149"/>
      <c r="C900" s="149"/>
      <c r="D900" s="149"/>
      <c r="E900" s="149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  <c r="Q900" s="149"/>
      <c r="R900" s="149"/>
      <c r="S900" s="149"/>
      <c r="T900" s="149"/>
      <c r="U900" s="149"/>
      <c r="V900" s="149"/>
      <c r="W900" s="149"/>
      <c r="X900" s="149"/>
      <c r="Y900" s="149"/>
      <c r="Z900" s="149"/>
      <c r="AA900" s="149"/>
    </row>
    <row r="901" spans="1:27" ht="15.75" customHeight="1" x14ac:dyDescent="0.25">
      <c r="A901" s="149"/>
      <c r="B901" s="149"/>
      <c r="C901" s="149"/>
      <c r="D901" s="149"/>
      <c r="E901" s="149"/>
      <c r="F901" s="149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  <c r="Q901" s="149"/>
      <c r="R901" s="149"/>
      <c r="S901" s="149"/>
      <c r="T901" s="149"/>
      <c r="U901" s="149"/>
      <c r="V901" s="149"/>
      <c r="W901" s="149"/>
      <c r="X901" s="149"/>
      <c r="Y901" s="149"/>
      <c r="Z901" s="149"/>
      <c r="AA901" s="149"/>
    </row>
    <row r="902" spans="1:27" ht="15.75" customHeight="1" x14ac:dyDescent="0.25">
      <c r="A902" s="149"/>
      <c r="B902" s="149"/>
      <c r="C902" s="149"/>
      <c r="D902" s="149"/>
      <c r="E902" s="149"/>
      <c r="F902" s="149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  <c r="Q902" s="149"/>
      <c r="R902" s="149"/>
      <c r="S902" s="149"/>
      <c r="T902" s="149"/>
      <c r="U902" s="149"/>
      <c r="V902" s="149"/>
      <c r="W902" s="149"/>
      <c r="X902" s="149"/>
      <c r="Y902" s="149"/>
      <c r="Z902" s="149"/>
      <c r="AA902" s="149"/>
    </row>
    <row r="903" spans="1:27" ht="15.75" customHeight="1" x14ac:dyDescent="0.25">
      <c r="A903" s="149"/>
      <c r="B903" s="149"/>
      <c r="C903" s="149"/>
      <c r="D903" s="149"/>
      <c r="E903" s="149"/>
      <c r="F903" s="149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  <c r="Q903" s="149"/>
      <c r="R903" s="149"/>
      <c r="S903" s="149"/>
      <c r="T903" s="149"/>
      <c r="U903" s="149"/>
      <c r="V903" s="149"/>
      <c r="W903" s="149"/>
      <c r="X903" s="149"/>
      <c r="Y903" s="149"/>
      <c r="Z903" s="149"/>
      <c r="AA903" s="149"/>
    </row>
    <row r="904" spans="1:27" ht="15.75" customHeight="1" x14ac:dyDescent="0.25">
      <c r="A904" s="149"/>
      <c r="B904" s="149"/>
      <c r="C904" s="149"/>
      <c r="D904" s="149"/>
      <c r="E904" s="149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  <c r="Q904" s="149"/>
      <c r="R904" s="149"/>
      <c r="S904" s="149"/>
      <c r="T904" s="149"/>
      <c r="U904" s="149"/>
      <c r="V904" s="149"/>
      <c r="W904" s="149"/>
      <c r="X904" s="149"/>
      <c r="Y904" s="149"/>
      <c r="Z904" s="149"/>
      <c r="AA904" s="149"/>
    </row>
    <row r="905" spans="1:27" ht="15.75" customHeight="1" x14ac:dyDescent="0.25">
      <c r="A905" s="149"/>
      <c r="B905" s="149"/>
      <c r="C905" s="149"/>
      <c r="D905" s="149"/>
      <c r="E905" s="149"/>
      <c r="F905" s="149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  <c r="Q905" s="149"/>
      <c r="R905" s="149"/>
      <c r="S905" s="149"/>
      <c r="T905" s="149"/>
      <c r="U905" s="149"/>
      <c r="V905" s="149"/>
      <c r="W905" s="149"/>
      <c r="X905" s="149"/>
      <c r="Y905" s="149"/>
      <c r="Z905" s="149"/>
      <c r="AA905" s="149"/>
    </row>
    <row r="906" spans="1:27" ht="15.75" customHeight="1" x14ac:dyDescent="0.25">
      <c r="A906" s="149"/>
      <c r="B906" s="149"/>
      <c r="C906" s="149"/>
      <c r="D906" s="149"/>
      <c r="E906" s="149"/>
      <c r="F906" s="149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  <c r="Q906" s="149"/>
      <c r="R906" s="149"/>
      <c r="S906" s="149"/>
      <c r="T906" s="149"/>
      <c r="U906" s="149"/>
      <c r="V906" s="149"/>
      <c r="W906" s="149"/>
      <c r="X906" s="149"/>
      <c r="Y906" s="149"/>
      <c r="Z906" s="149"/>
      <c r="AA906" s="149"/>
    </row>
    <row r="907" spans="1:27" ht="15.75" customHeight="1" x14ac:dyDescent="0.25">
      <c r="A907" s="149"/>
      <c r="B907" s="149"/>
      <c r="C907" s="149"/>
      <c r="D907" s="149"/>
      <c r="E907" s="149"/>
      <c r="F907" s="149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  <c r="Q907" s="149"/>
      <c r="R907" s="149"/>
      <c r="S907" s="149"/>
      <c r="T907" s="149"/>
      <c r="U907" s="149"/>
      <c r="V907" s="149"/>
      <c r="W907" s="149"/>
      <c r="X907" s="149"/>
      <c r="Y907" s="149"/>
      <c r="Z907" s="149"/>
      <c r="AA907" s="149"/>
    </row>
    <row r="908" spans="1:27" ht="15.75" customHeight="1" x14ac:dyDescent="0.25">
      <c r="A908" s="149"/>
      <c r="B908" s="149"/>
      <c r="C908" s="149"/>
      <c r="D908" s="149"/>
      <c r="E908" s="149"/>
      <c r="F908" s="149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  <c r="Q908" s="149"/>
      <c r="R908" s="149"/>
      <c r="S908" s="149"/>
      <c r="T908" s="149"/>
      <c r="U908" s="149"/>
      <c r="V908" s="149"/>
      <c r="W908" s="149"/>
      <c r="X908" s="149"/>
      <c r="Y908" s="149"/>
      <c r="Z908" s="149"/>
      <c r="AA908" s="149"/>
    </row>
    <row r="909" spans="1:27" ht="15.75" customHeight="1" x14ac:dyDescent="0.25">
      <c r="A909" s="149"/>
      <c r="B909" s="149"/>
      <c r="C909" s="149"/>
      <c r="D909" s="149"/>
      <c r="E909" s="149"/>
      <c r="F909" s="149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  <c r="Q909" s="149"/>
      <c r="R909" s="149"/>
      <c r="S909" s="149"/>
      <c r="T909" s="149"/>
      <c r="U909" s="149"/>
      <c r="V909" s="149"/>
      <c r="W909" s="149"/>
      <c r="X909" s="149"/>
      <c r="Y909" s="149"/>
      <c r="Z909" s="149"/>
      <c r="AA909" s="149"/>
    </row>
    <row r="910" spans="1:27" ht="15.75" customHeight="1" x14ac:dyDescent="0.25">
      <c r="A910" s="149"/>
      <c r="B910" s="149"/>
      <c r="C910" s="149"/>
      <c r="D910" s="149"/>
      <c r="E910" s="149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  <c r="Q910" s="149"/>
      <c r="R910" s="149"/>
      <c r="S910" s="149"/>
      <c r="T910" s="149"/>
      <c r="U910" s="149"/>
      <c r="V910" s="149"/>
      <c r="W910" s="149"/>
      <c r="X910" s="149"/>
      <c r="Y910" s="149"/>
      <c r="Z910" s="149"/>
      <c r="AA910" s="149"/>
    </row>
    <row r="911" spans="1:27" ht="15.75" customHeight="1" x14ac:dyDescent="0.25">
      <c r="A911" s="149"/>
      <c r="B911" s="149"/>
      <c r="C911" s="149"/>
      <c r="D911" s="149"/>
      <c r="E911" s="149"/>
      <c r="F911" s="149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  <c r="Q911" s="149"/>
      <c r="R911" s="149"/>
      <c r="S911" s="149"/>
      <c r="T911" s="149"/>
      <c r="U911" s="149"/>
      <c r="V911" s="149"/>
      <c r="W911" s="149"/>
      <c r="X911" s="149"/>
      <c r="Y911" s="149"/>
      <c r="Z911" s="149"/>
      <c r="AA911" s="149"/>
    </row>
    <row r="912" spans="1:27" ht="15.75" customHeight="1" x14ac:dyDescent="0.25">
      <c r="A912" s="149"/>
      <c r="B912" s="149"/>
      <c r="C912" s="149"/>
      <c r="D912" s="149"/>
      <c r="E912" s="149"/>
      <c r="F912" s="149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  <c r="Q912" s="149"/>
      <c r="R912" s="149"/>
      <c r="S912" s="149"/>
      <c r="T912" s="149"/>
      <c r="U912" s="149"/>
      <c r="V912" s="149"/>
      <c r="W912" s="149"/>
      <c r="X912" s="149"/>
      <c r="Y912" s="149"/>
      <c r="Z912" s="149"/>
      <c r="AA912" s="149"/>
    </row>
    <row r="913" spans="1:27" ht="15.75" customHeight="1" x14ac:dyDescent="0.25">
      <c r="A913" s="149"/>
      <c r="B913" s="149"/>
      <c r="C913" s="149"/>
      <c r="D913" s="149"/>
      <c r="E913" s="149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  <c r="Q913" s="149"/>
      <c r="R913" s="149"/>
      <c r="S913" s="149"/>
      <c r="T913" s="149"/>
      <c r="U913" s="149"/>
      <c r="V913" s="149"/>
      <c r="W913" s="149"/>
      <c r="X913" s="149"/>
      <c r="Y913" s="149"/>
      <c r="Z913" s="149"/>
      <c r="AA913" s="149"/>
    </row>
    <row r="914" spans="1:27" ht="15.75" customHeight="1" x14ac:dyDescent="0.25">
      <c r="A914" s="149"/>
      <c r="B914" s="149"/>
      <c r="C914" s="149"/>
      <c r="D914" s="149"/>
      <c r="E914" s="149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  <c r="Q914" s="149"/>
      <c r="R914" s="149"/>
      <c r="S914" s="149"/>
      <c r="T914" s="149"/>
      <c r="U914" s="149"/>
      <c r="V914" s="149"/>
      <c r="W914" s="149"/>
      <c r="X914" s="149"/>
      <c r="Y914" s="149"/>
      <c r="Z914" s="149"/>
      <c r="AA914" s="149"/>
    </row>
    <row r="915" spans="1:27" ht="15.75" customHeight="1" x14ac:dyDescent="0.25">
      <c r="A915" s="149"/>
      <c r="B915" s="149"/>
      <c r="C915" s="149"/>
      <c r="D915" s="149"/>
      <c r="E915" s="149"/>
      <c r="F915" s="149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  <c r="Q915" s="149"/>
      <c r="R915" s="149"/>
      <c r="S915" s="149"/>
      <c r="T915" s="149"/>
      <c r="U915" s="149"/>
      <c r="V915" s="149"/>
      <c r="W915" s="149"/>
      <c r="X915" s="149"/>
      <c r="Y915" s="149"/>
      <c r="Z915" s="149"/>
      <c r="AA915" s="149"/>
    </row>
    <row r="916" spans="1:27" ht="15.75" customHeight="1" x14ac:dyDescent="0.25">
      <c r="A916" s="149"/>
      <c r="B916" s="149"/>
      <c r="C916" s="149"/>
      <c r="D916" s="149"/>
      <c r="E916" s="149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  <c r="Q916" s="149"/>
      <c r="R916" s="149"/>
      <c r="S916" s="149"/>
      <c r="T916" s="149"/>
      <c r="U916" s="149"/>
      <c r="V916" s="149"/>
      <c r="W916" s="149"/>
      <c r="X916" s="149"/>
      <c r="Y916" s="149"/>
      <c r="Z916" s="149"/>
      <c r="AA916" s="149"/>
    </row>
    <row r="917" spans="1:27" ht="15.75" customHeight="1" x14ac:dyDescent="0.25">
      <c r="A917" s="149"/>
      <c r="B917" s="149"/>
      <c r="C917" s="149"/>
      <c r="D917" s="149"/>
      <c r="E917" s="149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  <c r="Q917" s="149"/>
      <c r="R917" s="149"/>
      <c r="S917" s="149"/>
      <c r="T917" s="149"/>
      <c r="U917" s="149"/>
      <c r="V917" s="149"/>
      <c r="W917" s="149"/>
      <c r="X917" s="149"/>
      <c r="Y917" s="149"/>
      <c r="Z917" s="149"/>
      <c r="AA917" s="149"/>
    </row>
    <row r="918" spans="1:27" ht="15.75" customHeight="1" x14ac:dyDescent="0.25">
      <c r="A918" s="149"/>
      <c r="B918" s="149"/>
      <c r="C918" s="149"/>
      <c r="D918" s="149"/>
      <c r="E918" s="149"/>
      <c r="F918" s="149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  <c r="Q918" s="149"/>
      <c r="R918" s="149"/>
      <c r="S918" s="149"/>
      <c r="T918" s="149"/>
      <c r="U918" s="149"/>
      <c r="V918" s="149"/>
      <c r="W918" s="149"/>
      <c r="X918" s="149"/>
      <c r="Y918" s="149"/>
      <c r="Z918" s="149"/>
      <c r="AA918" s="149"/>
    </row>
    <row r="919" spans="1:27" ht="15.75" customHeight="1" x14ac:dyDescent="0.25">
      <c r="A919" s="149"/>
      <c r="B919" s="149"/>
      <c r="C919" s="149"/>
      <c r="D919" s="149"/>
      <c r="E919" s="149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  <c r="Q919" s="149"/>
      <c r="R919" s="149"/>
      <c r="S919" s="149"/>
      <c r="T919" s="149"/>
      <c r="U919" s="149"/>
      <c r="V919" s="149"/>
      <c r="W919" s="149"/>
      <c r="X919" s="149"/>
      <c r="Y919" s="149"/>
      <c r="Z919" s="149"/>
      <c r="AA919" s="149"/>
    </row>
    <row r="920" spans="1:27" ht="15.75" customHeight="1" x14ac:dyDescent="0.25">
      <c r="A920" s="149"/>
      <c r="B920" s="149"/>
      <c r="C920" s="149"/>
      <c r="D920" s="149"/>
      <c r="E920" s="149"/>
      <c r="F920" s="149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  <c r="Q920" s="149"/>
      <c r="R920" s="149"/>
      <c r="S920" s="149"/>
      <c r="T920" s="149"/>
      <c r="U920" s="149"/>
      <c r="V920" s="149"/>
      <c r="W920" s="149"/>
      <c r="X920" s="149"/>
      <c r="Y920" s="149"/>
      <c r="Z920" s="149"/>
      <c r="AA920" s="149"/>
    </row>
    <row r="921" spans="1:27" ht="15.75" customHeight="1" x14ac:dyDescent="0.25">
      <c r="A921" s="149"/>
      <c r="B921" s="149"/>
      <c r="C921" s="149"/>
      <c r="D921" s="149"/>
      <c r="E921" s="149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  <c r="Q921" s="149"/>
      <c r="R921" s="149"/>
      <c r="S921" s="149"/>
      <c r="T921" s="149"/>
      <c r="U921" s="149"/>
      <c r="V921" s="149"/>
      <c r="W921" s="149"/>
      <c r="X921" s="149"/>
      <c r="Y921" s="149"/>
      <c r="Z921" s="149"/>
      <c r="AA921" s="149"/>
    </row>
    <row r="922" spans="1:27" ht="15.75" customHeight="1" x14ac:dyDescent="0.25">
      <c r="A922" s="149"/>
      <c r="B922" s="149"/>
      <c r="C922" s="149"/>
      <c r="D922" s="149"/>
      <c r="E922" s="149"/>
      <c r="F922" s="149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  <c r="Q922" s="149"/>
      <c r="R922" s="149"/>
      <c r="S922" s="149"/>
      <c r="T922" s="149"/>
      <c r="U922" s="149"/>
      <c r="V922" s="149"/>
      <c r="W922" s="149"/>
      <c r="X922" s="149"/>
      <c r="Y922" s="149"/>
      <c r="Z922" s="149"/>
      <c r="AA922" s="149"/>
    </row>
    <row r="923" spans="1:27" ht="15.75" customHeight="1" x14ac:dyDescent="0.25">
      <c r="A923" s="149"/>
      <c r="B923" s="149"/>
      <c r="C923" s="149"/>
      <c r="D923" s="149"/>
      <c r="E923" s="149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  <c r="Q923" s="149"/>
      <c r="R923" s="149"/>
      <c r="S923" s="149"/>
      <c r="T923" s="149"/>
      <c r="U923" s="149"/>
      <c r="V923" s="149"/>
      <c r="W923" s="149"/>
      <c r="X923" s="149"/>
      <c r="Y923" s="149"/>
      <c r="Z923" s="149"/>
      <c r="AA923" s="149"/>
    </row>
    <row r="924" spans="1:27" ht="15.75" customHeight="1" x14ac:dyDescent="0.25">
      <c r="A924" s="149"/>
      <c r="B924" s="149"/>
      <c r="C924" s="149"/>
      <c r="D924" s="149"/>
      <c r="E924" s="149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  <c r="Q924" s="149"/>
      <c r="R924" s="149"/>
      <c r="S924" s="149"/>
      <c r="T924" s="149"/>
      <c r="U924" s="149"/>
      <c r="V924" s="149"/>
      <c r="W924" s="149"/>
      <c r="X924" s="149"/>
      <c r="Y924" s="149"/>
      <c r="Z924" s="149"/>
      <c r="AA924" s="149"/>
    </row>
    <row r="925" spans="1:27" ht="15.75" customHeight="1" x14ac:dyDescent="0.25">
      <c r="A925" s="149"/>
      <c r="B925" s="149"/>
      <c r="C925" s="149"/>
      <c r="D925" s="149"/>
      <c r="E925" s="149"/>
      <c r="F925" s="149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  <c r="Q925" s="149"/>
      <c r="R925" s="149"/>
      <c r="S925" s="149"/>
      <c r="T925" s="149"/>
      <c r="U925" s="149"/>
      <c r="V925" s="149"/>
      <c r="W925" s="149"/>
      <c r="X925" s="149"/>
      <c r="Y925" s="149"/>
      <c r="Z925" s="149"/>
      <c r="AA925" s="149"/>
    </row>
    <row r="926" spans="1:27" ht="15.75" customHeight="1" x14ac:dyDescent="0.25">
      <c r="A926" s="149"/>
      <c r="B926" s="149"/>
      <c r="C926" s="149"/>
      <c r="D926" s="149"/>
      <c r="E926" s="149"/>
      <c r="F926" s="149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  <c r="Q926" s="149"/>
      <c r="R926" s="149"/>
      <c r="S926" s="149"/>
      <c r="T926" s="149"/>
      <c r="U926" s="149"/>
      <c r="V926" s="149"/>
      <c r="W926" s="149"/>
      <c r="X926" s="149"/>
      <c r="Y926" s="149"/>
      <c r="Z926" s="149"/>
      <c r="AA926" s="149"/>
    </row>
    <row r="927" spans="1:27" ht="15.75" customHeight="1" x14ac:dyDescent="0.25">
      <c r="A927" s="149"/>
      <c r="B927" s="149"/>
      <c r="C927" s="149"/>
      <c r="D927" s="149"/>
      <c r="E927" s="149"/>
      <c r="F927" s="149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  <c r="Q927" s="149"/>
      <c r="R927" s="149"/>
      <c r="S927" s="149"/>
      <c r="T927" s="149"/>
      <c r="U927" s="149"/>
      <c r="V927" s="149"/>
      <c r="W927" s="149"/>
      <c r="X927" s="149"/>
      <c r="Y927" s="149"/>
      <c r="Z927" s="149"/>
      <c r="AA927" s="149"/>
    </row>
    <row r="928" spans="1:27" ht="15.75" customHeight="1" x14ac:dyDescent="0.25">
      <c r="A928" s="149"/>
      <c r="B928" s="149"/>
      <c r="C928" s="149"/>
      <c r="D928" s="149"/>
      <c r="E928" s="149"/>
      <c r="F928" s="149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  <c r="Q928" s="149"/>
      <c r="R928" s="149"/>
      <c r="S928" s="149"/>
      <c r="T928" s="149"/>
      <c r="U928" s="149"/>
      <c r="V928" s="149"/>
      <c r="W928" s="149"/>
      <c r="X928" s="149"/>
      <c r="Y928" s="149"/>
      <c r="Z928" s="149"/>
      <c r="AA928" s="149"/>
    </row>
    <row r="929" spans="1:27" ht="15.75" customHeight="1" x14ac:dyDescent="0.25">
      <c r="A929" s="149"/>
      <c r="B929" s="149"/>
      <c r="C929" s="149"/>
      <c r="D929" s="149"/>
      <c r="E929" s="149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  <c r="Q929" s="149"/>
      <c r="R929" s="149"/>
      <c r="S929" s="149"/>
      <c r="T929" s="149"/>
      <c r="U929" s="149"/>
      <c r="V929" s="149"/>
      <c r="W929" s="149"/>
      <c r="X929" s="149"/>
      <c r="Y929" s="149"/>
      <c r="Z929" s="149"/>
      <c r="AA929" s="149"/>
    </row>
    <row r="930" spans="1:27" ht="15.75" customHeight="1" x14ac:dyDescent="0.25">
      <c r="A930" s="149"/>
      <c r="B930" s="149"/>
      <c r="C930" s="149"/>
      <c r="D930" s="149"/>
      <c r="E930" s="149"/>
      <c r="F930" s="149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  <c r="Q930" s="149"/>
      <c r="R930" s="149"/>
      <c r="S930" s="149"/>
      <c r="T930" s="149"/>
      <c r="U930" s="149"/>
      <c r="V930" s="149"/>
      <c r="W930" s="149"/>
      <c r="X930" s="149"/>
      <c r="Y930" s="149"/>
      <c r="Z930" s="149"/>
      <c r="AA930" s="149"/>
    </row>
    <row r="931" spans="1:27" ht="15.75" customHeight="1" x14ac:dyDescent="0.25">
      <c r="A931" s="149"/>
      <c r="B931" s="149"/>
      <c r="C931" s="149"/>
      <c r="D931" s="149"/>
      <c r="E931" s="149"/>
      <c r="F931" s="149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  <c r="Q931" s="149"/>
      <c r="R931" s="149"/>
      <c r="S931" s="149"/>
      <c r="T931" s="149"/>
      <c r="U931" s="149"/>
      <c r="V931" s="149"/>
      <c r="W931" s="149"/>
      <c r="X931" s="149"/>
      <c r="Y931" s="149"/>
      <c r="Z931" s="149"/>
      <c r="AA931" s="149"/>
    </row>
    <row r="932" spans="1:27" ht="15.75" customHeight="1" x14ac:dyDescent="0.25">
      <c r="A932" s="149"/>
      <c r="B932" s="149"/>
      <c r="C932" s="149"/>
      <c r="D932" s="149"/>
      <c r="E932" s="149"/>
      <c r="F932" s="149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  <c r="Q932" s="149"/>
      <c r="R932" s="149"/>
      <c r="S932" s="149"/>
      <c r="T932" s="149"/>
      <c r="U932" s="149"/>
      <c r="V932" s="149"/>
      <c r="W932" s="149"/>
      <c r="X932" s="149"/>
      <c r="Y932" s="149"/>
      <c r="Z932" s="149"/>
      <c r="AA932" s="149"/>
    </row>
    <row r="933" spans="1:27" ht="15.75" customHeight="1" x14ac:dyDescent="0.25">
      <c r="A933" s="149"/>
      <c r="B933" s="149"/>
      <c r="C933" s="149"/>
      <c r="D933" s="149"/>
      <c r="E933" s="149"/>
      <c r="F933" s="149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  <c r="Q933" s="149"/>
      <c r="R933" s="149"/>
      <c r="S933" s="149"/>
      <c r="T933" s="149"/>
      <c r="U933" s="149"/>
      <c r="V933" s="149"/>
      <c r="W933" s="149"/>
      <c r="X933" s="149"/>
      <c r="Y933" s="149"/>
      <c r="Z933" s="149"/>
      <c r="AA933" s="149"/>
    </row>
    <row r="934" spans="1:27" ht="15.75" customHeight="1" x14ac:dyDescent="0.25">
      <c r="A934" s="149"/>
      <c r="B934" s="149"/>
      <c r="C934" s="149"/>
      <c r="D934" s="149"/>
      <c r="E934" s="149"/>
      <c r="F934" s="149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  <c r="Q934" s="149"/>
      <c r="R934" s="149"/>
      <c r="S934" s="149"/>
      <c r="T934" s="149"/>
      <c r="U934" s="149"/>
      <c r="V934" s="149"/>
      <c r="W934" s="149"/>
      <c r="X934" s="149"/>
      <c r="Y934" s="149"/>
      <c r="Z934" s="149"/>
      <c r="AA934" s="149"/>
    </row>
    <row r="935" spans="1:27" ht="15.75" customHeight="1" x14ac:dyDescent="0.25">
      <c r="A935" s="149"/>
      <c r="B935" s="149"/>
      <c r="C935" s="149"/>
      <c r="D935" s="149"/>
      <c r="E935" s="149"/>
      <c r="F935" s="149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  <c r="Q935" s="149"/>
      <c r="R935" s="149"/>
      <c r="S935" s="149"/>
      <c r="T935" s="149"/>
      <c r="U935" s="149"/>
      <c r="V935" s="149"/>
      <c r="W935" s="149"/>
      <c r="X935" s="149"/>
      <c r="Y935" s="149"/>
      <c r="Z935" s="149"/>
      <c r="AA935" s="149"/>
    </row>
    <row r="936" spans="1:27" ht="15.75" customHeight="1" x14ac:dyDescent="0.25">
      <c r="A936" s="149"/>
      <c r="B936" s="149"/>
      <c r="C936" s="149"/>
      <c r="D936" s="149"/>
      <c r="E936" s="149"/>
      <c r="F936" s="149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  <c r="Q936" s="149"/>
      <c r="R936" s="149"/>
      <c r="S936" s="149"/>
      <c r="T936" s="149"/>
      <c r="U936" s="149"/>
      <c r="V936" s="149"/>
      <c r="W936" s="149"/>
      <c r="X936" s="149"/>
      <c r="Y936" s="149"/>
      <c r="Z936" s="149"/>
      <c r="AA936" s="149"/>
    </row>
    <row r="937" spans="1:27" ht="15.75" customHeight="1" x14ac:dyDescent="0.25">
      <c r="A937" s="149"/>
      <c r="B937" s="149"/>
      <c r="C937" s="149"/>
      <c r="D937" s="149"/>
      <c r="E937" s="149"/>
      <c r="F937" s="149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  <c r="Q937" s="149"/>
      <c r="R937" s="149"/>
      <c r="S937" s="149"/>
      <c r="T937" s="149"/>
      <c r="U937" s="149"/>
      <c r="V937" s="149"/>
      <c r="W937" s="149"/>
      <c r="X937" s="149"/>
      <c r="Y937" s="149"/>
      <c r="Z937" s="149"/>
      <c r="AA937" s="149"/>
    </row>
    <row r="938" spans="1:27" ht="15.75" customHeight="1" x14ac:dyDescent="0.25">
      <c r="A938" s="149"/>
      <c r="B938" s="149"/>
      <c r="C938" s="149"/>
      <c r="D938" s="149"/>
      <c r="E938" s="149"/>
      <c r="F938" s="149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  <c r="Q938" s="149"/>
      <c r="R938" s="149"/>
      <c r="S938" s="149"/>
      <c r="T938" s="149"/>
      <c r="U938" s="149"/>
      <c r="V938" s="149"/>
      <c r="W938" s="149"/>
      <c r="X938" s="149"/>
      <c r="Y938" s="149"/>
      <c r="Z938" s="149"/>
      <c r="AA938" s="149"/>
    </row>
    <row r="939" spans="1:27" ht="15.75" customHeight="1" x14ac:dyDescent="0.25">
      <c r="A939" s="149"/>
      <c r="B939" s="149"/>
      <c r="C939" s="149"/>
      <c r="D939" s="149"/>
      <c r="E939" s="149"/>
      <c r="F939" s="149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  <c r="Q939" s="149"/>
      <c r="R939" s="149"/>
      <c r="S939" s="149"/>
      <c r="T939" s="149"/>
      <c r="U939" s="149"/>
      <c r="V939" s="149"/>
      <c r="W939" s="149"/>
      <c r="X939" s="149"/>
      <c r="Y939" s="149"/>
      <c r="Z939" s="149"/>
      <c r="AA939" s="149"/>
    </row>
    <row r="940" spans="1:27" ht="15.75" customHeight="1" x14ac:dyDescent="0.25">
      <c r="A940" s="149"/>
      <c r="B940" s="149"/>
      <c r="C940" s="149"/>
      <c r="D940" s="149"/>
      <c r="E940" s="149"/>
      <c r="F940" s="149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  <c r="Q940" s="149"/>
      <c r="R940" s="149"/>
      <c r="S940" s="149"/>
      <c r="T940" s="149"/>
      <c r="U940" s="149"/>
      <c r="V940" s="149"/>
      <c r="W940" s="149"/>
      <c r="X940" s="149"/>
      <c r="Y940" s="149"/>
      <c r="Z940" s="149"/>
      <c r="AA940" s="149"/>
    </row>
    <row r="941" spans="1:27" ht="15.75" customHeight="1" x14ac:dyDescent="0.25">
      <c r="A941" s="149"/>
      <c r="B941" s="149"/>
      <c r="C941" s="149"/>
      <c r="D941" s="149"/>
      <c r="E941" s="149"/>
      <c r="F941" s="149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  <c r="Q941" s="149"/>
      <c r="R941" s="149"/>
      <c r="S941" s="149"/>
      <c r="T941" s="149"/>
      <c r="U941" s="149"/>
      <c r="V941" s="149"/>
      <c r="W941" s="149"/>
      <c r="X941" s="149"/>
      <c r="Y941" s="149"/>
      <c r="Z941" s="149"/>
      <c r="AA941" s="149"/>
    </row>
    <row r="942" spans="1:27" ht="15.75" customHeight="1" x14ac:dyDescent="0.25">
      <c r="A942" s="149"/>
      <c r="B942" s="149"/>
      <c r="C942" s="149"/>
      <c r="D942" s="149"/>
      <c r="E942" s="149"/>
      <c r="F942" s="149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  <c r="Q942" s="149"/>
      <c r="R942" s="149"/>
      <c r="S942" s="149"/>
      <c r="T942" s="149"/>
      <c r="U942" s="149"/>
      <c r="V942" s="149"/>
      <c r="W942" s="149"/>
      <c r="X942" s="149"/>
      <c r="Y942" s="149"/>
      <c r="Z942" s="149"/>
      <c r="AA942" s="149"/>
    </row>
    <row r="943" spans="1:27" ht="15.75" customHeight="1" x14ac:dyDescent="0.25">
      <c r="A943" s="149"/>
      <c r="B943" s="149"/>
      <c r="C943" s="149"/>
      <c r="D943" s="149"/>
      <c r="E943" s="149"/>
      <c r="F943" s="149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  <c r="Q943" s="149"/>
      <c r="R943" s="149"/>
      <c r="S943" s="149"/>
      <c r="T943" s="149"/>
      <c r="U943" s="149"/>
      <c r="V943" s="149"/>
      <c r="W943" s="149"/>
      <c r="X943" s="149"/>
      <c r="Y943" s="149"/>
      <c r="Z943" s="149"/>
      <c r="AA943" s="149"/>
    </row>
    <row r="944" spans="1:27" ht="15.75" customHeight="1" x14ac:dyDescent="0.25">
      <c r="A944" s="149"/>
      <c r="B944" s="149"/>
      <c r="C944" s="149"/>
      <c r="D944" s="149"/>
      <c r="E944" s="149"/>
      <c r="F944" s="149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  <c r="Q944" s="149"/>
      <c r="R944" s="149"/>
      <c r="S944" s="149"/>
      <c r="T944" s="149"/>
      <c r="U944" s="149"/>
      <c r="V944" s="149"/>
      <c r="W944" s="149"/>
      <c r="X944" s="149"/>
      <c r="Y944" s="149"/>
      <c r="Z944" s="149"/>
      <c r="AA944" s="149"/>
    </row>
    <row r="945" spans="1:27" ht="15.75" customHeight="1" x14ac:dyDescent="0.25">
      <c r="A945" s="149"/>
      <c r="B945" s="149"/>
      <c r="C945" s="149"/>
      <c r="D945" s="149"/>
      <c r="E945" s="149"/>
      <c r="F945" s="149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  <c r="Q945" s="149"/>
      <c r="R945" s="149"/>
      <c r="S945" s="149"/>
      <c r="T945" s="149"/>
      <c r="U945" s="149"/>
      <c r="V945" s="149"/>
      <c r="W945" s="149"/>
      <c r="X945" s="149"/>
      <c r="Y945" s="149"/>
      <c r="Z945" s="149"/>
      <c r="AA945" s="149"/>
    </row>
    <row r="946" spans="1:27" ht="15.75" customHeight="1" x14ac:dyDescent="0.25">
      <c r="A946" s="149"/>
      <c r="B946" s="149"/>
      <c r="C946" s="149"/>
      <c r="D946" s="149"/>
      <c r="E946" s="149"/>
      <c r="F946" s="149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  <c r="Q946" s="149"/>
      <c r="R946" s="149"/>
      <c r="S946" s="149"/>
      <c r="T946" s="149"/>
      <c r="U946" s="149"/>
      <c r="V946" s="149"/>
      <c r="W946" s="149"/>
      <c r="X946" s="149"/>
      <c r="Y946" s="149"/>
      <c r="Z946" s="149"/>
      <c r="AA946" s="149"/>
    </row>
    <row r="947" spans="1:27" ht="15.75" customHeight="1" x14ac:dyDescent="0.25">
      <c r="A947" s="149"/>
      <c r="B947" s="149"/>
      <c r="C947" s="149"/>
      <c r="D947" s="149"/>
      <c r="E947" s="149"/>
      <c r="F947" s="149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  <c r="Q947" s="149"/>
      <c r="R947" s="149"/>
      <c r="S947" s="149"/>
      <c r="T947" s="149"/>
      <c r="U947" s="149"/>
      <c r="V947" s="149"/>
      <c r="W947" s="149"/>
      <c r="X947" s="149"/>
      <c r="Y947" s="149"/>
      <c r="Z947" s="149"/>
      <c r="AA947" s="149"/>
    </row>
    <row r="948" spans="1:27" ht="15.75" customHeight="1" x14ac:dyDescent="0.25">
      <c r="A948" s="149"/>
      <c r="B948" s="149"/>
      <c r="C948" s="149"/>
      <c r="D948" s="149"/>
      <c r="E948" s="149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  <c r="Q948" s="149"/>
      <c r="R948" s="149"/>
      <c r="S948" s="149"/>
      <c r="T948" s="149"/>
      <c r="U948" s="149"/>
      <c r="V948" s="149"/>
      <c r="W948" s="149"/>
      <c r="X948" s="149"/>
      <c r="Y948" s="149"/>
      <c r="Z948" s="149"/>
      <c r="AA948" s="149"/>
    </row>
    <row r="949" spans="1:27" ht="15.75" customHeight="1" x14ac:dyDescent="0.25">
      <c r="A949" s="149"/>
      <c r="B949" s="149"/>
      <c r="C949" s="149"/>
      <c r="D949" s="149"/>
      <c r="E949" s="149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  <c r="Q949" s="149"/>
      <c r="R949" s="149"/>
      <c r="S949" s="149"/>
      <c r="T949" s="149"/>
      <c r="U949" s="149"/>
      <c r="V949" s="149"/>
      <c r="W949" s="149"/>
      <c r="X949" s="149"/>
      <c r="Y949" s="149"/>
      <c r="Z949" s="149"/>
      <c r="AA949" s="149"/>
    </row>
    <row r="950" spans="1:27" ht="15.75" customHeight="1" x14ac:dyDescent="0.25">
      <c r="A950" s="149"/>
      <c r="B950" s="149"/>
      <c r="C950" s="149"/>
      <c r="D950" s="149"/>
      <c r="E950" s="149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  <c r="Q950" s="149"/>
      <c r="R950" s="149"/>
      <c r="S950" s="149"/>
      <c r="T950" s="149"/>
      <c r="U950" s="149"/>
      <c r="V950" s="149"/>
      <c r="W950" s="149"/>
      <c r="X950" s="149"/>
      <c r="Y950" s="149"/>
      <c r="Z950" s="149"/>
      <c r="AA950" s="149"/>
    </row>
    <row r="951" spans="1:27" ht="15.75" customHeight="1" x14ac:dyDescent="0.25">
      <c r="A951" s="149"/>
      <c r="B951" s="149"/>
      <c r="C951" s="149"/>
      <c r="D951" s="149"/>
      <c r="E951" s="149"/>
      <c r="F951" s="149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  <c r="Q951" s="149"/>
      <c r="R951" s="149"/>
      <c r="S951" s="149"/>
      <c r="T951" s="149"/>
      <c r="U951" s="149"/>
      <c r="V951" s="149"/>
      <c r="W951" s="149"/>
      <c r="X951" s="149"/>
      <c r="Y951" s="149"/>
      <c r="Z951" s="149"/>
      <c r="AA951" s="149"/>
    </row>
    <row r="952" spans="1:27" ht="15.75" customHeight="1" x14ac:dyDescent="0.25">
      <c r="A952" s="149"/>
      <c r="B952" s="149"/>
      <c r="C952" s="149"/>
      <c r="D952" s="149"/>
      <c r="E952" s="149"/>
      <c r="F952" s="149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  <c r="Q952" s="149"/>
      <c r="R952" s="149"/>
      <c r="S952" s="149"/>
      <c r="T952" s="149"/>
      <c r="U952" s="149"/>
      <c r="V952" s="149"/>
      <c r="W952" s="149"/>
      <c r="X952" s="149"/>
      <c r="Y952" s="149"/>
      <c r="Z952" s="149"/>
      <c r="AA952" s="149"/>
    </row>
    <row r="953" spans="1:27" ht="15.75" customHeight="1" x14ac:dyDescent="0.25">
      <c r="A953" s="149"/>
      <c r="B953" s="149"/>
      <c r="C953" s="149"/>
      <c r="D953" s="149"/>
      <c r="E953" s="149"/>
      <c r="F953" s="149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  <c r="Q953" s="149"/>
      <c r="R953" s="149"/>
      <c r="S953" s="149"/>
      <c r="T953" s="149"/>
      <c r="U953" s="149"/>
      <c r="V953" s="149"/>
      <c r="W953" s="149"/>
      <c r="X953" s="149"/>
      <c r="Y953" s="149"/>
      <c r="Z953" s="149"/>
      <c r="AA953" s="149"/>
    </row>
    <row r="954" spans="1:27" ht="15.75" customHeight="1" x14ac:dyDescent="0.25">
      <c r="A954" s="149"/>
      <c r="B954" s="149"/>
      <c r="C954" s="149"/>
      <c r="D954" s="149"/>
      <c r="E954" s="149"/>
      <c r="F954" s="149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  <c r="Q954" s="149"/>
      <c r="R954" s="149"/>
      <c r="S954" s="149"/>
      <c r="T954" s="149"/>
      <c r="U954" s="149"/>
      <c r="V954" s="149"/>
      <c r="W954" s="149"/>
      <c r="X954" s="149"/>
      <c r="Y954" s="149"/>
      <c r="Z954" s="149"/>
      <c r="AA954" s="149"/>
    </row>
    <row r="955" spans="1:27" ht="15.75" customHeight="1" x14ac:dyDescent="0.25">
      <c r="A955" s="149"/>
      <c r="B955" s="149"/>
      <c r="C955" s="149"/>
      <c r="D955" s="149"/>
      <c r="E955" s="149"/>
      <c r="F955" s="149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  <c r="Q955" s="149"/>
      <c r="R955" s="149"/>
      <c r="S955" s="149"/>
      <c r="T955" s="149"/>
      <c r="U955" s="149"/>
      <c r="V955" s="149"/>
      <c r="W955" s="149"/>
      <c r="X955" s="149"/>
      <c r="Y955" s="149"/>
      <c r="Z955" s="149"/>
      <c r="AA955" s="149"/>
    </row>
    <row r="956" spans="1:27" ht="15.75" customHeight="1" x14ac:dyDescent="0.25">
      <c r="A956" s="149"/>
      <c r="B956" s="149"/>
      <c r="C956" s="149"/>
      <c r="D956" s="149"/>
      <c r="E956" s="149"/>
      <c r="F956" s="149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  <c r="Q956" s="149"/>
      <c r="R956" s="149"/>
      <c r="S956" s="149"/>
      <c r="T956" s="149"/>
      <c r="U956" s="149"/>
      <c r="V956" s="149"/>
      <c r="W956" s="149"/>
      <c r="X956" s="149"/>
      <c r="Y956" s="149"/>
      <c r="Z956" s="149"/>
      <c r="AA956" s="149"/>
    </row>
    <row r="957" spans="1:27" ht="15.75" customHeight="1" x14ac:dyDescent="0.25">
      <c r="A957" s="149"/>
      <c r="B957" s="149"/>
      <c r="C957" s="149"/>
      <c r="D957" s="149"/>
      <c r="E957" s="149"/>
      <c r="F957" s="149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  <c r="Q957" s="149"/>
      <c r="R957" s="149"/>
      <c r="S957" s="149"/>
      <c r="T957" s="149"/>
      <c r="U957" s="149"/>
      <c r="V957" s="149"/>
      <c r="W957" s="149"/>
      <c r="X957" s="149"/>
      <c r="Y957" s="149"/>
      <c r="Z957" s="149"/>
      <c r="AA957" s="149"/>
    </row>
    <row r="958" spans="1:27" ht="15.75" customHeight="1" x14ac:dyDescent="0.25">
      <c r="A958" s="149"/>
      <c r="B958" s="149"/>
      <c r="C958" s="149"/>
      <c r="D958" s="149"/>
      <c r="E958" s="149"/>
      <c r="F958" s="149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  <c r="Q958" s="149"/>
      <c r="R958" s="149"/>
      <c r="S958" s="149"/>
      <c r="T958" s="149"/>
      <c r="U958" s="149"/>
      <c r="V958" s="149"/>
      <c r="W958" s="149"/>
      <c r="X958" s="149"/>
      <c r="Y958" s="149"/>
      <c r="Z958" s="149"/>
      <c r="AA958" s="149"/>
    </row>
    <row r="959" spans="1:27" ht="15.75" customHeight="1" x14ac:dyDescent="0.25">
      <c r="A959" s="149"/>
      <c r="B959" s="149"/>
      <c r="C959" s="149"/>
      <c r="D959" s="149"/>
      <c r="E959" s="149"/>
      <c r="F959" s="149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  <c r="Q959" s="149"/>
      <c r="R959" s="149"/>
      <c r="S959" s="149"/>
      <c r="T959" s="149"/>
      <c r="U959" s="149"/>
      <c r="V959" s="149"/>
      <c r="W959" s="149"/>
      <c r="X959" s="149"/>
      <c r="Y959" s="149"/>
      <c r="Z959" s="149"/>
      <c r="AA959" s="149"/>
    </row>
    <row r="960" spans="1:27" ht="15.75" customHeight="1" x14ac:dyDescent="0.25">
      <c r="A960" s="149"/>
      <c r="B960" s="149"/>
      <c r="C960" s="149"/>
      <c r="D960" s="149"/>
      <c r="E960" s="149"/>
      <c r="F960" s="149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  <c r="Q960" s="149"/>
      <c r="R960" s="149"/>
      <c r="S960" s="149"/>
      <c r="T960" s="149"/>
      <c r="U960" s="149"/>
      <c r="V960" s="149"/>
      <c r="W960" s="149"/>
      <c r="X960" s="149"/>
      <c r="Y960" s="149"/>
      <c r="Z960" s="149"/>
      <c r="AA960" s="149"/>
    </row>
    <row r="961" spans="1:27" ht="15.75" customHeight="1" x14ac:dyDescent="0.25">
      <c r="A961" s="149"/>
      <c r="B961" s="149"/>
      <c r="C961" s="149"/>
      <c r="D961" s="149"/>
      <c r="E961" s="149"/>
      <c r="F961" s="149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  <c r="Q961" s="149"/>
      <c r="R961" s="149"/>
      <c r="S961" s="149"/>
      <c r="T961" s="149"/>
      <c r="U961" s="149"/>
      <c r="V961" s="149"/>
      <c r="W961" s="149"/>
      <c r="X961" s="149"/>
      <c r="Y961" s="149"/>
      <c r="Z961" s="149"/>
      <c r="AA961" s="149"/>
    </row>
    <row r="962" spans="1:27" ht="15.75" customHeight="1" x14ac:dyDescent="0.25">
      <c r="A962" s="149"/>
      <c r="B962" s="149"/>
      <c r="C962" s="149"/>
      <c r="D962" s="149"/>
      <c r="E962" s="149"/>
      <c r="F962" s="149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  <c r="Q962" s="149"/>
      <c r="R962" s="149"/>
      <c r="S962" s="149"/>
      <c r="T962" s="149"/>
      <c r="U962" s="149"/>
      <c r="V962" s="149"/>
      <c r="W962" s="149"/>
      <c r="X962" s="149"/>
      <c r="Y962" s="149"/>
      <c r="Z962" s="149"/>
      <c r="AA962" s="149"/>
    </row>
    <row r="963" spans="1:27" ht="15.75" customHeight="1" x14ac:dyDescent="0.25">
      <c r="A963" s="149"/>
      <c r="B963" s="149"/>
      <c r="C963" s="149"/>
      <c r="D963" s="149"/>
      <c r="E963" s="149"/>
      <c r="F963" s="149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  <c r="Q963" s="149"/>
      <c r="R963" s="149"/>
      <c r="S963" s="149"/>
      <c r="T963" s="149"/>
      <c r="U963" s="149"/>
      <c r="V963" s="149"/>
      <c r="W963" s="149"/>
      <c r="X963" s="149"/>
      <c r="Y963" s="149"/>
      <c r="Z963" s="149"/>
      <c r="AA963" s="149"/>
    </row>
    <row r="964" spans="1:27" ht="15.75" customHeight="1" x14ac:dyDescent="0.25">
      <c r="A964" s="149"/>
      <c r="B964" s="149"/>
      <c r="C964" s="149"/>
      <c r="D964" s="149"/>
      <c r="E964" s="149"/>
      <c r="F964" s="149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  <c r="Q964" s="149"/>
      <c r="R964" s="149"/>
      <c r="S964" s="149"/>
      <c r="T964" s="149"/>
      <c r="U964" s="149"/>
      <c r="V964" s="149"/>
      <c r="W964" s="149"/>
      <c r="X964" s="149"/>
      <c r="Y964" s="149"/>
      <c r="Z964" s="149"/>
      <c r="AA964" s="149"/>
    </row>
    <row r="965" spans="1:27" ht="15.75" customHeight="1" x14ac:dyDescent="0.25">
      <c r="A965" s="149"/>
      <c r="B965" s="149"/>
      <c r="C965" s="149"/>
      <c r="D965" s="149"/>
      <c r="E965" s="149"/>
      <c r="F965" s="149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  <c r="Q965" s="149"/>
      <c r="R965" s="149"/>
      <c r="S965" s="149"/>
      <c r="T965" s="149"/>
      <c r="U965" s="149"/>
      <c r="V965" s="149"/>
      <c r="W965" s="149"/>
      <c r="X965" s="149"/>
      <c r="Y965" s="149"/>
      <c r="Z965" s="149"/>
      <c r="AA965" s="149"/>
    </row>
    <row r="966" spans="1:27" ht="15.75" customHeight="1" x14ac:dyDescent="0.25">
      <c r="A966" s="149"/>
      <c r="B966" s="149"/>
      <c r="C966" s="149"/>
      <c r="D966" s="149"/>
      <c r="E966" s="149"/>
      <c r="F966" s="149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  <c r="Q966" s="149"/>
      <c r="R966" s="149"/>
      <c r="S966" s="149"/>
      <c r="T966" s="149"/>
      <c r="U966" s="149"/>
      <c r="V966" s="149"/>
      <c r="W966" s="149"/>
      <c r="X966" s="149"/>
      <c r="Y966" s="149"/>
      <c r="Z966" s="149"/>
      <c r="AA966" s="149"/>
    </row>
    <row r="967" spans="1:27" ht="15.75" customHeight="1" x14ac:dyDescent="0.25">
      <c r="A967" s="149"/>
      <c r="B967" s="149"/>
      <c r="C967" s="149"/>
      <c r="D967" s="149"/>
      <c r="E967" s="149"/>
      <c r="F967" s="149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  <c r="Q967" s="149"/>
      <c r="R967" s="149"/>
      <c r="S967" s="149"/>
      <c r="T967" s="149"/>
      <c r="U967" s="149"/>
      <c r="V967" s="149"/>
      <c r="W967" s="149"/>
      <c r="X967" s="149"/>
      <c r="Y967" s="149"/>
      <c r="Z967" s="149"/>
      <c r="AA967" s="149"/>
    </row>
    <row r="968" spans="1:27" ht="15.75" customHeight="1" x14ac:dyDescent="0.25">
      <c r="A968" s="149"/>
      <c r="B968" s="149"/>
      <c r="C968" s="149"/>
      <c r="D968" s="149"/>
      <c r="E968" s="149"/>
      <c r="F968" s="149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  <c r="Q968" s="149"/>
      <c r="R968" s="149"/>
      <c r="S968" s="149"/>
      <c r="T968" s="149"/>
      <c r="U968" s="149"/>
      <c r="V968" s="149"/>
      <c r="W968" s="149"/>
      <c r="X968" s="149"/>
      <c r="Y968" s="149"/>
      <c r="Z968" s="149"/>
      <c r="AA968" s="149"/>
    </row>
    <row r="969" spans="1:27" ht="15.75" customHeight="1" x14ac:dyDescent="0.25">
      <c r="A969" s="149"/>
      <c r="B969" s="149"/>
      <c r="C969" s="149"/>
      <c r="D969" s="149"/>
      <c r="E969" s="149"/>
      <c r="F969" s="149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  <c r="Q969" s="149"/>
      <c r="R969" s="149"/>
      <c r="S969" s="149"/>
      <c r="T969" s="149"/>
      <c r="U969" s="149"/>
      <c r="V969" s="149"/>
      <c r="W969" s="149"/>
      <c r="X969" s="149"/>
      <c r="Y969" s="149"/>
      <c r="Z969" s="149"/>
      <c r="AA969" s="149"/>
    </row>
    <row r="970" spans="1:27" ht="15.75" customHeight="1" x14ac:dyDescent="0.25">
      <c r="A970" s="149"/>
      <c r="B970" s="149"/>
      <c r="C970" s="149"/>
      <c r="D970" s="149"/>
      <c r="E970" s="149"/>
      <c r="F970" s="149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  <c r="Q970" s="149"/>
      <c r="R970" s="149"/>
      <c r="S970" s="149"/>
      <c r="T970" s="149"/>
      <c r="U970" s="149"/>
      <c r="V970" s="149"/>
      <c r="W970" s="149"/>
      <c r="X970" s="149"/>
      <c r="Y970" s="149"/>
      <c r="Z970" s="149"/>
      <c r="AA970" s="149"/>
    </row>
    <row r="971" spans="1:27" ht="15.75" customHeight="1" x14ac:dyDescent="0.25">
      <c r="A971" s="149"/>
      <c r="B971" s="149"/>
      <c r="C971" s="149"/>
      <c r="D971" s="149"/>
      <c r="E971" s="149"/>
      <c r="F971" s="149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  <c r="Q971" s="149"/>
      <c r="R971" s="149"/>
      <c r="S971" s="149"/>
      <c r="T971" s="149"/>
      <c r="U971" s="149"/>
      <c r="V971" s="149"/>
      <c r="W971" s="149"/>
      <c r="X971" s="149"/>
      <c r="Y971" s="149"/>
      <c r="Z971" s="149"/>
      <c r="AA971" s="149"/>
    </row>
    <row r="972" spans="1:27" ht="15.75" customHeight="1" x14ac:dyDescent="0.25">
      <c r="A972" s="149"/>
      <c r="B972" s="149"/>
      <c r="C972" s="149"/>
      <c r="D972" s="149"/>
      <c r="E972" s="149"/>
      <c r="F972" s="149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  <c r="Q972" s="149"/>
      <c r="R972" s="149"/>
      <c r="S972" s="149"/>
      <c r="T972" s="149"/>
      <c r="U972" s="149"/>
      <c r="V972" s="149"/>
      <c r="W972" s="149"/>
      <c r="X972" s="149"/>
      <c r="Y972" s="149"/>
      <c r="Z972" s="149"/>
      <c r="AA972" s="149"/>
    </row>
    <row r="973" spans="1:27" ht="15.75" customHeight="1" x14ac:dyDescent="0.25">
      <c r="A973" s="149"/>
      <c r="B973" s="149"/>
      <c r="C973" s="149"/>
      <c r="D973" s="149"/>
      <c r="E973" s="149"/>
      <c r="F973" s="149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  <c r="Q973" s="149"/>
      <c r="R973" s="149"/>
      <c r="S973" s="149"/>
      <c r="T973" s="149"/>
      <c r="U973" s="149"/>
      <c r="V973" s="149"/>
      <c r="W973" s="149"/>
      <c r="X973" s="149"/>
      <c r="Y973" s="149"/>
      <c r="Z973" s="149"/>
      <c r="AA973" s="149"/>
    </row>
    <row r="974" spans="1:27" ht="15.75" customHeight="1" x14ac:dyDescent="0.25">
      <c r="A974" s="149"/>
      <c r="B974" s="149"/>
      <c r="C974" s="149"/>
      <c r="D974" s="149"/>
      <c r="E974" s="149"/>
      <c r="F974" s="149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  <c r="Q974" s="149"/>
      <c r="R974" s="149"/>
      <c r="S974" s="149"/>
      <c r="T974" s="149"/>
      <c r="U974" s="149"/>
      <c r="V974" s="149"/>
      <c r="W974" s="149"/>
      <c r="X974" s="149"/>
      <c r="Y974" s="149"/>
      <c r="Z974" s="149"/>
      <c r="AA974" s="149"/>
    </row>
    <row r="975" spans="1:27" ht="15.75" customHeight="1" x14ac:dyDescent="0.25">
      <c r="A975" s="149"/>
      <c r="B975" s="149"/>
      <c r="C975" s="149"/>
      <c r="D975" s="149"/>
      <c r="E975" s="149"/>
      <c r="F975" s="149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  <c r="Q975" s="149"/>
      <c r="R975" s="149"/>
      <c r="S975" s="149"/>
      <c r="T975" s="149"/>
      <c r="U975" s="149"/>
      <c r="V975" s="149"/>
      <c r="W975" s="149"/>
      <c r="X975" s="149"/>
      <c r="Y975" s="149"/>
      <c r="Z975" s="149"/>
      <c r="AA975" s="149"/>
    </row>
    <row r="976" spans="1:27" ht="15.75" customHeight="1" x14ac:dyDescent="0.25">
      <c r="A976" s="149"/>
      <c r="B976" s="149"/>
      <c r="C976" s="149"/>
      <c r="D976" s="149"/>
      <c r="E976" s="149"/>
      <c r="F976" s="149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  <c r="Q976" s="149"/>
      <c r="R976" s="149"/>
      <c r="S976" s="149"/>
      <c r="T976" s="149"/>
      <c r="U976" s="149"/>
      <c r="V976" s="149"/>
      <c r="W976" s="149"/>
      <c r="X976" s="149"/>
      <c r="Y976" s="149"/>
      <c r="Z976" s="149"/>
      <c r="AA976" s="149"/>
    </row>
    <row r="977" spans="1:27" ht="15.75" customHeight="1" x14ac:dyDescent="0.25">
      <c r="A977" s="149"/>
      <c r="B977" s="149"/>
      <c r="C977" s="149"/>
      <c r="D977" s="149"/>
      <c r="E977" s="149"/>
      <c r="F977" s="149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  <c r="Q977" s="149"/>
      <c r="R977" s="149"/>
      <c r="S977" s="149"/>
      <c r="T977" s="149"/>
      <c r="U977" s="149"/>
      <c r="V977" s="149"/>
      <c r="W977" s="149"/>
      <c r="X977" s="149"/>
      <c r="Y977" s="149"/>
      <c r="Z977" s="149"/>
      <c r="AA977" s="149"/>
    </row>
    <row r="978" spans="1:27" ht="15.75" customHeight="1" x14ac:dyDescent="0.25">
      <c r="A978" s="149"/>
      <c r="B978" s="149"/>
      <c r="C978" s="149"/>
      <c r="D978" s="149"/>
      <c r="E978" s="149"/>
      <c r="F978" s="149"/>
      <c r="G978" s="149"/>
      <c r="H978" s="149"/>
      <c r="I978" s="149"/>
      <c r="J978" s="149"/>
      <c r="K978" s="149"/>
      <c r="L978" s="149"/>
      <c r="M978" s="149"/>
      <c r="N978" s="149"/>
      <c r="O978" s="149"/>
      <c r="P978" s="149"/>
      <c r="Q978" s="149"/>
      <c r="R978" s="149"/>
      <c r="S978" s="149"/>
      <c r="T978" s="149"/>
      <c r="U978" s="149"/>
      <c r="V978" s="149"/>
      <c r="W978" s="149"/>
      <c r="X978" s="149"/>
      <c r="Y978" s="149"/>
      <c r="Z978" s="149"/>
      <c r="AA978" s="149"/>
    </row>
    <row r="979" spans="1:27" ht="15.75" customHeight="1" x14ac:dyDescent="0.25">
      <c r="A979" s="149"/>
      <c r="B979" s="149"/>
      <c r="C979" s="149"/>
      <c r="D979" s="149"/>
      <c r="E979" s="149"/>
      <c r="F979" s="149"/>
      <c r="G979" s="149"/>
      <c r="H979" s="149"/>
      <c r="I979" s="149"/>
      <c r="J979" s="149"/>
      <c r="K979" s="149"/>
      <c r="L979" s="149"/>
      <c r="M979" s="149"/>
      <c r="N979" s="149"/>
      <c r="O979" s="149"/>
      <c r="P979" s="149"/>
      <c r="Q979" s="149"/>
      <c r="R979" s="149"/>
      <c r="S979" s="149"/>
      <c r="T979" s="149"/>
      <c r="U979" s="149"/>
      <c r="V979" s="149"/>
      <c r="W979" s="149"/>
      <c r="X979" s="149"/>
      <c r="Y979" s="149"/>
      <c r="Z979" s="149"/>
      <c r="AA979" s="149"/>
    </row>
    <row r="980" spans="1:27" ht="15.75" customHeight="1" x14ac:dyDescent="0.25">
      <c r="A980" s="149"/>
      <c r="B980" s="149"/>
      <c r="C980" s="149"/>
      <c r="D980" s="149"/>
      <c r="E980" s="149"/>
      <c r="F980" s="149"/>
      <c r="G980" s="149"/>
      <c r="H980" s="149"/>
      <c r="I980" s="149"/>
      <c r="J980" s="149"/>
      <c r="K980" s="149"/>
      <c r="L980" s="149"/>
      <c r="M980" s="149"/>
      <c r="N980" s="149"/>
      <c r="O980" s="149"/>
      <c r="P980" s="149"/>
      <c r="Q980" s="149"/>
      <c r="R980" s="149"/>
      <c r="S980" s="149"/>
      <c r="T980" s="149"/>
      <c r="U980" s="149"/>
      <c r="V980" s="149"/>
      <c r="W980" s="149"/>
      <c r="X980" s="149"/>
      <c r="Y980" s="149"/>
      <c r="Z980" s="149"/>
      <c r="AA980" s="149"/>
    </row>
    <row r="981" spans="1:27" ht="15.75" customHeight="1" x14ac:dyDescent="0.25">
      <c r="A981" s="149"/>
      <c r="B981" s="149"/>
      <c r="C981" s="149"/>
      <c r="D981" s="149"/>
      <c r="E981" s="149"/>
      <c r="F981" s="149"/>
      <c r="G981" s="149"/>
      <c r="H981" s="149"/>
      <c r="I981" s="149"/>
      <c r="J981" s="149"/>
      <c r="K981" s="149"/>
      <c r="L981" s="149"/>
      <c r="M981" s="149"/>
      <c r="N981" s="149"/>
      <c r="O981" s="149"/>
      <c r="P981" s="149"/>
      <c r="Q981" s="149"/>
      <c r="R981" s="149"/>
      <c r="S981" s="149"/>
      <c r="T981" s="149"/>
      <c r="U981" s="149"/>
      <c r="V981" s="149"/>
      <c r="W981" s="149"/>
      <c r="X981" s="149"/>
      <c r="Y981" s="149"/>
      <c r="Z981" s="149"/>
      <c r="AA981" s="149"/>
    </row>
    <row r="982" spans="1:27" ht="15.75" customHeight="1" x14ac:dyDescent="0.25">
      <c r="A982" s="149"/>
      <c r="B982" s="149"/>
      <c r="C982" s="149"/>
      <c r="D982" s="149"/>
      <c r="E982" s="149"/>
      <c r="F982" s="149"/>
      <c r="G982" s="149"/>
      <c r="H982" s="149"/>
      <c r="I982" s="149"/>
      <c r="J982" s="149"/>
      <c r="K982" s="149"/>
      <c r="L982" s="149"/>
      <c r="M982" s="149"/>
      <c r="N982" s="149"/>
      <c r="O982" s="149"/>
      <c r="P982" s="149"/>
      <c r="Q982" s="149"/>
      <c r="R982" s="149"/>
      <c r="S982" s="149"/>
      <c r="T982" s="149"/>
      <c r="U982" s="149"/>
      <c r="V982" s="149"/>
      <c r="W982" s="149"/>
      <c r="X982" s="149"/>
      <c r="Y982" s="149"/>
      <c r="Z982" s="149"/>
      <c r="AA982" s="149"/>
    </row>
    <row r="983" spans="1:27" ht="15.75" customHeight="1" x14ac:dyDescent="0.25">
      <c r="A983" s="149"/>
      <c r="B983" s="149"/>
      <c r="C983" s="149"/>
      <c r="D983" s="149"/>
      <c r="E983" s="149"/>
      <c r="F983" s="149"/>
      <c r="G983" s="149"/>
      <c r="H983" s="149"/>
      <c r="I983" s="149"/>
      <c r="J983" s="149"/>
      <c r="K983" s="149"/>
      <c r="L983" s="149"/>
      <c r="M983" s="149"/>
      <c r="N983" s="149"/>
      <c r="O983" s="149"/>
      <c r="P983" s="149"/>
      <c r="Q983" s="149"/>
      <c r="R983" s="149"/>
      <c r="S983" s="149"/>
      <c r="T983" s="149"/>
      <c r="U983" s="149"/>
      <c r="V983" s="149"/>
      <c r="W983" s="149"/>
      <c r="X983" s="149"/>
      <c r="Y983" s="149"/>
      <c r="Z983" s="149"/>
      <c r="AA983" s="149"/>
    </row>
    <row r="984" spans="1:27" ht="15.75" customHeight="1" x14ac:dyDescent="0.25">
      <c r="A984" s="149"/>
      <c r="B984" s="149"/>
      <c r="C984" s="149"/>
      <c r="D984" s="149"/>
      <c r="E984" s="149"/>
      <c r="F984" s="149"/>
      <c r="G984" s="149"/>
      <c r="H984" s="149"/>
      <c r="I984" s="149"/>
      <c r="J984" s="149"/>
      <c r="K984" s="149"/>
      <c r="L984" s="149"/>
      <c r="M984" s="149"/>
      <c r="N984" s="149"/>
      <c r="O984" s="149"/>
      <c r="P984" s="149"/>
      <c r="Q984" s="149"/>
      <c r="R984" s="149"/>
      <c r="S984" s="149"/>
      <c r="T984" s="149"/>
      <c r="U984" s="149"/>
      <c r="V984" s="149"/>
      <c r="W984" s="149"/>
      <c r="X984" s="149"/>
      <c r="Y984" s="149"/>
      <c r="Z984" s="149"/>
      <c r="AA984" s="149"/>
    </row>
    <row r="985" spans="1:27" ht="15.75" customHeight="1" x14ac:dyDescent="0.25">
      <c r="A985" s="149"/>
      <c r="B985" s="149"/>
      <c r="C985" s="149"/>
      <c r="D985" s="149"/>
      <c r="E985" s="149"/>
      <c r="F985" s="149"/>
      <c r="G985" s="149"/>
      <c r="H985" s="149"/>
      <c r="I985" s="149"/>
      <c r="J985" s="149"/>
      <c r="K985" s="149"/>
      <c r="L985" s="149"/>
      <c r="M985" s="149"/>
      <c r="N985" s="149"/>
      <c r="O985" s="149"/>
      <c r="P985" s="149"/>
      <c r="Q985" s="149"/>
      <c r="R985" s="149"/>
      <c r="S985" s="149"/>
      <c r="T985" s="149"/>
      <c r="U985" s="149"/>
      <c r="V985" s="149"/>
      <c r="W985" s="149"/>
      <c r="X985" s="149"/>
      <c r="Y985" s="149"/>
      <c r="Z985" s="149"/>
      <c r="AA985" s="149"/>
    </row>
    <row r="986" spans="1:27" ht="15.75" customHeight="1" x14ac:dyDescent="0.25">
      <c r="A986" s="149"/>
      <c r="B986" s="149"/>
      <c r="C986" s="149"/>
      <c r="D986" s="149"/>
      <c r="E986" s="149"/>
      <c r="F986" s="149"/>
      <c r="G986" s="149"/>
      <c r="H986" s="149"/>
      <c r="I986" s="149"/>
      <c r="J986" s="149"/>
      <c r="K986" s="149"/>
      <c r="L986" s="149"/>
      <c r="M986" s="149"/>
      <c r="N986" s="149"/>
      <c r="O986" s="149"/>
      <c r="P986" s="149"/>
      <c r="Q986" s="149"/>
      <c r="R986" s="149"/>
      <c r="S986" s="149"/>
      <c r="T986" s="149"/>
      <c r="U986" s="149"/>
      <c r="V986" s="149"/>
      <c r="W986" s="149"/>
      <c r="X986" s="149"/>
      <c r="Y986" s="149"/>
      <c r="Z986" s="149"/>
      <c r="AA986" s="149"/>
    </row>
    <row r="987" spans="1:27" ht="15.75" customHeight="1" x14ac:dyDescent="0.25">
      <c r="A987" s="149"/>
      <c r="B987" s="149"/>
      <c r="C987" s="149"/>
      <c r="D987" s="149"/>
      <c r="E987" s="149"/>
      <c r="F987" s="149"/>
      <c r="G987" s="149"/>
      <c r="H987" s="149"/>
      <c r="I987" s="149"/>
      <c r="J987" s="149"/>
      <c r="K987" s="149"/>
      <c r="L987" s="149"/>
      <c r="M987" s="149"/>
      <c r="N987" s="149"/>
      <c r="O987" s="149"/>
      <c r="P987" s="149"/>
      <c r="Q987" s="149"/>
      <c r="R987" s="149"/>
      <c r="S987" s="149"/>
      <c r="T987" s="149"/>
      <c r="U987" s="149"/>
      <c r="V987" s="149"/>
      <c r="W987" s="149"/>
      <c r="X987" s="149"/>
      <c r="Y987" s="149"/>
      <c r="Z987" s="149"/>
      <c r="AA987" s="149"/>
    </row>
    <row r="988" spans="1:27" ht="15.75" customHeight="1" x14ac:dyDescent="0.25">
      <c r="A988" s="149"/>
      <c r="B988" s="149"/>
      <c r="C988" s="149"/>
      <c r="D988" s="149"/>
      <c r="E988" s="149"/>
      <c r="F988" s="149"/>
      <c r="G988" s="149"/>
      <c r="H988" s="149"/>
      <c r="I988" s="149"/>
      <c r="J988" s="149"/>
      <c r="K988" s="149"/>
      <c r="L988" s="149"/>
      <c r="M988" s="149"/>
      <c r="N988" s="149"/>
      <c r="O988" s="149"/>
      <c r="P988" s="149"/>
      <c r="Q988" s="149"/>
      <c r="R988" s="149"/>
      <c r="S988" s="149"/>
      <c r="T988" s="149"/>
      <c r="U988" s="149"/>
      <c r="V988" s="149"/>
      <c r="W988" s="149"/>
      <c r="X988" s="149"/>
      <c r="Y988" s="149"/>
      <c r="Z988" s="149"/>
      <c r="AA988" s="149"/>
    </row>
    <row r="989" spans="1:27" ht="15.75" customHeight="1" x14ac:dyDescent="0.25">
      <c r="A989" s="149"/>
      <c r="B989" s="149"/>
      <c r="C989" s="149"/>
      <c r="D989" s="149"/>
      <c r="E989" s="149"/>
      <c r="F989" s="149"/>
      <c r="G989" s="149"/>
      <c r="H989" s="149"/>
      <c r="I989" s="149"/>
      <c r="J989" s="149"/>
      <c r="K989" s="149"/>
      <c r="L989" s="149"/>
      <c r="M989" s="149"/>
      <c r="N989" s="149"/>
      <c r="O989" s="149"/>
      <c r="P989" s="149"/>
      <c r="Q989" s="149"/>
      <c r="R989" s="149"/>
      <c r="S989" s="149"/>
      <c r="T989" s="149"/>
      <c r="U989" s="149"/>
      <c r="V989" s="149"/>
      <c r="W989" s="149"/>
      <c r="X989" s="149"/>
      <c r="Y989" s="149"/>
      <c r="Z989" s="149"/>
      <c r="AA989" s="149"/>
    </row>
    <row r="990" spans="1:27" ht="15.75" customHeight="1" x14ac:dyDescent="0.25">
      <c r="A990" s="149"/>
      <c r="B990" s="149"/>
      <c r="C990" s="149"/>
      <c r="D990" s="149"/>
      <c r="E990" s="149"/>
      <c r="F990" s="149"/>
      <c r="G990" s="149"/>
      <c r="H990" s="149"/>
      <c r="I990" s="149"/>
      <c r="J990" s="149"/>
      <c r="K990" s="149"/>
      <c r="L990" s="149"/>
      <c r="M990" s="149"/>
      <c r="N990" s="149"/>
      <c r="O990" s="149"/>
      <c r="P990" s="149"/>
      <c r="Q990" s="149"/>
      <c r="R990" s="149"/>
      <c r="S990" s="149"/>
      <c r="T990" s="149"/>
      <c r="U990" s="149"/>
      <c r="V990" s="149"/>
      <c r="W990" s="149"/>
      <c r="X990" s="149"/>
      <c r="Y990" s="149"/>
      <c r="Z990" s="149"/>
      <c r="AA990" s="149"/>
    </row>
    <row r="991" spans="1:27" ht="15.75" customHeight="1" x14ac:dyDescent="0.25">
      <c r="A991" s="149"/>
      <c r="B991" s="149"/>
      <c r="C991" s="149"/>
      <c r="D991" s="149"/>
      <c r="E991" s="149"/>
      <c r="F991" s="149"/>
      <c r="G991" s="149"/>
      <c r="H991" s="149"/>
      <c r="I991" s="149"/>
      <c r="J991" s="149"/>
      <c r="K991" s="149"/>
      <c r="L991" s="149"/>
      <c r="M991" s="149"/>
      <c r="N991" s="149"/>
      <c r="O991" s="149"/>
      <c r="P991" s="149"/>
      <c r="Q991" s="149"/>
      <c r="R991" s="149"/>
      <c r="S991" s="149"/>
      <c r="T991" s="149"/>
      <c r="U991" s="149"/>
      <c r="V991" s="149"/>
      <c r="W991" s="149"/>
      <c r="X991" s="149"/>
      <c r="Y991" s="149"/>
      <c r="Z991" s="149"/>
      <c r="AA991" s="149"/>
    </row>
    <row r="992" spans="1:27" ht="15.75" customHeight="1" x14ac:dyDescent="0.25">
      <c r="A992" s="149"/>
      <c r="B992" s="149"/>
      <c r="C992" s="149"/>
      <c r="D992" s="149"/>
      <c r="E992" s="149"/>
      <c r="F992" s="149"/>
      <c r="G992" s="149"/>
      <c r="H992" s="149"/>
      <c r="I992" s="149"/>
      <c r="J992" s="149"/>
      <c r="K992" s="149"/>
      <c r="L992" s="149"/>
      <c r="M992" s="149"/>
      <c r="N992" s="149"/>
      <c r="O992" s="149"/>
      <c r="P992" s="149"/>
      <c r="Q992" s="149"/>
      <c r="R992" s="149"/>
      <c r="S992" s="149"/>
      <c r="T992" s="149"/>
      <c r="U992" s="149"/>
      <c r="V992" s="149"/>
      <c r="W992" s="149"/>
      <c r="X992" s="149"/>
      <c r="Y992" s="149"/>
      <c r="Z992" s="149"/>
      <c r="AA992" s="149"/>
    </row>
    <row r="993" spans="1:27" ht="15.75" customHeight="1" x14ac:dyDescent="0.25">
      <c r="A993" s="149"/>
      <c r="B993" s="149"/>
      <c r="C993" s="149"/>
      <c r="D993" s="149"/>
      <c r="E993" s="149"/>
      <c r="F993" s="149"/>
      <c r="G993" s="149"/>
      <c r="H993" s="149"/>
      <c r="I993" s="149"/>
      <c r="J993" s="149"/>
      <c r="K993" s="149"/>
      <c r="L993" s="149"/>
      <c r="M993" s="149"/>
      <c r="N993" s="149"/>
      <c r="O993" s="149"/>
      <c r="P993" s="149"/>
      <c r="Q993" s="149"/>
      <c r="R993" s="149"/>
      <c r="S993" s="149"/>
      <c r="T993" s="149"/>
      <c r="U993" s="149"/>
      <c r="V993" s="149"/>
      <c r="W993" s="149"/>
      <c r="X993" s="149"/>
      <c r="Y993" s="149"/>
      <c r="Z993" s="149"/>
      <c r="AA993" s="149"/>
    </row>
    <row r="994" spans="1:27" ht="15.75" customHeight="1" x14ac:dyDescent="0.25">
      <c r="A994" s="149"/>
      <c r="B994" s="149"/>
      <c r="C994" s="149"/>
      <c r="D994" s="149"/>
      <c r="E994" s="149"/>
      <c r="F994" s="149"/>
      <c r="G994" s="149"/>
      <c r="H994" s="149"/>
      <c r="I994" s="149"/>
      <c r="J994" s="149"/>
      <c r="K994" s="149"/>
      <c r="L994" s="149"/>
      <c r="M994" s="149"/>
      <c r="N994" s="149"/>
      <c r="O994" s="149"/>
      <c r="P994" s="149"/>
      <c r="Q994" s="149"/>
      <c r="R994" s="149"/>
      <c r="S994" s="149"/>
      <c r="T994" s="149"/>
      <c r="U994" s="149"/>
      <c r="V994" s="149"/>
      <c r="W994" s="149"/>
      <c r="X994" s="149"/>
      <c r="Y994" s="149"/>
      <c r="Z994" s="149"/>
      <c r="AA994" s="149"/>
    </row>
    <row r="995" spans="1:27" ht="15.75" customHeight="1" x14ac:dyDescent="0.25">
      <c r="A995" s="149"/>
      <c r="B995" s="149"/>
      <c r="C995" s="149"/>
      <c r="D995" s="149"/>
      <c r="E995" s="149"/>
      <c r="F995" s="149"/>
      <c r="G995" s="149"/>
      <c r="H995" s="149"/>
      <c r="I995" s="149"/>
      <c r="J995" s="149"/>
      <c r="K995" s="149"/>
      <c r="L995" s="149"/>
      <c r="M995" s="149"/>
      <c r="N995" s="149"/>
      <c r="O995" s="149"/>
      <c r="P995" s="149"/>
      <c r="Q995" s="149"/>
      <c r="R995" s="149"/>
      <c r="S995" s="149"/>
      <c r="T995" s="149"/>
      <c r="U995" s="149"/>
      <c r="V995" s="149"/>
      <c r="W995" s="149"/>
      <c r="X995" s="149"/>
      <c r="Y995" s="149"/>
      <c r="Z995" s="149"/>
      <c r="AA995" s="149"/>
    </row>
    <row r="996" spans="1:27" ht="15.75" customHeight="1" x14ac:dyDescent="0.25">
      <c r="A996" s="149"/>
      <c r="B996" s="149"/>
      <c r="C996" s="149"/>
      <c r="D996" s="149"/>
      <c r="E996" s="149"/>
      <c r="F996" s="149"/>
      <c r="G996" s="149"/>
      <c r="H996" s="149"/>
      <c r="I996" s="149"/>
      <c r="J996" s="149"/>
      <c r="K996" s="149"/>
      <c r="L996" s="149"/>
      <c r="M996" s="149"/>
      <c r="N996" s="149"/>
      <c r="O996" s="149"/>
      <c r="P996" s="149"/>
      <c r="Q996" s="149"/>
      <c r="R996" s="149"/>
      <c r="S996" s="149"/>
      <c r="T996" s="149"/>
      <c r="U996" s="149"/>
      <c r="V996" s="149"/>
      <c r="W996" s="149"/>
      <c r="X996" s="149"/>
      <c r="Y996" s="149"/>
      <c r="Z996" s="149"/>
      <c r="AA996" s="149"/>
    </row>
    <row r="997" spans="1:27" ht="15.75" customHeight="1" x14ac:dyDescent="0.25">
      <c r="A997" s="149"/>
      <c r="B997" s="149"/>
      <c r="C997" s="149"/>
      <c r="D997" s="149"/>
      <c r="E997" s="149"/>
      <c r="F997" s="149"/>
      <c r="G997" s="149"/>
      <c r="H997" s="149"/>
      <c r="I997" s="149"/>
      <c r="J997" s="149"/>
      <c r="K997" s="149"/>
      <c r="L997" s="149"/>
      <c r="M997" s="149"/>
      <c r="N997" s="149"/>
      <c r="O997" s="149"/>
      <c r="P997" s="149"/>
      <c r="Q997" s="149"/>
      <c r="R997" s="149"/>
      <c r="S997" s="149"/>
      <c r="T997" s="149"/>
      <c r="U997" s="149"/>
      <c r="V997" s="149"/>
      <c r="W997" s="149"/>
      <c r="X997" s="149"/>
      <c r="Y997" s="149"/>
      <c r="Z997" s="149"/>
      <c r="AA997" s="149"/>
    </row>
    <row r="998" spans="1:27" ht="15.75" customHeight="1" x14ac:dyDescent="0.25">
      <c r="A998" s="149"/>
      <c r="B998" s="149"/>
      <c r="C998" s="149"/>
      <c r="D998" s="149"/>
      <c r="E998" s="149"/>
      <c r="F998" s="149"/>
      <c r="G998" s="149"/>
      <c r="H998" s="149"/>
      <c r="I998" s="149"/>
      <c r="J998" s="149"/>
      <c r="K998" s="149"/>
      <c r="L998" s="149"/>
      <c r="M998" s="149"/>
      <c r="N998" s="149"/>
      <c r="O998" s="149"/>
      <c r="P998" s="149"/>
      <c r="Q998" s="149"/>
      <c r="R998" s="149"/>
      <c r="S998" s="149"/>
      <c r="T998" s="149"/>
      <c r="U998" s="149"/>
      <c r="V998" s="149"/>
      <c r="W998" s="149"/>
      <c r="X998" s="149"/>
      <c r="Y998" s="149"/>
      <c r="Z998" s="149"/>
      <c r="AA998" s="149"/>
    </row>
    <row r="999" spans="1:27" ht="15.75" customHeight="1" x14ac:dyDescent="0.25">
      <c r="A999" s="149"/>
      <c r="B999" s="149"/>
      <c r="C999" s="149"/>
      <c r="D999" s="149"/>
      <c r="E999" s="149"/>
      <c r="F999" s="149"/>
      <c r="G999" s="149"/>
      <c r="H999" s="149"/>
      <c r="I999" s="149"/>
      <c r="J999" s="149"/>
      <c r="K999" s="149"/>
      <c r="L999" s="149"/>
      <c r="M999" s="149"/>
      <c r="N999" s="149"/>
      <c r="O999" s="149"/>
      <c r="P999" s="149"/>
      <c r="Q999" s="149"/>
      <c r="R999" s="149"/>
      <c r="S999" s="149"/>
      <c r="T999" s="149"/>
      <c r="U999" s="149"/>
      <c r="V999" s="149"/>
      <c r="W999" s="149"/>
      <c r="X999" s="149"/>
      <c r="Y999" s="149"/>
      <c r="Z999" s="149"/>
      <c r="AA999" s="149"/>
    </row>
    <row r="1000" spans="1:27" ht="15.75" customHeight="1" x14ac:dyDescent="0.25">
      <c r="A1000" s="149"/>
      <c r="B1000" s="149"/>
      <c r="C1000" s="149"/>
      <c r="D1000" s="149"/>
      <c r="E1000" s="149"/>
      <c r="F1000" s="149"/>
      <c r="G1000" s="149"/>
      <c r="H1000" s="149"/>
      <c r="I1000" s="149"/>
      <c r="J1000" s="149"/>
      <c r="K1000" s="149"/>
      <c r="L1000" s="149"/>
      <c r="M1000" s="149"/>
      <c r="N1000" s="149"/>
      <c r="O1000" s="149"/>
      <c r="P1000" s="149"/>
      <c r="Q1000" s="149"/>
      <c r="R1000" s="149"/>
      <c r="S1000" s="149"/>
      <c r="T1000" s="149"/>
      <c r="U1000" s="149"/>
      <c r="V1000" s="149"/>
      <c r="W1000" s="149"/>
      <c r="X1000" s="149"/>
      <c r="Y1000" s="149"/>
      <c r="Z1000" s="149"/>
      <c r="AA1000" s="149"/>
    </row>
    <row r="1001" spans="1:27" ht="15.75" customHeight="1" x14ac:dyDescent="0.25">
      <c r="A1001" s="149"/>
      <c r="B1001" s="149"/>
      <c r="C1001" s="149"/>
      <c r="D1001" s="149"/>
      <c r="E1001" s="149"/>
      <c r="F1001" s="149"/>
      <c r="G1001" s="149"/>
      <c r="H1001" s="149"/>
      <c r="I1001" s="149"/>
      <c r="J1001" s="149"/>
      <c r="K1001" s="149"/>
      <c r="L1001" s="149"/>
      <c r="M1001" s="149"/>
      <c r="N1001" s="149"/>
      <c r="O1001" s="149"/>
      <c r="P1001" s="149"/>
      <c r="Q1001" s="149"/>
      <c r="R1001" s="149"/>
      <c r="S1001" s="149"/>
      <c r="T1001" s="149"/>
      <c r="U1001" s="149"/>
      <c r="V1001" s="149"/>
      <c r="W1001" s="149"/>
      <c r="X1001" s="149"/>
      <c r="Y1001" s="149"/>
      <c r="Z1001" s="149"/>
      <c r="AA1001" s="149"/>
    </row>
    <row r="1002" spans="1:27" ht="15.75" customHeight="1" x14ac:dyDescent="0.25">
      <c r="A1002" s="149"/>
      <c r="B1002" s="149"/>
      <c r="C1002" s="149"/>
      <c r="D1002" s="149"/>
      <c r="E1002" s="149"/>
      <c r="F1002" s="149"/>
      <c r="G1002" s="149"/>
      <c r="H1002" s="149"/>
      <c r="I1002" s="149"/>
      <c r="J1002" s="149"/>
      <c r="K1002" s="149"/>
      <c r="L1002" s="149"/>
      <c r="M1002" s="149"/>
      <c r="N1002" s="149"/>
      <c r="O1002" s="149"/>
      <c r="P1002" s="149"/>
      <c r="Q1002" s="149"/>
      <c r="R1002" s="149"/>
      <c r="S1002" s="149"/>
      <c r="T1002" s="149"/>
      <c r="U1002" s="149"/>
      <c r="V1002" s="149"/>
      <c r="W1002" s="149"/>
      <c r="X1002" s="149"/>
      <c r="Y1002" s="149"/>
      <c r="Z1002" s="149"/>
      <c r="AA1002" s="149"/>
    </row>
    <row r="1003" spans="1:27" ht="15.75" customHeight="1" x14ac:dyDescent="0.25">
      <c r="A1003" s="149"/>
      <c r="B1003" s="149"/>
      <c r="C1003" s="149"/>
      <c r="D1003" s="149"/>
      <c r="E1003" s="149"/>
      <c r="F1003" s="149"/>
      <c r="G1003" s="149"/>
      <c r="H1003" s="149"/>
      <c r="I1003" s="149"/>
      <c r="J1003" s="149"/>
      <c r="K1003" s="149"/>
      <c r="L1003" s="149"/>
      <c r="M1003" s="149"/>
      <c r="N1003" s="149"/>
      <c r="O1003" s="149"/>
      <c r="P1003" s="149"/>
      <c r="Q1003" s="149"/>
      <c r="R1003" s="149"/>
      <c r="S1003" s="149"/>
      <c r="T1003" s="149"/>
      <c r="U1003" s="149"/>
      <c r="V1003" s="149"/>
      <c r="W1003" s="149"/>
      <c r="X1003" s="149"/>
      <c r="Y1003" s="149"/>
      <c r="Z1003" s="149"/>
      <c r="AA1003" s="149"/>
    </row>
    <row r="1004" spans="1:27" ht="15.75" customHeight="1" x14ac:dyDescent="0.25">
      <c r="A1004" s="149"/>
      <c r="B1004" s="149"/>
      <c r="C1004" s="149"/>
      <c r="D1004" s="149"/>
      <c r="E1004" s="149"/>
      <c r="F1004" s="149"/>
      <c r="G1004" s="149"/>
      <c r="H1004" s="149"/>
      <c r="I1004" s="149"/>
      <c r="J1004" s="149"/>
      <c r="K1004" s="149"/>
      <c r="L1004" s="149"/>
      <c r="M1004" s="149"/>
      <c r="N1004" s="149"/>
      <c r="O1004" s="149"/>
      <c r="P1004" s="149"/>
      <c r="Q1004" s="149"/>
      <c r="R1004" s="149"/>
      <c r="S1004" s="149"/>
      <c r="T1004" s="149"/>
      <c r="U1004" s="149"/>
      <c r="V1004" s="149"/>
      <c r="W1004" s="149"/>
      <c r="X1004" s="149"/>
      <c r="Y1004" s="149"/>
      <c r="Z1004" s="149"/>
      <c r="AA1004" s="149"/>
    </row>
    <row r="1005" spans="1:27" ht="15.75" customHeight="1" x14ac:dyDescent="0.25">
      <c r="A1005" s="149"/>
      <c r="B1005" s="149"/>
      <c r="C1005" s="149"/>
      <c r="D1005" s="149"/>
      <c r="E1005" s="149"/>
      <c r="F1005" s="149"/>
      <c r="G1005" s="149"/>
      <c r="H1005" s="149"/>
      <c r="I1005" s="149"/>
      <c r="J1005" s="149"/>
      <c r="K1005" s="149"/>
      <c r="L1005" s="149"/>
      <c r="M1005" s="149"/>
      <c r="N1005" s="149"/>
      <c r="O1005" s="149"/>
      <c r="P1005" s="149"/>
      <c r="Q1005" s="149"/>
      <c r="R1005" s="149"/>
      <c r="S1005" s="149"/>
      <c r="T1005" s="149"/>
      <c r="U1005" s="149"/>
      <c r="V1005" s="149"/>
      <c r="W1005" s="149"/>
      <c r="X1005" s="149"/>
      <c r="Y1005" s="149"/>
      <c r="Z1005" s="149"/>
      <c r="AA1005" s="149"/>
    </row>
    <row r="1006" spans="1:27" ht="15.75" customHeight="1" x14ac:dyDescent="0.25">
      <c r="A1006" s="149"/>
      <c r="B1006" s="149"/>
      <c r="C1006" s="149"/>
      <c r="D1006" s="149"/>
      <c r="E1006" s="149"/>
      <c r="F1006" s="149"/>
      <c r="G1006" s="149"/>
      <c r="H1006" s="149"/>
      <c r="I1006" s="149"/>
      <c r="J1006" s="149"/>
      <c r="K1006" s="149"/>
      <c r="L1006" s="149"/>
      <c r="M1006" s="149"/>
      <c r="N1006" s="149"/>
      <c r="O1006" s="149"/>
      <c r="P1006" s="149"/>
      <c r="Q1006" s="149"/>
      <c r="R1006" s="149"/>
      <c r="S1006" s="149"/>
      <c r="T1006" s="149"/>
      <c r="U1006" s="149"/>
      <c r="V1006" s="149"/>
      <c r="W1006" s="149"/>
      <c r="X1006" s="149"/>
      <c r="Y1006" s="149"/>
      <c r="Z1006" s="149"/>
      <c r="AA1006" s="149"/>
    </row>
    <row r="1007" spans="1:27" ht="15.75" customHeight="1" x14ac:dyDescent="0.25">
      <c r="A1007" s="149"/>
      <c r="B1007" s="149"/>
      <c r="C1007" s="149"/>
      <c r="D1007" s="149"/>
      <c r="E1007" s="149"/>
      <c r="F1007" s="149"/>
      <c r="G1007" s="149"/>
      <c r="H1007" s="149"/>
      <c r="I1007" s="149"/>
      <c r="J1007" s="149"/>
      <c r="K1007" s="149"/>
      <c r="L1007" s="149"/>
      <c r="M1007" s="149"/>
      <c r="N1007" s="149"/>
      <c r="O1007" s="149"/>
      <c r="P1007" s="149"/>
      <c r="Q1007" s="149"/>
      <c r="R1007" s="149"/>
      <c r="S1007" s="149"/>
      <c r="T1007" s="149"/>
      <c r="U1007" s="149"/>
      <c r="V1007" s="149"/>
      <c r="W1007" s="149"/>
      <c r="X1007" s="149"/>
      <c r="Y1007" s="149"/>
      <c r="Z1007" s="149"/>
      <c r="AA1007" s="149"/>
    </row>
  </sheetData>
  <mergeCells count="47">
    <mergeCell ref="C55:D55"/>
    <mergeCell ref="B56:D56"/>
    <mergeCell ref="B12:C13"/>
    <mergeCell ref="C53:D53"/>
    <mergeCell ref="C54:D54"/>
    <mergeCell ref="C29:D29"/>
    <mergeCell ref="C42:D42"/>
    <mergeCell ref="C50:D50"/>
    <mergeCell ref="C45:D45"/>
    <mergeCell ref="C46:D46"/>
    <mergeCell ref="C47:D47"/>
    <mergeCell ref="C48:D48"/>
    <mergeCell ref="C49:D49"/>
    <mergeCell ref="C37:D37"/>
    <mergeCell ref="C38:D38"/>
    <mergeCell ref="C39:D39"/>
    <mergeCell ref="C20:D20"/>
    <mergeCell ref="C21:D21"/>
    <mergeCell ref="C22:D22"/>
    <mergeCell ref="C23:D23"/>
    <mergeCell ref="B2:F6"/>
    <mergeCell ref="C16:D17"/>
    <mergeCell ref="B15:F15"/>
    <mergeCell ref="B16:B17"/>
    <mergeCell ref="E16:F16"/>
    <mergeCell ref="B19:F19"/>
    <mergeCell ref="B31:F31"/>
    <mergeCell ref="B71:F71"/>
    <mergeCell ref="B72:F72"/>
    <mergeCell ref="B44:F44"/>
    <mergeCell ref="B52:F52"/>
    <mergeCell ref="C59:G59"/>
    <mergeCell ref="C62:G62"/>
    <mergeCell ref="C63:G63"/>
    <mergeCell ref="B66:F70"/>
    <mergeCell ref="C40:D40"/>
    <mergeCell ref="C41:D41"/>
    <mergeCell ref="C32:D32"/>
    <mergeCell ref="C33:D33"/>
    <mergeCell ref="C34:D34"/>
    <mergeCell ref="C35:D35"/>
    <mergeCell ref="C36:D36"/>
    <mergeCell ref="C24:D24"/>
    <mergeCell ref="C25:D25"/>
    <mergeCell ref="C26:D26"/>
    <mergeCell ref="C27:D27"/>
    <mergeCell ref="C28:D28"/>
  </mergeCells>
  <printOptions horizontalCentered="1"/>
  <pageMargins left="0.70866141732283472" right="0.70866141732283472" top="0.74803149606299213" bottom="0.74803149606299213" header="0" footer="0"/>
  <pageSetup paperSize="9" scale="37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E1007"/>
  <sheetViews>
    <sheetView showGridLines="0" zoomScale="70" zoomScaleNormal="70" workbookViewId="0">
      <selection activeCell="C22" sqref="C22"/>
    </sheetView>
  </sheetViews>
  <sheetFormatPr defaultColWidth="12.59765625" defaultRowHeight="15" customHeight="1" x14ac:dyDescent="0.25"/>
  <cols>
    <col min="1" max="1" width="2.09765625" customWidth="1"/>
    <col min="2" max="2" width="10.19921875" customWidth="1"/>
    <col min="3" max="3" width="15.69921875" bestFit="1" customWidth="1"/>
    <col min="4" max="4" width="18.59765625" customWidth="1"/>
    <col min="5" max="6" width="10.19921875" customWidth="1"/>
    <col min="7" max="7" width="14.296875" customWidth="1"/>
    <col min="8" max="8" width="24.3984375" customWidth="1"/>
    <col min="9" max="9" width="30.5" customWidth="1"/>
    <col min="10" max="10" width="25" customWidth="1"/>
    <col min="11" max="11" width="12.5" customWidth="1"/>
    <col min="12" max="13" width="15.19921875" customWidth="1"/>
    <col min="14" max="30" width="8.19921875" customWidth="1"/>
    <col min="31" max="31" width="13" customWidth="1"/>
  </cols>
  <sheetData>
    <row r="1" spans="1:31" ht="13.8" x14ac:dyDescent="0.25">
      <c r="A1" s="1"/>
      <c r="B1" s="1"/>
      <c r="C1" s="1"/>
      <c r="D1" s="1"/>
      <c r="E1" s="1"/>
      <c r="F1" s="1"/>
      <c r="G1" s="1"/>
      <c r="H1" s="184"/>
      <c r="I1" s="18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8.75" customHeight="1" x14ac:dyDescent="0.25">
      <c r="A2" s="46"/>
      <c r="B2" s="262" t="s">
        <v>691</v>
      </c>
      <c r="C2" s="329"/>
      <c r="D2" s="329"/>
      <c r="E2" s="329"/>
      <c r="F2" s="329"/>
      <c r="G2" s="263"/>
      <c r="H2" s="263"/>
      <c r="I2" s="263"/>
      <c r="J2" s="264"/>
      <c r="K2" s="46"/>
      <c r="L2" s="47"/>
      <c r="M2" s="47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4"/>
      <c r="AB2" s="44"/>
      <c r="AC2" s="44"/>
      <c r="AD2" s="44"/>
      <c r="AE2" s="1"/>
    </row>
    <row r="3" spans="1:31" ht="18.75" customHeight="1" x14ac:dyDescent="0.25">
      <c r="A3" s="46"/>
      <c r="B3" s="265"/>
      <c r="C3" s="315"/>
      <c r="D3" s="315"/>
      <c r="E3" s="315"/>
      <c r="F3" s="315"/>
      <c r="G3" s="266"/>
      <c r="H3" s="266"/>
      <c r="I3" s="266"/>
      <c r="J3" s="267"/>
      <c r="K3" s="46"/>
      <c r="L3" s="47"/>
      <c r="M3" s="47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4"/>
      <c r="AB3" s="44"/>
      <c r="AC3" s="44"/>
      <c r="AD3" s="44"/>
      <c r="AE3" s="1"/>
    </row>
    <row r="4" spans="1:31" ht="18.75" customHeight="1" x14ac:dyDescent="0.25">
      <c r="A4" s="46"/>
      <c r="B4" s="265"/>
      <c r="C4" s="315"/>
      <c r="D4" s="315"/>
      <c r="E4" s="315"/>
      <c r="F4" s="315"/>
      <c r="G4" s="266"/>
      <c r="H4" s="266"/>
      <c r="I4" s="266"/>
      <c r="J4" s="267"/>
      <c r="K4" s="46"/>
      <c r="L4" s="47"/>
      <c r="M4" s="47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4"/>
      <c r="AB4" s="44"/>
      <c r="AC4" s="44"/>
      <c r="AD4" s="44"/>
      <c r="AE4" s="1"/>
    </row>
    <row r="5" spans="1:31" ht="18.75" customHeight="1" x14ac:dyDescent="0.25">
      <c r="A5" s="46"/>
      <c r="B5" s="265"/>
      <c r="C5" s="315"/>
      <c r="D5" s="315"/>
      <c r="E5" s="315"/>
      <c r="F5" s="315"/>
      <c r="G5" s="266"/>
      <c r="H5" s="266"/>
      <c r="I5" s="266"/>
      <c r="J5" s="267"/>
      <c r="K5" s="46"/>
      <c r="L5" s="47"/>
      <c r="M5" s="47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4"/>
      <c r="AB5" s="44"/>
      <c r="AC5" s="44"/>
      <c r="AD5" s="44"/>
      <c r="AE5" s="1"/>
    </row>
    <row r="6" spans="1:31" ht="18.75" customHeight="1" x14ac:dyDescent="0.25">
      <c r="A6" s="46"/>
      <c r="B6" s="268"/>
      <c r="C6" s="312"/>
      <c r="D6" s="312"/>
      <c r="E6" s="312"/>
      <c r="F6" s="312"/>
      <c r="G6" s="269"/>
      <c r="H6" s="269"/>
      <c r="I6" s="269"/>
      <c r="J6" s="270"/>
      <c r="K6" s="46"/>
      <c r="L6" s="47"/>
      <c r="M6" s="47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4"/>
      <c r="AB6" s="44"/>
      <c r="AC6" s="44"/>
      <c r="AD6" s="44"/>
      <c r="AE6" s="1"/>
    </row>
    <row r="7" spans="1:31" ht="15" customHeight="1" x14ac:dyDescent="0.25">
      <c r="A7" s="48"/>
      <c r="B7" s="4"/>
      <c r="C7" s="4"/>
      <c r="D7" s="4"/>
      <c r="E7" s="4"/>
      <c r="F7" s="4"/>
      <c r="G7" s="4"/>
      <c r="H7" s="4"/>
      <c r="I7" s="4"/>
      <c r="J7" s="4"/>
      <c r="K7" s="48"/>
      <c r="L7" s="49"/>
      <c r="M7" s="49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1"/>
    </row>
    <row r="8" spans="1:31" ht="15" customHeight="1" x14ac:dyDescent="0.25">
      <c r="A8" s="48"/>
      <c r="B8" s="50" t="str">
        <f>'DADOS GERAIS'!B8</f>
        <v>Secretaria de Atenção Especializada à Saúde</v>
      </c>
      <c r="C8" s="233"/>
      <c r="D8" s="233"/>
      <c r="E8" s="233"/>
      <c r="F8" s="233"/>
      <c r="G8" s="51"/>
      <c r="H8" s="52" t="s">
        <v>20</v>
      </c>
      <c r="I8" s="52" t="s">
        <v>21</v>
      </c>
      <c r="J8" s="53" t="str">
        <f>'DADOS GERAIS'!$B$22</f>
        <v>Data:</v>
      </c>
      <c r="K8" s="48"/>
      <c r="L8" s="49"/>
      <c r="M8" s="49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1"/>
    </row>
    <row r="9" spans="1:31" ht="15" customHeight="1" x14ac:dyDescent="0.25">
      <c r="A9" s="48"/>
      <c r="B9" s="54" t="str">
        <f>'DADOS GERAIS'!B9</f>
        <v>Policlínica - Área Construída: 3.213,00 m²</v>
      </c>
      <c r="C9" s="234"/>
      <c r="D9" s="234"/>
      <c r="E9" s="234"/>
      <c r="F9" s="234"/>
      <c r="G9" s="55"/>
      <c r="H9" s="56">
        <f>'DADOS GERAIS'!C19</f>
        <v>0.24875249461101823</v>
      </c>
      <c r="I9" s="56">
        <f>'ENCARGOS SOCIAIS'!F56</f>
        <v>0.47570000000000001</v>
      </c>
      <c r="J9" s="57" t="str">
        <f>'DADOS GERAIS'!$C$22</f>
        <v>09/05/2024</v>
      </c>
      <c r="K9" s="48"/>
      <c r="L9" s="49"/>
      <c r="M9" s="49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1"/>
    </row>
    <row r="10" spans="1:31" ht="15" customHeight="1" x14ac:dyDescent="0.25">
      <c r="A10" s="48"/>
      <c r="B10" s="58"/>
      <c r="C10" s="235"/>
      <c r="D10" s="235"/>
      <c r="E10" s="235"/>
      <c r="F10" s="235"/>
      <c r="G10" s="55"/>
      <c r="H10" s="1"/>
      <c r="I10" s="1"/>
      <c r="J10" s="59"/>
      <c r="K10" s="48"/>
      <c r="L10" s="49"/>
      <c r="M10" s="49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1"/>
    </row>
    <row r="11" spans="1:31" ht="15" customHeight="1" x14ac:dyDescent="0.25">
      <c r="A11" s="48"/>
      <c r="B11" s="60" t="str">
        <f>'DADOS GERAIS'!B11</f>
        <v>Bancos:</v>
      </c>
      <c r="C11" s="236"/>
      <c r="D11" s="236"/>
      <c r="E11" s="236"/>
      <c r="F11" s="236"/>
      <c r="G11" s="55"/>
      <c r="H11" s="61" t="s">
        <v>22</v>
      </c>
      <c r="I11" s="61" t="s">
        <v>23</v>
      </c>
      <c r="J11" s="59" t="str">
        <f>'DADOS GERAIS'!$B$23</f>
        <v>Revisão:</v>
      </c>
      <c r="K11" s="48"/>
      <c r="L11" s="49"/>
      <c r="M11" s="49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1"/>
    </row>
    <row r="12" spans="1:31" ht="15" customHeight="1" x14ac:dyDescent="0.25">
      <c r="A12" s="48"/>
      <c r="B12" s="281" t="str">
        <f>'DADOS GERAIS'!B12</f>
        <v>SINAPI (11/2023) - CPOS/CDHU (11/2023) - SBC (11/2023) - ORSE (11/2023) - SEINFRA (028) - IOPES (11/2023) - CAERN (11/2023) - EMOP (11/2023)</v>
      </c>
      <c r="C12" s="282"/>
      <c r="D12" s="282"/>
      <c r="E12" s="282"/>
      <c r="F12" s="282"/>
      <c r="G12" s="282"/>
      <c r="H12" s="56">
        <f>'DADOS GERAIS'!C20</f>
        <v>0.16857590555253088</v>
      </c>
      <c r="I12" s="56">
        <f>'ENCARGOS SOCIAIS'!E56</f>
        <v>0.85555179999999986</v>
      </c>
      <c r="J12" s="62" t="str">
        <f>'DADOS GERAIS'!$C$23</f>
        <v>03</v>
      </c>
      <c r="K12" s="48"/>
      <c r="L12" s="49"/>
      <c r="M12" s="49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1"/>
    </row>
    <row r="13" spans="1:31" ht="15" customHeight="1" x14ac:dyDescent="0.25">
      <c r="A13" s="48"/>
      <c r="B13" s="283"/>
      <c r="C13" s="284"/>
      <c r="D13" s="284"/>
      <c r="E13" s="284"/>
      <c r="F13" s="284"/>
      <c r="G13" s="284"/>
      <c r="H13" s="63"/>
      <c r="I13" s="63"/>
      <c r="J13" s="64"/>
      <c r="K13" s="48"/>
      <c r="L13" s="49"/>
      <c r="M13" s="49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1"/>
    </row>
    <row r="14" spans="1:31" ht="15" customHeight="1" x14ac:dyDescent="0.25">
      <c r="A14" s="48"/>
      <c r="B14" s="4"/>
      <c r="C14" s="4"/>
      <c r="D14" s="4"/>
      <c r="E14" s="4"/>
      <c r="F14" s="4"/>
      <c r="G14" s="4"/>
      <c r="H14" s="4"/>
      <c r="I14" s="4"/>
      <c r="J14" s="4"/>
      <c r="K14" s="48"/>
      <c r="L14" s="49"/>
      <c r="M14" s="49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1"/>
    </row>
    <row r="15" spans="1:31" ht="26.4" x14ac:dyDescent="0.25">
      <c r="A15" s="1"/>
      <c r="B15" s="185" t="s">
        <v>24</v>
      </c>
      <c r="C15" s="186" t="s">
        <v>692</v>
      </c>
      <c r="D15" s="186" t="s">
        <v>693</v>
      </c>
      <c r="E15" s="351" t="s">
        <v>694</v>
      </c>
      <c r="F15" s="352"/>
      <c r="G15" s="352"/>
      <c r="H15" s="352"/>
      <c r="I15" s="352"/>
      <c r="J15" s="353"/>
      <c r="K15" s="187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  <c r="AB15" s="187"/>
      <c r="AC15" s="187"/>
      <c r="AD15" s="187"/>
      <c r="AE15" s="188"/>
    </row>
    <row r="16" spans="1:31" ht="54" customHeight="1" x14ac:dyDescent="0.25">
      <c r="A16" s="1"/>
      <c r="B16" s="189">
        <v>1</v>
      </c>
      <c r="C16" s="190" t="s">
        <v>2278</v>
      </c>
      <c r="D16" s="237" t="s">
        <v>2333</v>
      </c>
      <c r="E16" s="348" t="s">
        <v>1857</v>
      </c>
      <c r="F16" s="349"/>
      <c r="G16" s="349"/>
      <c r="H16" s="349"/>
      <c r="I16" s="349"/>
      <c r="J16" s="350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</row>
    <row r="17" spans="1:31" ht="54" customHeight="1" x14ac:dyDescent="0.25">
      <c r="A17" s="1"/>
      <c r="B17" s="189">
        <v>2</v>
      </c>
      <c r="C17" s="190" t="s">
        <v>2281</v>
      </c>
      <c r="D17" s="237" t="s">
        <v>2334</v>
      </c>
      <c r="E17" s="348" t="s">
        <v>1857</v>
      </c>
      <c r="F17" s="349"/>
      <c r="G17" s="349"/>
      <c r="H17" s="349"/>
      <c r="I17" s="349"/>
      <c r="J17" s="350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</row>
    <row r="18" spans="1:31" ht="54" customHeight="1" x14ac:dyDescent="0.25">
      <c r="A18" s="1"/>
      <c r="B18" s="189">
        <v>3</v>
      </c>
      <c r="C18" s="190" t="s">
        <v>2283</v>
      </c>
      <c r="D18" s="237" t="s">
        <v>2335</v>
      </c>
      <c r="E18" s="348" t="s">
        <v>1857</v>
      </c>
      <c r="F18" s="349"/>
      <c r="G18" s="349"/>
      <c r="H18" s="349"/>
      <c r="I18" s="349"/>
      <c r="J18" s="350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</row>
    <row r="19" spans="1:31" ht="54" customHeight="1" x14ac:dyDescent="0.25">
      <c r="A19" s="1"/>
      <c r="B19" s="189">
        <v>4</v>
      </c>
      <c r="C19" s="190" t="s">
        <v>2285</v>
      </c>
      <c r="D19" s="253" t="s">
        <v>2336</v>
      </c>
      <c r="E19" s="348" t="s">
        <v>1857</v>
      </c>
      <c r="F19" s="349"/>
      <c r="G19" s="349"/>
      <c r="H19" s="349"/>
      <c r="I19" s="349"/>
      <c r="J19" s="350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</row>
    <row r="20" spans="1:31" ht="54" customHeight="1" x14ac:dyDescent="0.25">
      <c r="A20" s="1"/>
      <c r="B20" s="189">
        <v>5</v>
      </c>
      <c r="C20" s="190" t="s">
        <v>711</v>
      </c>
      <c r="D20" s="237" t="s">
        <v>2337</v>
      </c>
      <c r="E20" s="348" t="s">
        <v>1857</v>
      </c>
      <c r="F20" s="349"/>
      <c r="G20" s="349"/>
      <c r="H20" s="349"/>
      <c r="I20" s="349"/>
      <c r="J20" s="350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</row>
    <row r="21" spans="1:31" ht="54" customHeight="1" x14ac:dyDescent="0.25">
      <c r="A21" s="1"/>
      <c r="B21" s="189">
        <v>6</v>
      </c>
      <c r="C21" s="190" t="s">
        <v>64</v>
      </c>
      <c r="D21" s="237" t="s">
        <v>2338</v>
      </c>
      <c r="E21" s="348" t="s">
        <v>1861</v>
      </c>
      <c r="F21" s="349"/>
      <c r="G21" s="349"/>
      <c r="H21" s="349"/>
      <c r="I21" s="349"/>
      <c r="J21" s="350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</row>
    <row r="22" spans="1:31" ht="54" customHeight="1" x14ac:dyDescent="0.25">
      <c r="A22" s="1"/>
      <c r="B22" s="189">
        <v>7</v>
      </c>
      <c r="C22" s="190" t="s">
        <v>714</v>
      </c>
      <c r="D22" s="237" t="s">
        <v>2339</v>
      </c>
      <c r="E22" s="348" t="s">
        <v>1861</v>
      </c>
      <c r="F22" s="349"/>
      <c r="G22" s="349"/>
      <c r="H22" s="349"/>
      <c r="I22" s="349"/>
      <c r="J22" s="350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</row>
    <row r="23" spans="1:31" ht="54" customHeight="1" x14ac:dyDescent="0.25">
      <c r="A23" s="1"/>
      <c r="B23" s="189">
        <v>8</v>
      </c>
      <c r="C23" s="190" t="s">
        <v>446</v>
      </c>
      <c r="D23" s="237" t="s">
        <v>2274</v>
      </c>
      <c r="E23" s="348" t="s">
        <v>2275</v>
      </c>
      <c r="F23" s="349"/>
      <c r="G23" s="349"/>
      <c r="H23" s="349"/>
      <c r="I23" s="349"/>
      <c r="J23" s="350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</row>
    <row r="24" spans="1:31" ht="54" customHeight="1" x14ac:dyDescent="0.25">
      <c r="A24" s="1"/>
      <c r="B24" s="189">
        <v>9</v>
      </c>
      <c r="C24" s="190" t="s">
        <v>718</v>
      </c>
      <c r="D24" s="237" t="s">
        <v>2340</v>
      </c>
      <c r="E24" s="348" t="s">
        <v>1865</v>
      </c>
      <c r="F24" s="349"/>
      <c r="G24" s="349"/>
      <c r="H24" s="349"/>
      <c r="I24" s="349"/>
      <c r="J24" s="350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</row>
    <row r="25" spans="1:31" ht="54" customHeight="1" x14ac:dyDescent="0.25">
      <c r="A25" s="1"/>
      <c r="B25" s="189">
        <v>10</v>
      </c>
      <c r="C25" s="190" t="s">
        <v>102</v>
      </c>
      <c r="D25" s="237" t="s">
        <v>2341</v>
      </c>
      <c r="E25" s="348" t="s">
        <v>1861</v>
      </c>
      <c r="F25" s="349"/>
      <c r="G25" s="349"/>
      <c r="H25" s="349"/>
      <c r="I25" s="349"/>
      <c r="J25" s="350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</row>
    <row r="26" spans="1:31" ht="54" customHeight="1" x14ac:dyDescent="0.25">
      <c r="A26" s="1"/>
      <c r="B26" s="189">
        <v>11</v>
      </c>
      <c r="C26" s="190" t="s">
        <v>725</v>
      </c>
      <c r="D26" s="237" t="s">
        <v>2342</v>
      </c>
      <c r="E26" s="348" t="s">
        <v>1866</v>
      </c>
      <c r="F26" s="349"/>
      <c r="G26" s="349"/>
      <c r="H26" s="349"/>
      <c r="I26" s="349"/>
      <c r="J26" s="350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</row>
    <row r="27" spans="1:31" ht="54" customHeight="1" x14ac:dyDescent="0.25">
      <c r="A27" s="1"/>
      <c r="B27" s="189">
        <v>12</v>
      </c>
      <c r="C27" s="190" t="s">
        <v>731</v>
      </c>
      <c r="D27" s="237" t="s">
        <v>2343</v>
      </c>
      <c r="E27" s="348" t="s">
        <v>1867</v>
      </c>
      <c r="F27" s="349"/>
      <c r="G27" s="349"/>
      <c r="H27" s="349"/>
      <c r="I27" s="349"/>
      <c r="J27" s="350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</row>
    <row r="28" spans="1:31" ht="54" customHeight="1" x14ac:dyDescent="0.25">
      <c r="A28" s="1"/>
      <c r="B28" s="189">
        <v>13</v>
      </c>
      <c r="C28" s="190" t="s">
        <v>739</v>
      </c>
      <c r="D28" s="237" t="s">
        <v>2344</v>
      </c>
      <c r="E28" s="348" t="s">
        <v>1868</v>
      </c>
      <c r="F28" s="349"/>
      <c r="G28" s="349"/>
      <c r="H28" s="349"/>
      <c r="I28" s="349"/>
      <c r="J28" s="350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</row>
    <row r="29" spans="1:31" ht="54" customHeight="1" x14ac:dyDescent="0.25">
      <c r="A29" s="1"/>
      <c r="B29" s="189">
        <v>14</v>
      </c>
      <c r="C29" s="190" t="s">
        <v>741</v>
      </c>
      <c r="D29" s="237" t="s">
        <v>2345</v>
      </c>
      <c r="E29" s="348" t="s">
        <v>1868</v>
      </c>
      <c r="F29" s="349"/>
      <c r="G29" s="349"/>
      <c r="H29" s="349"/>
      <c r="I29" s="349"/>
      <c r="J29" s="350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</row>
    <row r="30" spans="1:31" ht="54" customHeight="1" x14ac:dyDescent="0.25">
      <c r="A30" s="1"/>
      <c r="B30" s="189">
        <v>15</v>
      </c>
      <c r="C30" s="190" t="s">
        <v>743</v>
      </c>
      <c r="D30" s="237" t="s">
        <v>2346</v>
      </c>
      <c r="E30" s="348" t="s">
        <v>1868</v>
      </c>
      <c r="F30" s="349"/>
      <c r="G30" s="349"/>
      <c r="H30" s="349"/>
      <c r="I30" s="349"/>
      <c r="J30" s="350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</row>
    <row r="31" spans="1:31" ht="54" customHeight="1" x14ac:dyDescent="0.25">
      <c r="A31" s="1"/>
      <c r="B31" s="189">
        <v>16</v>
      </c>
      <c r="C31" s="190" t="s">
        <v>745</v>
      </c>
      <c r="D31" s="237" t="s">
        <v>2347</v>
      </c>
      <c r="E31" s="348" t="s">
        <v>1868</v>
      </c>
      <c r="F31" s="349"/>
      <c r="G31" s="349"/>
      <c r="H31" s="349"/>
      <c r="I31" s="349"/>
      <c r="J31" s="350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</row>
    <row r="32" spans="1:31" ht="54" customHeight="1" x14ac:dyDescent="0.25">
      <c r="A32" s="1"/>
      <c r="B32" s="189">
        <v>17</v>
      </c>
      <c r="C32" s="190" t="s">
        <v>747</v>
      </c>
      <c r="D32" s="237" t="s">
        <v>2348</v>
      </c>
      <c r="E32" s="348" t="s">
        <v>1869</v>
      </c>
      <c r="F32" s="349"/>
      <c r="G32" s="349"/>
      <c r="H32" s="349"/>
      <c r="I32" s="349"/>
      <c r="J32" s="350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</row>
    <row r="33" spans="1:31" ht="54" customHeight="1" x14ac:dyDescent="0.25">
      <c r="A33" s="1"/>
      <c r="B33" s="189">
        <v>18</v>
      </c>
      <c r="C33" s="190" t="s">
        <v>770</v>
      </c>
      <c r="D33" s="237" t="s">
        <v>2349</v>
      </c>
      <c r="E33" s="348" t="s">
        <v>1849</v>
      </c>
      <c r="F33" s="349"/>
      <c r="G33" s="349"/>
      <c r="H33" s="349"/>
      <c r="I33" s="349"/>
      <c r="J33" s="350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</row>
    <row r="34" spans="1:31" ht="54" customHeight="1" x14ac:dyDescent="0.25">
      <c r="A34" s="1"/>
      <c r="B34" s="189">
        <v>19</v>
      </c>
      <c r="C34" s="190" t="s">
        <v>772</v>
      </c>
      <c r="D34" s="237" t="s">
        <v>2350</v>
      </c>
      <c r="E34" s="348" t="s">
        <v>1850</v>
      </c>
      <c r="F34" s="349"/>
      <c r="G34" s="349"/>
      <c r="H34" s="349"/>
      <c r="I34" s="349"/>
      <c r="J34" s="350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</row>
    <row r="35" spans="1:31" ht="54" customHeight="1" x14ac:dyDescent="0.25">
      <c r="A35" s="1"/>
      <c r="B35" s="189">
        <v>20</v>
      </c>
      <c r="C35" s="190" t="s">
        <v>337</v>
      </c>
      <c r="D35" s="237" t="s">
        <v>2351</v>
      </c>
      <c r="E35" s="348" t="s">
        <v>1857</v>
      </c>
      <c r="F35" s="349"/>
      <c r="G35" s="349"/>
      <c r="H35" s="349"/>
      <c r="I35" s="349"/>
      <c r="J35" s="350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</row>
    <row r="36" spans="1:31" ht="54" customHeight="1" x14ac:dyDescent="0.25">
      <c r="A36" s="1"/>
      <c r="B36" s="189">
        <v>21</v>
      </c>
      <c r="C36" s="190" t="s">
        <v>338</v>
      </c>
      <c r="D36" s="237" t="s">
        <v>2352</v>
      </c>
      <c r="E36" s="348" t="s">
        <v>1861</v>
      </c>
      <c r="F36" s="349"/>
      <c r="G36" s="349"/>
      <c r="H36" s="349"/>
      <c r="I36" s="349"/>
      <c r="J36" s="350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</row>
    <row r="37" spans="1:31" ht="54" customHeight="1" x14ac:dyDescent="0.25">
      <c r="A37" s="1"/>
      <c r="B37" s="189">
        <v>22</v>
      </c>
      <c r="C37" s="190" t="s">
        <v>789</v>
      </c>
      <c r="D37" s="237" t="s">
        <v>2353</v>
      </c>
      <c r="E37" s="348" t="s">
        <v>1861</v>
      </c>
      <c r="F37" s="349"/>
      <c r="G37" s="349"/>
      <c r="H37" s="349"/>
      <c r="I37" s="349"/>
      <c r="J37" s="350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</row>
    <row r="38" spans="1:31" ht="54" customHeight="1" x14ac:dyDescent="0.25">
      <c r="A38" s="1"/>
      <c r="B38" s="189">
        <v>23</v>
      </c>
      <c r="C38" s="190" t="s">
        <v>792</v>
      </c>
      <c r="D38" s="237" t="s">
        <v>2354</v>
      </c>
      <c r="E38" s="348" t="s">
        <v>1858</v>
      </c>
      <c r="F38" s="349"/>
      <c r="G38" s="349"/>
      <c r="H38" s="349"/>
      <c r="I38" s="349"/>
      <c r="J38" s="350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</row>
    <row r="39" spans="1:31" ht="54" customHeight="1" x14ac:dyDescent="0.25">
      <c r="A39" s="1"/>
      <c r="B39" s="189">
        <v>24</v>
      </c>
      <c r="C39" s="190" t="s">
        <v>795</v>
      </c>
      <c r="D39" s="237" t="s">
        <v>2355</v>
      </c>
      <c r="E39" s="348" t="s">
        <v>1858</v>
      </c>
      <c r="F39" s="349"/>
      <c r="G39" s="349"/>
      <c r="H39" s="349"/>
      <c r="I39" s="349"/>
      <c r="J39" s="350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</row>
    <row r="40" spans="1:31" ht="54" customHeight="1" x14ac:dyDescent="0.25">
      <c r="A40" s="1"/>
      <c r="B40" s="189">
        <v>25</v>
      </c>
      <c r="C40" s="190" t="s">
        <v>798</v>
      </c>
      <c r="D40" s="237" t="s">
        <v>2356</v>
      </c>
      <c r="E40" s="348" t="s">
        <v>1859</v>
      </c>
      <c r="F40" s="349"/>
      <c r="G40" s="349"/>
      <c r="H40" s="349"/>
      <c r="I40" s="349"/>
      <c r="J40" s="350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</row>
    <row r="41" spans="1:31" ht="54" customHeight="1" x14ac:dyDescent="0.25">
      <c r="A41" s="1"/>
      <c r="B41" s="189">
        <v>26</v>
      </c>
      <c r="C41" s="190" t="s">
        <v>801</v>
      </c>
      <c r="D41" s="237" t="s">
        <v>2357</v>
      </c>
      <c r="E41" s="348" t="s">
        <v>1851</v>
      </c>
      <c r="F41" s="349"/>
      <c r="G41" s="349"/>
      <c r="H41" s="349"/>
      <c r="I41" s="349"/>
      <c r="J41" s="350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</row>
    <row r="42" spans="1:31" ht="54" customHeight="1" x14ac:dyDescent="0.25">
      <c r="A42" s="1"/>
      <c r="B42" s="189">
        <v>27</v>
      </c>
      <c r="C42" s="190" t="s">
        <v>804</v>
      </c>
      <c r="D42" s="237" t="s">
        <v>2358</v>
      </c>
      <c r="E42" s="348" t="s">
        <v>1860</v>
      </c>
      <c r="F42" s="349"/>
      <c r="G42" s="349"/>
      <c r="H42" s="349"/>
      <c r="I42" s="349"/>
      <c r="J42" s="350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</row>
    <row r="43" spans="1:31" ht="54" customHeight="1" x14ac:dyDescent="0.25">
      <c r="A43" s="1"/>
      <c r="B43" s="189">
        <v>28</v>
      </c>
      <c r="C43" s="190" t="s">
        <v>2319</v>
      </c>
      <c r="D43" s="237" t="s">
        <v>2359</v>
      </c>
      <c r="E43" s="348" t="s">
        <v>1861</v>
      </c>
      <c r="F43" s="349"/>
      <c r="G43" s="349"/>
      <c r="H43" s="349"/>
      <c r="I43" s="349"/>
      <c r="J43" s="350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</row>
    <row r="44" spans="1:31" ht="54" customHeight="1" x14ac:dyDescent="0.25">
      <c r="A44" s="1"/>
      <c r="B44" s="189">
        <v>29</v>
      </c>
      <c r="C44" s="190" t="s">
        <v>816</v>
      </c>
      <c r="D44" s="237" t="s">
        <v>2360</v>
      </c>
      <c r="E44" s="348" t="s">
        <v>1861</v>
      </c>
      <c r="F44" s="349"/>
      <c r="G44" s="349"/>
      <c r="H44" s="349"/>
      <c r="I44" s="349"/>
      <c r="J44" s="350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</row>
    <row r="45" spans="1:31" ht="54" customHeight="1" x14ac:dyDescent="0.25">
      <c r="A45" s="1"/>
      <c r="B45" s="189">
        <v>30</v>
      </c>
      <c r="C45" s="190" t="s">
        <v>2304</v>
      </c>
      <c r="D45" s="237" t="s">
        <v>2361</v>
      </c>
      <c r="E45" s="348" t="s">
        <v>1852</v>
      </c>
      <c r="F45" s="349"/>
      <c r="G45" s="349"/>
      <c r="H45" s="349"/>
      <c r="I45" s="349"/>
      <c r="J45" s="350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</row>
    <row r="46" spans="1:31" ht="54" customHeight="1" x14ac:dyDescent="0.25">
      <c r="A46" s="1"/>
      <c r="B46" s="189">
        <v>31</v>
      </c>
      <c r="C46" s="190" t="s">
        <v>820</v>
      </c>
      <c r="D46" s="237" t="s">
        <v>2362</v>
      </c>
      <c r="E46" s="348" t="s">
        <v>1861</v>
      </c>
      <c r="F46" s="349"/>
      <c r="G46" s="349"/>
      <c r="H46" s="349"/>
      <c r="I46" s="349"/>
      <c r="J46" s="350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</row>
    <row r="47" spans="1:31" ht="54" customHeight="1" x14ac:dyDescent="0.25">
      <c r="A47" s="1"/>
      <c r="B47" s="189">
        <v>32</v>
      </c>
      <c r="C47" s="190" t="s">
        <v>335</v>
      </c>
      <c r="D47" s="237" t="s">
        <v>2363</v>
      </c>
      <c r="E47" s="348" t="s">
        <v>1852</v>
      </c>
      <c r="F47" s="349"/>
      <c r="G47" s="349"/>
      <c r="H47" s="349"/>
      <c r="I47" s="349"/>
      <c r="J47" s="350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  <c r="AB47" s="146"/>
      <c r="AC47" s="146"/>
      <c r="AD47" s="146"/>
      <c r="AE47" s="146"/>
    </row>
    <row r="48" spans="1:31" ht="54" customHeight="1" x14ac:dyDescent="0.25">
      <c r="A48" s="1"/>
      <c r="B48" s="189">
        <v>33</v>
      </c>
      <c r="C48" s="190" t="s">
        <v>830</v>
      </c>
      <c r="D48" s="237" t="s">
        <v>2364</v>
      </c>
      <c r="E48" s="348" t="s">
        <v>1852</v>
      </c>
      <c r="F48" s="349"/>
      <c r="G48" s="349"/>
      <c r="H48" s="349"/>
      <c r="I48" s="349"/>
      <c r="J48" s="350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</row>
    <row r="49" spans="1:31" ht="54" customHeight="1" x14ac:dyDescent="0.25">
      <c r="A49" s="1"/>
      <c r="B49" s="189">
        <v>34</v>
      </c>
      <c r="C49" s="190" t="s">
        <v>371</v>
      </c>
      <c r="D49" s="237" t="s">
        <v>2365</v>
      </c>
      <c r="E49" s="348" t="s">
        <v>1852</v>
      </c>
      <c r="F49" s="349"/>
      <c r="G49" s="349"/>
      <c r="H49" s="349"/>
      <c r="I49" s="349"/>
      <c r="J49" s="350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  <c r="AB49" s="146"/>
      <c r="AC49" s="146"/>
      <c r="AD49" s="146"/>
      <c r="AE49" s="146"/>
    </row>
    <row r="50" spans="1:31" ht="54" customHeight="1" x14ac:dyDescent="0.25">
      <c r="A50" s="1"/>
      <c r="B50" s="189">
        <v>35</v>
      </c>
      <c r="C50" s="190" t="s">
        <v>836</v>
      </c>
      <c r="D50" s="237" t="s">
        <v>2366</v>
      </c>
      <c r="E50" s="348" t="s">
        <v>1857</v>
      </c>
      <c r="F50" s="349"/>
      <c r="G50" s="349"/>
      <c r="H50" s="349"/>
      <c r="I50" s="349"/>
      <c r="J50" s="350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  <c r="AB50" s="146"/>
      <c r="AC50" s="146"/>
      <c r="AD50" s="146"/>
      <c r="AE50" s="146"/>
    </row>
    <row r="51" spans="1:31" ht="54" customHeight="1" x14ac:dyDescent="0.25">
      <c r="A51" s="1"/>
      <c r="B51" s="189">
        <v>36</v>
      </c>
      <c r="C51" s="190" t="s">
        <v>841</v>
      </c>
      <c r="D51" s="237" t="s">
        <v>2367</v>
      </c>
      <c r="E51" s="348" t="s">
        <v>1857</v>
      </c>
      <c r="F51" s="349"/>
      <c r="G51" s="349"/>
      <c r="H51" s="349"/>
      <c r="I51" s="349"/>
      <c r="J51" s="350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  <c r="AE51" s="146"/>
    </row>
    <row r="52" spans="1:31" ht="54" customHeight="1" x14ac:dyDescent="0.25">
      <c r="A52" s="1"/>
      <c r="B52" s="189">
        <v>37</v>
      </c>
      <c r="C52" s="190" t="s">
        <v>850</v>
      </c>
      <c r="D52" s="237" t="s">
        <v>2368</v>
      </c>
      <c r="E52" s="348" t="s">
        <v>1852</v>
      </c>
      <c r="F52" s="349"/>
      <c r="G52" s="349"/>
      <c r="H52" s="349"/>
      <c r="I52" s="349"/>
      <c r="J52" s="350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  <c r="AB52" s="146"/>
      <c r="AC52" s="146"/>
      <c r="AD52" s="146"/>
      <c r="AE52" s="146"/>
    </row>
    <row r="53" spans="1:31" ht="54" customHeight="1" x14ac:dyDescent="0.25">
      <c r="A53" s="1"/>
      <c r="B53" s="189">
        <v>38</v>
      </c>
      <c r="C53" s="190" t="s">
        <v>853</v>
      </c>
      <c r="D53" s="237" t="s">
        <v>2369</v>
      </c>
      <c r="E53" s="348" t="s">
        <v>1861</v>
      </c>
      <c r="F53" s="349"/>
      <c r="G53" s="349"/>
      <c r="H53" s="349"/>
      <c r="I53" s="349"/>
      <c r="J53" s="350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</row>
    <row r="54" spans="1:31" ht="54" customHeight="1" x14ac:dyDescent="0.25">
      <c r="A54" s="1"/>
      <c r="B54" s="189">
        <v>39</v>
      </c>
      <c r="C54" s="190" t="s">
        <v>2306</v>
      </c>
      <c r="D54" s="237" t="s">
        <v>2370</v>
      </c>
      <c r="E54" s="348" t="s">
        <v>1852</v>
      </c>
      <c r="F54" s="349"/>
      <c r="G54" s="349"/>
      <c r="H54" s="349"/>
      <c r="I54" s="349"/>
      <c r="J54" s="350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</row>
    <row r="55" spans="1:31" ht="54" customHeight="1" x14ac:dyDescent="0.25">
      <c r="A55" s="1"/>
      <c r="B55" s="189">
        <v>40</v>
      </c>
      <c r="C55" s="190" t="s">
        <v>863</v>
      </c>
      <c r="D55" s="237" t="s">
        <v>2371</v>
      </c>
      <c r="E55" s="348" t="s">
        <v>1862</v>
      </c>
      <c r="F55" s="349"/>
      <c r="G55" s="349"/>
      <c r="H55" s="349"/>
      <c r="I55" s="349"/>
      <c r="J55" s="350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  <c r="AB55" s="146"/>
      <c r="AC55" s="146"/>
      <c r="AD55" s="146"/>
      <c r="AE55" s="146"/>
    </row>
    <row r="56" spans="1:31" ht="54" customHeight="1" x14ac:dyDescent="0.25">
      <c r="A56" s="1"/>
      <c r="B56" s="189">
        <v>41</v>
      </c>
      <c r="C56" s="190" t="s">
        <v>869</v>
      </c>
      <c r="D56" s="237" t="s">
        <v>2372</v>
      </c>
      <c r="E56" s="348" t="s">
        <v>1852</v>
      </c>
      <c r="F56" s="349"/>
      <c r="G56" s="349"/>
      <c r="H56" s="349"/>
      <c r="I56" s="349"/>
      <c r="J56" s="350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6"/>
    </row>
    <row r="57" spans="1:31" ht="54" customHeight="1" x14ac:dyDescent="0.25">
      <c r="A57" s="1"/>
      <c r="B57" s="189">
        <v>42</v>
      </c>
      <c r="C57" s="190" t="s">
        <v>878</v>
      </c>
      <c r="D57" s="237" t="s">
        <v>2373</v>
      </c>
      <c r="E57" s="348" t="s">
        <v>1852</v>
      </c>
      <c r="F57" s="349"/>
      <c r="G57" s="349"/>
      <c r="H57" s="349"/>
      <c r="I57" s="349"/>
      <c r="J57" s="350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</row>
    <row r="58" spans="1:31" ht="54" customHeight="1" x14ac:dyDescent="0.25">
      <c r="A58" s="1"/>
      <c r="B58" s="189">
        <v>43</v>
      </c>
      <c r="C58" s="190" t="s">
        <v>181</v>
      </c>
      <c r="D58" s="237" t="s">
        <v>2374</v>
      </c>
      <c r="E58" s="348" t="s">
        <v>1852</v>
      </c>
      <c r="F58" s="349"/>
      <c r="G58" s="349"/>
      <c r="H58" s="349"/>
      <c r="I58" s="349"/>
      <c r="J58" s="350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  <c r="AB58" s="146"/>
      <c r="AC58" s="146"/>
      <c r="AD58" s="146"/>
      <c r="AE58" s="146"/>
    </row>
    <row r="59" spans="1:31" ht="54" customHeight="1" x14ac:dyDescent="0.25">
      <c r="A59" s="1"/>
      <c r="B59" s="189">
        <v>44</v>
      </c>
      <c r="C59" s="190" t="s">
        <v>318</v>
      </c>
      <c r="D59" s="237" t="s">
        <v>2375</v>
      </c>
      <c r="E59" s="348" t="s">
        <v>1852</v>
      </c>
      <c r="F59" s="349"/>
      <c r="G59" s="349"/>
      <c r="H59" s="349"/>
      <c r="I59" s="349"/>
      <c r="J59" s="350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  <c r="AB59" s="146"/>
      <c r="AC59" s="146"/>
      <c r="AD59" s="146"/>
      <c r="AE59" s="146"/>
    </row>
    <row r="60" spans="1:31" ht="54" customHeight="1" x14ac:dyDescent="0.25">
      <c r="A60" s="1"/>
      <c r="B60" s="189">
        <v>45</v>
      </c>
      <c r="C60" s="190" t="s">
        <v>894</v>
      </c>
      <c r="D60" s="237" t="s">
        <v>2376</v>
      </c>
      <c r="E60" s="348" t="s">
        <v>1852</v>
      </c>
      <c r="F60" s="349"/>
      <c r="G60" s="349"/>
      <c r="H60" s="349"/>
      <c r="I60" s="349"/>
      <c r="J60" s="350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46"/>
      <c r="AE60" s="146"/>
    </row>
    <row r="61" spans="1:31" ht="54" customHeight="1" x14ac:dyDescent="0.25">
      <c r="A61" s="1"/>
      <c r="B61" s="189">
        <v>46</v>
      </c>
      <c r="C61" s="190" t="s">
        <v>322</v>
      </c>
      <c r="D61" s="237" t="s">
        <v>2377</v>
      </c>
      <c r="E61" s="348" t="s">
        <v>1852</v>
      </c>
      <c r="F61" s="349"/>
      <c r="G61" s="349"/>
      <c r="H61" s="349"/>
      <c r="I61" s="349"/>
      <c r="J61" s="350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</row>
    <row r="62" spans="1:31" ht="54" customHeight="1" x14ac:dyDescent="0.25">
      <c r="A62" s="1"/>
      <c r="B62" s="189">
        <v>47</v>
      </c>
      <c r="C62" s="190" t="s">
        <v>320</v>
      </c>
      <c r="D62" s="237" t="s">
        <v>2378</v>
      </c>
      <c r="E62" s="348" t="s">
        <v>1852</v>
      </c>
      <c r="F62" s="349"/>
      <c r="G62" s="349"/>
      <c r="H62" s="349"/>
      <c r="I62" s="349"/>
      <c r="J62" s="350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</row>
    <row r="63" spans="1:31" ht="54" customHeight="1" x14ac:dyDescent="0.25">
      <c r="A63" s="1"/>
      <c r="B63" s="189">
        <v>48</v>
      </c>
      <c r="C63" s="190" t="s">
        <v>410</v>
      </c>
      <c r="D63" s="237" t="s">
        <v>2379</v>
      </c>
      <c r="E63" s="348" t="s">
        <v>1852</v>
      </c>
      <c r="F63" s="349"/>
      <c r="G63" s="349"/>
      <c r="H63" s="349"/>
      <c r="I63" s="349"/>
      <c r="J63" s="350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46"/>
      <c r="AE63" s="146"/>
    </row>
    <row r="64" spans="1:31" ht="54" customHeight="1" x14ac:dyDescent="0.25">
      <c r="A64" s="1"/>
      <c r="B64" s="189">
        <v>49</v>
      </c>
      <c r="C64" s="190" t="s">
        <v>327</v>
      </c>
      <c r="D64" s="237" t="s">
        <v>2380</v>
      </c>
      <c r="E64" s="348" t="s">
        <v>1852</v>
      </c>
      <c r="F64" s="349"/>
      <c r="G64" s="349"/>
      <c r="H64" s="349"/>
      <c r="I64" s="349"/>
      <c r="J64" s="350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46"/>
      <c r="AD64" s="146"/>
      <c r="AE64" s="146"/>
    </row>
    <row r="65" spans="1:31" ht="54" customHeight="1" x14ac:dyDescent="0.25">
      <c r="A65" s="1"/>
      <c r="B65" s="189">
        <v>50</v>
      </c>
      <c r="C65" s="190" t="s">
        <v>924</v>
      </c>
      <c r="D65" s="237" t="s">
        <v>2381</v>
      </c>
      <c r="E65" s="348" t="s">
        <v>1863</v>
      </c>
      <c r="F65" s="349"/>
      <c r="G65" s="349"/>
      <c r="H65" s="349"/>
      <c r="I65" s="349"/>
      <c r="J65" s="350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</row>
    <row r="66" spans="1:31" ht="54" customHeight="1" x14ac:dyDescent="0.25">
      <c r="A66" s="1"/>
      <c r="B66" s="189">
        <v>51</v>
      </c>
      <c r="C66" s="190" t="s">
        <v>928</v>
      </c>
      <c r="D66" s="237" t="s">
        <v>2382</v>
      </c>
      <c r="E66" s="348" t="s">
        <v>1861</v>
      </c>
      <c r="F66" s="349"/>
      <c r="G66" s="349"/>
      <c r="H66" s="349"/>
      <c r="I66" s="349"/>
      <c r="J66" s="350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46"/>
      <c r="AD66" s="146"/>
      <c r="AE66" s="146"/>
    </row>
    <row r="67" spans="1:31" ht="54" customHeight="1" x14ac:dyDescent="0.25">
      <c r="A67" s="1"/>
      <c r="B67" s="189">
        <v>52</v>
      </c>
      <c r="C67" s="190" t="s">
        <v>931</v>
      </c>
      <c r="D67" s="237" t="s">
        <v>2383</v>
      </c>
      <c r="E67" s="348" t="s">
        <v>1862</v>
      </c>
      <c r="F67" s="349"/>
      <c r="G67" s="349"/>
      <c r="H67" s="349"/>
      <c r="I67" s="349"/>
      <c r="J67" s="350"/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  <c r="AD67" s="146"/>
      <c r="AE67" s="146"/>
    </row>
    <row r="68" spans="1:31" ht="54" customHeight="1" x14ac:dyDescent="0.25">
      <c r="A68" s="1"/>
      <c r="B68" s="189">
        <v>53</v>
      </c>
      <c r="C68" s="190" t="s">
        <v>361</v>
      </c>
      <c r="D68" s="237" t="s">
        <v>2384</v>
      </c>
      <c r="E68" s="348" t="s">
        <v>1852</v>
      </c>
      <c r="F68" s="349"/>
      <c r="G68" s="349"/>
      <c r="H68" s="349"/>
      <c r="I68" s="349"/>
      <c r="J68" s="350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</row>
    <row r="69" spans="1:31" ht="54" customHeight="1" x14ac:dyDescent="0.25">
      <c r="A69" s="1"/>
      <c r="B69" s="189">
        <v>54</v>
      </c>
      <c r="C69" s="190" t="s">
        <v>936</v>
      </c>
      <c r="D69" s="237" t="s">
        <v>2385</v>
      </c>
      <c r="E69" s="348" t="s">
        <v>1857</v>
      </c>
      <c r="F69" s="349"/>
      <c r="G69" s="349"/>
      <c r="H69" s="349"/>
      <c r="I69" s="349"/>
      <c r="J69" s="350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  <c r="AC69" s="146"/>
      <c r="AD69" s="146"/>
      <c r="AE69" s="146"/>
    </row>
    <row r="70" spans="1:31" ht="54" customHeight="1" x14ac:dyDescent="0.25">
      <c r="A70" s="1"/>
      <c r="B70" s="189">
        <v>54</v>
      </c>
      <c r="C70" s="190" t="s">
        <v>363</v>
      </c>
      <c r="D70" s="237" t="s">
        <v>2386</v>
      </c>
      <c r="E70" s="348" t="s">
        <v>1852</v>
      </c>
      <c r="F70" s="349"/>
      <c r="G70" s="349"/>
      <c r="H70" s="349"/>
      <c r="I70" s="349"/>
      <c r="J70" s="350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  <c r="AC70" s="146"/>
      <c r="AD70" s="146"/>
      <c r="AE70" s="146"/>
    </row>
    <row r="71" spans="1:31" ht="54" customHeight="1" x14ac:dyDescent="0.25">
      <c r="A71" s="1"/>
      <c r="B71" s="189">
        <v>55</v>
      </c>
      <c r="C71" s="190" t="s">
        <v>368</v>
      </c>
      <c r="D71" s="237" t="s">
        <v>2387</v>
      </c>
      <c r="E71" s="348" t="s">
        <v>1852</v>
      </c>
      <c r="F71" s="349"/>
      <c r="G71" s="349"/>
      <c r="H71" s="349"/>
      <c r="I71" s="349"/>
      <c r="J71" s="350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46"/>
      <c r="AD71" s="146"/>
      <c r="AE71" s="146"/>
    </row>
    <row r="72" spans="1:31" ht="54" customHeight="1" x14ac:dyDescent="0.25">
      <c r="A72" s="1"/>
      <c r="B72" s="189">
        <v>56</v>
      </c>
      <c r="C72" s="190" t="s">
        <v>943</v>
      </c>
      <c r="D72" s="237" t="s">
        <v>2388</v>
      </c>
      <c r="E72" s="348" t="s">
        <v>1861</v>
      </c>
      <c r="F72" s="349"/>
      <c r="G72" s="349"/>
      <c r="H72" s="349"/>
      <c r="I72" s="349"/>
      <c r="J72" s="350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46"/>
      <c r="AD72" s="146"/>
      <c r="AE72" s="146"/>
    </row>
    <row r="73" spans="1:31" ht="54" customHeight="1" x14ac:dyDescent="0.25">
      <c r="A73" s="1"/>
      <c r="B73" s="189">
        <v>57</v>
      </c>
      <c r="C73" s="190" t="s">
        <v>946</v>
      </c>
      <c r="D73" s="237" t="s">
        <v>2389</v>
      </c>
      <c r="E73" s="348" t="s">
        <v>1870</v>
      </c>
      <c r="F73" s="349"/>
      <c r="G73" s="349"/>
      <c r="H73" s="349"/>
      <c r="I73" s="349"/>
      <c r="J73" s="350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46"/>
      <c r="AE73" s="146"/>
    </row>
    <row r="74" spans="1:31" ht="54" customHeight="1" x14ac:dyDescent="0.25">
      <c r="A74" s="1"/>
      <c r="B74" s="189">
        <v>59</v>
      </c>
      <c r="C74" s="190" t="s">
        <v>2322</v>
      </c>
      <c r="D74" s="237" t="s">
        <v>2315</v>
      </c>
      <c r="E74" s="348" t="s">
        <v>2316</v>
      </c>
      <c r="F74" s="349"/>
      <c r="G74" s="349"/>
      <c r="H74" s="349"/>
      <c r="I74" s="349"/>
      <c r="J74" s="350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  <c r="AD74" s="146"/>
      <c r="AE74" s="146"/>
    </row>
    <row r="75" spans="1:31" ht="54" customHeight="1" x14ac:dyDescent="0.25">
      <c r="A75" s="1"/>
      <c r="B75" s="189">
        <v>60</v>
      </c>
      <c r="C75" s="190" t="s">
        <v>951</v>
      </c>
      <c r="D75" s="237" t="s">
        <v>2390</v>
      </c>
      <c r="E75" s="348" t="s">
        <v>1856</v>
      </c>
      <c r="F75" s="349"/>
      <c r="G75" s="349"/>
      <c r="H75" s="349"/>
      <c r="I75" s="349"/>
      <c r="J75" s="350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  <c r="AC75" s="146"/>
      <c r="AD75" s="146"/>
      <c r="AE75" s="146"/>
    </row>
    <row r="76" spans="1:31" ht="54" customHeight="1" x14ac:dyDescent="0.25">
      <c r="A76" s="1"/>
      <c r="B76" s="189">
        <v>61</v>
      </c>
      <c r="C76" s="190" t="s">
        <v>357</v>
      </c>
      <c r="D76" s="237" t="s">
        <v>2391</v>
      </c>
      <c r="E76" s="348" t="s">
        <v>1852</v>
      </c>
      <c r="F76" s="349"/>
      <c r="G76" s="349"/>
      <c r="H76" s="349"/>
      <c r="I76" s="349"/>
      <c r="J76" s="350"/>
      <c r="K76" s="146"/>
      <c r="L76" s="146"/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  <c r="AB76" s="146"/>
      <c r="AC76" s="146"/>
      <c r="AD76" s="146"/>
      <c r="AE76" s="146"/>
    </row>
    <row r="77" spans="1:31" ht="54" customHeight="1" x14ac:dyDescent="0.25">
      <c r="A77" s="1"/>
      <c r="B77" s="189">
        <v>62</v>
      </c>
      <c r="C77" s="190" t="s">
        <v>955</v>
      </c>
      <c r="D77" s="238" t="s">
        <v>2392</v>
      </c>
      <c r="E77" s="348" t="s">
        <v>1864</v>
      </c>
      <c r="F77" s="349"/>
      <c r="G77" s="349"/>
      <c r="H77" s="349"/>
      <c r="I77" s="349"/>
      <c r="J77" s="350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  <c r="AB77" s="146"/>
      <c r="AC77" s="146"/>
      <c r="AD77" s="146"/>
      <c r="AE77" s="146"/>
    </row>
    <row r="78" spans="1:31" ht="54" customHeight="1" x14ac:dyDescent="0.25">
      <c r="A78" s="1"/>
      <c r="B78" s="189">
        <v>63</v>
      </c>
      <c r="C78" s="190" t="s">
        <v>960</v>
      </c>
      <c r="D78" s="237" t="s">
        <v>2393</v>
      </c>
      <c r="E78" s="348" t="s">
        <v>1852</v>
      </c>
      <c r="F78" s="349"/>
      <c r="G78" s="349"/>
      <c r="H78" s="349"/>
      <c r="I78" s="349"/>
      <c r="J78" s="350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</row>
    <row r="79" spans="1:31" ht="54" customHeight="1" x14ac:dyDescent="0.25">
      <c r="A79" s="1"/>
      <c r="B79" s="189">
        <v>64</v>
      </c>
      <c r="C79" s="190" t="s">
        <v>2309</v>
      </c>
      <c r="D79" s="237" t="s">
        <v>2394</v>
      </c>
      <c r="E79" s="348" t="s">
        <v>1861</v>
      </c>
      <c r="F79" s="349"/>
      <c r="G79" s="349"/>
      <c r="H79" s="349"/>
      <c r="I79" s="349"/>
      <c r="J79" s="350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  <c r="AB79" s="146"/>
      <c r="AC79" s="146"/>
      <c r="AD79" s="146"/>
      <c r="AE79" s="146"/>
    </row>
    <row r="80" spans="1:31" ht="54" customHeight="1" x14ac:dyDescent="0.25">
      <c r="A80" s="1"/>
      <c r="B80" s="189">
        <v>65</v>
      </c>
      <c r="C80" s="190" t="s">
        <v>965</v>
      </c>
      <c r="D80" s="237" t="s">
        <v>2395</v>
      </c>
      <c r="E80" s="348" t="s">
        <v>1857</v>
      </c>
      <c r="F80" s="349"/>
      <c r="G80" s="349"/>
      <c r="H80" s="349"/>
      <c r="I80" s="349"/>
      <c r="J80" s="350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  <c r="AB80" s="146"/>
      <c r="AC80" s="146"/>
      <c r="AD80" s="146"/>
      <c r="AE80" s="146"/>
    </row>
    <row r="81" spans="1:31" ht="54" customHeight="1" x14ac:dyDescent="0.25">
      <c r="A81" s="1"/>
      <c r="B81" s="189">
        <v>66</v>
      </c>
      <c r="C81" s="190" t="s">
        <v>1003</v>
      </c>
      <c r="D81" s="237" t="s">
        <v>2396</v>
      </c>
      <c r="E81" s="348" t="s">
        <v>1852</v>
      </c>
      <c r="F81" s="349"/>
      <c r="G81" s="349"/>
      <c r="H81" s="349"/>
      <c r="I81" s="349"/>
      <c r="J81" s="350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  <c r="AB81" s="146"/>
      <c r="AC81" s="146"/>
      <c r="AD81" s="146"/>
      <c r="AE81" s="146"/>
    </row>
    <row r="82" spans="1:31" ht="54" customHeight="1" x14ac:dyDescent="0.25">
      <c r="A82" s="1"/>
      <c r="B82" s="189">
        <v>67</v>
      </c>
      <c r="C82" s="190" t="s">
        <v>1006</v>
      </c>
      <c r="D82" s="237" t="s">
        <v>2397</v>
      </c>
      <c r="E82" s="348" t="s">
        <v>1852</v>
      </c>
      <c r="F82" s="349"/>
      <c r="G82" s="349"/>
      <c r="H82" s="349"/>
      <c r="I82" s="349"/>
      <c r="J82" s="350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  <c r="AB82" s="146"/>
      <c r="AC82" s="146"/>
      <c r="AD82" s="146"/>
      <c r="AE82" s="146"/>
    </row>
    <row r="83" spans="1:31" ht="54" customHeight="1" x14ac:dyDescent="0.25">
      <c r="A83" s="1"/>
      <c r="B83" s="189">
        <v>68</v>
      </c>
      <c r="C83" s="190" t="s">
        <v>1009</v>
      </c>
      <c r="D83" s="237" t="s">
        <v>2398</v>
      </c>
      <c r="E83" s="348" t="s">
        <v>1852</v>
      </c>
      <c r="F83" s="349"/>
      <c r="G83" s="349"/>
      <c r="H83" s="349"/>
      <c r="I83" s="349"/>
      <c r="J83" s="350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  <c r="AB83" s="146"/>
      <c r="AC83" s="146"/>
      <c r="AD83" s="146"/>
      <c r="AE83" s="146"/>
    </row>
    <row r="84" spans="1:31" ht="54" customHeight="1" x14ac:dyDescent="0.25">
      <c r="A84" s="1"/>
      <c r="B84" s="189">
        <v>69</v>
      </c>
      <c r="C84" s="190" t="s">
        <v>1102</v>
      </c>
      <c r="D84" s="237" t="s">
        <v>2399</v>
      </c>
      <c r="E84" s="348" t="s">
        <v>1852</v>
      </c>
      <c r="F84" s="349"/>
      <c r="G84" s="349"/>
      <c r="H84" s="349"/>
      <c r="I84" s="349"/>
      <c r="J84" s="350"/>
      <c r="K84" s="146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  <c r="AB84" s="146"/>
      <c r="AC84" s="146"/>
      <c r="AD84" s="146"/>
      <c r="AE84" s="146"/>
    </row>
    <row r="85" spans="1:31" ht="54" customHeight="1" x14ac:dyDescent="0.25">
      <c r="A85" s="1"/>
      <c r="B85" s="189">
        <v>70</v>
      </c>
      <c r="C85" s="190" t="s">
        <v>1109</v>
      </c>
      <c r="D85" s="237" t="s">
        <v>2400</v>
      </c>
      <c r="E85" s="348" t="s">
        <v>1857</v>
      </c>
      <c r="F85" s="349"/>
      <c r="G85" s="349"/>
      <c r="H85" s="349"/>
      <c r="I85" s="349"/>
      <c r="J85" s="350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</row>
    <row r="86" spans="1:31" ht="54" customHeight="1" x14ac:dyDescent="0.25">
      <c r="A86" s="1"/>
      <c r="B86" s="189">
        <v>71</v>
      </c>
      <c r="C86" s="190" t="s">
        <v>1111</v>
      </c>
      <c r="D86" s="237" t="s">
        <v>2401</v>
      </c>
      <c r="E86" s="348" t="s">
        <v>1852</v>
      </c>
      <c r="F86" s="349"/>
      <c r="G86" s="349"/>
      <c r="H86" s="349"/>
      <c r="I86" s="349"/>
      <c r="J86" s="350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  <c r="AB86" s="146"/>
      <c r="AC86" s="146"/>
      <c r="AD86" s="146"/>
      <c r="AE86" s="146"/>
    </row>
    <row r="87" spans="1:31" ht="54" customHeight="1" x14ac:dyDescent="0.25">
      <c r="A87" s="1"/>
      <c r="B87" s="189">
        <v>72</v>
      </c>
      <c r="C87" s="190" t="s">
        <v>1149</v>
      </c>
      <c r="D87" s="237" t="s">
        <v>2402</v>
      </c>
      <c r="E87" s="348" t="s">
        <v>1857</v>
      </c>
      <c r="F87" s="349"/>
      <c r="G87" s="349"/>
      <c r="H87" s="349"/>
      <c r="I87" s="349"/>
      <c r="J87" s="350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  <c r="AB87" s="146"/>
      <c r="AC87" s="146"/>
      <c r="AD87" s="146"/>
      <c r="AE87" s="146"/>
    </row>
    <row r="88" spans="1:31" ht="54" customHeight="1" x14ac:dyDescent="0.25">
      <c r="A88" s="1"/>
      <c r="B88" s="189">
        <v>73</v>
      </c>
      <c r="C88" s="190" t="s">
        <v>1156</v>
      </c>
      <c r="D88" s="237" t="s">
        <v>2403</v>
      </c>
      <c r="E88" s="348" t="s">
        <v>1858</v>
      </c>
      <c r="F88" s="349"/>
      <c r="G88" s="349"/>
      <c r="H88" s="349"/>
      <c r="I88" s="349"/>
      <c r="J88" s="350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  <c r="AB88" s="146"/>
      <c r="AC88" s="146"/>
      <c r="AD88" s="146"/>
      <c r="AE88" s="146"/>
    </row>
    <row r="89" spans="1:31" ht="54" customHeight="1" x14ac:dyDescent="0.25">
      <c r="A89" s="1"/>
      <c r="B89" s="189">
        <v>74</v>
      </c>
      <c r="C89" s="190" t="s">
        <v>1158</v>
      </c>
      <c r="D89" s="237" t="s">
        <v>2404</v>
      </c>
      <c r="E89" s="348" t="s">
        <v>1857</v>
      </c>
      <c r="F89" s="349"/>
      <c r="G89" s="349"/>
      <c r="H89" s="349"/>
      <c r="I89" s="349"/>
      <c r="J89" s="350"/>
      <c r="K89" s="146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  <c r="AB89" s="146"/>
      <c r="AC89" s="146"/>
      <c r="AD89" s="146"/>
      <c r="AE89" s="146"/>
    </row>
    <row r="90" spans="1:31" ht="54" customHeight="1" x14ac:dyDescent="0.25">
      <c r="A90" s="1"/>
      <c r="B90" s="189">
        <v>75</v>
      </c>
      <c r="C90" s="190" t="s">
        <v>2327</v>
      </c>
      <c r="D90" s="237" t="s">
        <v>2405</v>
      </c>
      <c r="E90" s="348" t="s">
        <v>1858</v>
      </c>
      <c r="F90" s="349"/>
      <c r="G90" s="349"/>
      <c r="H90" s="349"/>
      <c r="I90" s="349"/>
      <c r="J90" s="350"/>
      <c r="K90" s="146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  <c r="AB90" s="146"/>
      <c r="AC90" s="146"/>
      <c r="AD90" s="146"/>
      <c r="AE90" s="146"/>
    </row>
    <row r="91" spans="1:31" ht="54" customHeight="1" x14ac:dyDescent="0.25">
      <c r="A91" s="1"/>
      <c r="B91" s="189">
        <v>76</v>
      </c>
      <c r="C91" s="190" t="s">
        <v>1904</v>
      </c>
      <c r="D91" s="237" t="s">
        <v>2406</v>
      </c>
      <c r="E91" s="348" t="s">
        <v>1872</v>
      </c>
      <c r="F91" s="349"/>
      <c r="G91" s="349"/>
      <c r="H91" s="349"/>
      <c r="I91" s="349"/>
      <c r="J91" s="350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  <c r="AB91" s="146"/>
      <c r="AC91" s="146"/>
      <c r="AD91" s="146"/>
      <c r="AE91" s="146"/>
    </row>
    <row r="92" spans="1:31" ht="54" customHeight="1" x14ac:dyDescent="0.25">
      <c r="A92" s="1"/>
      <c r="B92" s="189">
        <v>77</v>
      </c>
      <c r="C92" s="190" t="s">
        <v>1203</v>
      </c>
      <c r="D92" s="237" t="s">
        <v>2407</v>
      </c>
      <c r="E92" s="348" t="s">
        <v>1857</v>
      </c>
      <c r="F92" s="349"/>
      <c r="G92" s="349"/>
      <c r="H92" s="349"/>
      <c r="I92" s="349"/>
      <c r="J92" s="350"/>
      <c r="K92" s="146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  <c r="AB92" s="146"/>
      <c r="AC92" s="146"/>
      <c r="AD92" s="146"/>
      <c r="AE92" s="146"/>
    </row>
    <row r="93" spans="1:31" ht="54" customHeight="1" x14ac:dyDescent="0.25">
      <c r="A93" s="1"/>
      <c r="B93" s="189">
        <v>78</v>
      </c>
      <c r="C93" s="190" t="s">
        <v>1205</v>
      </c>
      <c r="D93" s="237" t="s">
        <v>2408</v>
      </c>
      <c r="E93" s="348" t="s">
        <v>1857</v>
      </c>
      <c r="F93" s="349"/>
      <c r="G93" s="349"/>
      <c r="H93" s="349"/>
      <c r="I93" s="349"/>
      <c r="J93" s="350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  <c r="AB93" s="146"/>
      <c r="AC93" s="146"/>
      <c r="AD93" s="146"/>
      <c r="AE93" s="146"/>
    </row>
    <row r="94" spans="1:31" ht="54" customHeight="1" x14ac:dyDescent="0.25">
      <c r="A94" s="1"/>
      <c r="B94" s="189">
        <v>79</v>
      </c>
      <c r="C94" s="190" t="s">
        <v>1207</v>
      </c>
      <c r="D94" s="237" t="s">
        <v>2409</v>
      </c>
      <c r="E94" s="348" t="s">
        <v>1857</v>
      </c>
      <c r="F94" s="349"/>
      <c r="G94" s="349"/>
      <c r="H94" s="349"/>
      <c r="I94" s="349"/>
      <c r="J94" s="350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  <c r="AB94" s="146"/>
      <c r="AC94" s="146"/>
      <c r="AD94" s="146"/>
      <c r="AE94" s="146"/>
    </row>
    <row r="95" spans="1:31" ht="54" customHeight="1" x14ac:dyDescent="0.25">
      <c r="A95" s="1"/>
      <c r="B95" s="189">
        <v>80</v>
      </c>
      <c r="C95" s="190" t="s">
        <v>1209</v>
      </c>
      <c r="D95" s="237" t="s">
        <v>2410</v>
      </c>
      <c r="E95" s="348" t="s">
        <v>1857</v>
      </c>
      <c r="F95" s="349"/>
      <c r="G95" s="349"/>
      <c r="H95" s="349"/>
      <c r="I95" s="349"/>
      <c r="J95" s="350"/>
      <c r="K95" s="146"/>
      <c r="L95" s="146"/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  <c r="AB95" s="146"/>
      <c r="AC95" s="146"/>
      <c r="AD95" s="146"/>
      <c r="AE95" s="146"/>
    </row>
    <row r="96" spans="1:31" ht="54" customHeight="1" x14ac:dyDescent="0.25">
      <c r="A96" s="1"/>
      <c r="B96" s="189">
        <v>81</v>
      </c>
      <c r="C96" s="190" t="s">
        <v>1211</v>
      </c>
      <c r="D96" s="237" t="s">
        <v>2411</v>
      </c>
      <c r="E96" s="348" t="s">
        <v>1857</v>
      </c>
      <c r="F96" s="349"/>
      <c r="G96" s="349"/>
      <c r="H96" s="349"/>
      <c r="I96" s="349"/>
      <c r="J96" s="350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  <c r="AB96" s="146"/>
      <c r="AC96" s="146"/>
      <c r="AD96" s="146"/>
      <c r="AE96" s="146"/>
    </row>
    <row r="97" spans="1:31" ht="54" customHeight="1" x14ac:dyDescent="0.25">
      <c r="A97" s="1"/>
      <c r="B97" s="189">
        <v>82</v>
      </c>
      <c r="C97" s="190" t="s">
        <v>1213</v>
      </c>
      <c r="D97" s="237" t="s">
        <v>2412</v>
      </c>
      <c r="E97" s="348" t="s">
        <v>1857</v>
      </c>
      <c r="F97" s="349"/>
      <c r="G97" s="349"/>
      <c r="H97" s="349"/>
      <c r="I97" s="349"/>
      <c r="J97" s="350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  <c r="AB97" s="146"/>
      <c r="AC97" s="146"/>
      <c r="AD97" s="146"/>
      <c r="AE97" s="146"/>
    </row>
    <row r="98" spans="1:31" ht="54" customHeight="1" x14ac:dyDescent="0.25">
      <c r="A98" s="1"/>
      <c r="B98" s="189">
        <v>83</v>
      </c>
      <c r="C98" s="190" t="s">
        <v>1215</v>
      </c>
      <c r="D98" s="237" t="s">
        <v>2413</v>
      </c>
      <c r="E98" s="348" t="s">
        <v>1857</v>
      </c>
      <c r="F98" s="349"/>
      <c r="G98" s="349"/>
      <c r="H98" s="349"/>
      <c r="I98" s="349"/>
      <c r="J98" s="350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  <c r="AB98" s="146"/>
      <c r="AC98" s="146"/>
      <c r="AD98" s="146"/>
      <c r="AE98" s="146"/>
    </row>
    <row r="99" spans="1:31" ht="54" customHeight="1" x14ac:dyDescent="0.25">
      <c r="A99" s="1"/>
      <c r="B99" s="189">
        <v>84</v>
      </c>
      <c r="C99" s="190" t="s">
        <v>1217</v>
      </c>
      <c r="D99" s="237" t="s">
        <v>2414</v>
      </c>
      <c r="E99" s="348" t="s">
        <v>1852</v>
      </c>
      <c r="F99" s="349"/>
      <c r="G99" s="349"/>
      <c r="H99" s="349"/>
      <c r="I99" s="349"/>
      <c r="J99" s="350"/>
      <c r="K99" s="146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  <c r="AB99" s="146"/>
      <c r="AC99" s="146"/>
      <c r="AD99" s="146"/>
      <c r="AE99" s="146"/>
    </row>
    <row r="100" spans="1:31" ht="54" customHeight="1" x14ac:dyDescent="0.25">
      <c r="A100" s="1"/>
      <c r="B100" s="189">
        <v>85</v>
      </c>
      <c r="C100" s="190" t="s">
        <v>1024</v>
      </c>
      <c r="D100" s="237" t="s">
        <v>2415</v>
      </c>
      <c r="E100" s="348" t="s">
        <v>1857</v>
      </c>
      <c r="F100" s="349"/>
      <c r="G100" s="349"/>
      <c r="H100" s="349"/>
      <c r="I100" s="349"/>
      <c r="J100" s="350"/>
      <c r="K100" s="146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  <c r="AB100" s="146"/>
      <c r="AC100" s="146"/>
      <c r="AD100" s="146"/>
      <c r="AE100" s="146"/>
    </row>
    <row r="101" spans="1:31" ht="54" customHeight="1" x14ac:dyDescent="0.25">
      <c r="A101" s="1"/>
      <c r="B101" s="189">
        <v>86</v>
      </c>
      <c r="C101" s="190" t="s">
        <v>1248</v>
      </c>
      <c r="D101" s="237" t="s">
        <v>2416</v>
      </c>
      <c r="E101" s="348" t="s">
        <v>1857</v>
      </c>
      <c r="F101" s="349"/>
      <c r="G101" s="349"/>
      <c r="H101" s="349"/>
      <c r="I101" s="349"/>
      <c r="J101" s="350"/>
      <c r="K101" s="146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  <c r="AB101" s="146"/>
      <c r="AC101" s="146"/>
      <c r="AD101" s="146"/>
      <c r="AE101" s="146"/>
    </row>
    <row r="102" spans="1:31" ht="54" customHeight="1" x14ac:dyDescent="0.25">
      <c r="A102" s="1"/>
      <c r="B102" s="189">
        <v>87</v>
      </c>
      <c r="C102" s="190" t="s">
        <v>1261</v>
      </c>
      <c r="D102" s="237" t="s">
        <v>2417</v>
      </c>
      <c r="E102" s="348" t="s">
        <v>1857</v>
      </c>
      <c r="F102" s="349"/>
      <c r="G102" s="349"/>
      <c r="H102" s="349"/>
      <c r="I102" s="349"/>
      <c r="J102" s="350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  <c r="AB102" s="146"/>
      <c r="AC102" s="146"/>
      <c r="AD102" s="146"/>
      <c r="AE102" s="146"/>
    </row>
    <row r="103" spans="1:31" ht="54" customHeight="1" x14ac:dyDescent="0.25">
      <c r="A103" s="1"/>
      <c r="B103" s="189">
        <v>88</v>
      </c>
      <c r="C103" s="190" t="s">
        <v>1263</v>
      </c>
      <c r="D103" s="237" t="s">
        <v>2418</v>
      </c>
      <c r="E103" s="348" t="s">
        <v>1857</v>
      </c>
      <c r="F103" s="349"/>
      <c r="G103" s="349"/>
      <c r="H103" s="349"/>
      <c r="I103" s="349"/>
      <c r="J103" s="350"/>
      <c r="K103" s="146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  <c r="AB103" s="146"/>
      <c r="AC103" s="146"/>
      <c r="AD103" s="146"/>
      <c r="AE103" s="146"/>
    </row>
    <row r="104" spans="1:31" ht="54" customHeight="1" x14ac:dyDescent="0.25">
      <c r="A104" s="1"/>
      <c r="B104" s="189">
        <v>89</v>
      </c>
      <c r="C104" s="190" t="s">
        <v>1265</v>
      </c>
      <c r="D104" s="237" t="s">
        <v>2419</v>
      </c>
      <c r="E104" s="348" t="s">
        <v>1857</v>
      </c>
      <c r="F104" s="349"/>
      <c r="G104" s="349"/>
      <c r="H104" s="349"/>
      <c r="I104" s="349"/>
      <c r="J104" s="350"/>
      <c r="K104" s="146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  <c r="AB104" s="146"/>
      <c r="AC104" s="146"/>
      <c r="AD104" s="146"/>
      <c r="AE104" s="146"/>
    </row>
    <row r="105" spans="1:31" ht="54" customHeight="1" x14ac:dyDescent="0.25">
      <c r="A105" s="1"/>
      <c r="B105" s="189">
        <v>90</v>
      </c>
      <c r="C105" s="190" t="s">
        <v>1267</v>
      </c>
      <c r="D105" s="237" t="s">
        <v>2420</v>
      </c>
      <c r="E105" s="348" t="s">
        <v>1855</v>
      </c>
      <c r="F105" s="349"/>
      <c r="G105" s="349"/>
      <c r="H105" s="349"/>
      <c r="I105" s="349"/>
      <c r="J105" s="350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  <c r="AB105" s="146"/>
      <c r="AC105" s="146"/>
      <c r="AD105" s="146"/>
      <c r="AE105" s="146"/>
    </row>
    <row r="106" spans="1:31" ht="54" customHeight="1" x14ac:dyDescent="0.25">
      <c r="A106" s="1"/>
      <c r="B106" s="189">
        <v>91</v>
      </c>
      <c r="C106" s="190" t="s">
        <v>1270</v>
      </c>
      <c r="D106" s="237" t="s">
        <v>2421</v>
      </c>
      <c r="E106" s="348" t="s">
        <v>1853</v>
      </c>
      <c r="F106" s="349"/>
      <c r="G106" s="349"/>
      <c r="H106" s="349"/>
      <c r="I106" s="349"/>
      <c r="J106" s="350"/>
      <c r="K106" s="146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  <c r="AB106" s="146"/>
      <c r="AC106" s="146"/>
      <c r="AD106" s="146"/>
      <c r="AE106" s="146"/>
    </row>
    <row r="107" spans="1:31" ht="54" customHeight="1" x14ac:dyDescent="0.25">
      <c r="A107" s="1"/>
      <c r="B107" s="189">
        <v>92</v>
      </c>
      <c r="C107" s="190" t="s">
        <v>1273</v>
      </c>
      <c r="D107" s="237" t="s">
        <v>2422</v>
      </c>
      <c r="E107" s="348" t="s">
        <v>1854</v>
      </c>
      <c r="F107" s="349"/>
      <c r="G107" s="349"/>
      <c r="H107" s="349"/>
      <c r="I107" s="349"/>
      <c r="J107" s="350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  <c r="AB107" s="146"/>
      <c r="AC107" s="146"/>
      <c r="AD107" s="146"/>
      <c r="AE107" s="146"/>
    </row>
    <row r="108" spans="1:31" ht="54" customHeight="1" x14ac:dyDescent="0.25">
      <c r="A108" s="1"/>
      <c r="B108" s="189">
        <v>93</v>
      </c>
      <c r="C108" s="190" t="s">
        <v>268</v>
      </c>
      <c r="D108" s="237" t="s">
        <v>2423</v>
      </c>
      <c r="E108" s="348" t="s">
        <v>1852</v>
      </c>
      <c r="F108" s="349"/>
      <c r="G108" s="349"/>
      <c r="H108" s="349"/>
      <c r="I108" s="349"/>
      <c r="J108" s="350"/>
      <c r="K108" s="146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  <c r="AB108" s="146"/>
      <c r="AC108" s="146"/>
      <c r="AD108" s="146"/>
      <c r="AE108" s="146"/>
    </row>
    <row r="109" spans="1:31" ht="54" customHeight="1" x14ac:dyDescent="0.25">
      <c r="A109" s="1"/>
      <c r="B109" s="189">
        <v>94</v>
      </c>
      <c r="C109" s="190" t="s">
        <v>1294</v>
      </c>
      <c r="D109" s="237" t="s">
        <v>2424</v>
      </c>
      <c r="E109" s="348" t="s">
        <v>1857</v>
      </c>
      <c r="F109" s="349"/>
      <c r="G109" s="349"/>
      <c r="H109" s="349"/>
      <c r="I109" s="349"/>
      <c r="J109" s="350"/>
      <c r="K109" s="146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  <c r="AB109" s="146"/>
      <c r="AC109" s="146"/>
      <c r="AD109" s="146"/>
      <c r="AE109" s="146"/>
    </row>
    <row r="110" spans="1:31" ht="54" customHeight="1" x14ac:dyDescent="0.25">
      <c r="A110" s="1"/>
      <c r="B110" s="189">
        <v>95</v>
      </c>
      <c r="C110" s="190" t="s">
        <v>1296</v>
      </c>
      <c r="D110" s="237" t="s">
        <v>2425</v>
      </c>
      <c r="E110" s="348" t="s">
        <v>1852</v>
      </c>
      <c r="F110" s="349"/>
      <c r="G110" s="349"/>
      <c r="H110" s="349"/>
      <c r="I110" s="349"/>
      <c r="J110" s="350"/>
      <c r="K110" s="146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  <c r="AB110" s="146"/>
      <c r="AC110" s="146"/>
      <c r="AD110" s="146"/>
      <c r="AE110" s="146"/>
    </row>
    <row r="111" spans="1:31" ht="54" customHeight="1" x14ac:dyDescent="0.25">
      <c r="A111" s="1"/>
      <c r="B111" s="189">
        <v>96</v>
      </c>
      <c r="C111" s="190" t="s">
        <v>264</v>
      </c>
      <c r="D111" s="237" t="s">
        <v>2426</v>
      </c>
      <c r="E111" s="348" t="s">
        <v>1857</v>
      </c>
      <c r="F111" s="349"/>
      <c r="G111" s="349"/>
      <c r="H111" s="349"/>
      <c r="I111" s="349"/>
      <c r="J111" s="350"/>
      <c r="K111" s="146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  <c r="AB111" s="146"/>
      <c r="AC111" s="146"/>
      <c r="AD111" s="146"/>
      <c r="AE111" s="146"/>
    </row>
    <row r="112" spans="1:31" ht="54" customHeight="1" x14ac:dyDescent="0.25">
      <c r="A112" s="1"/>
      <c r="B112" s="189">
        <v>97</v>
      </c>
      <c r="C112" s="190" t="s">
        <v>1303</v>
      </c>
      <c r="D112" s="237" t="s">
        <v>2427</v>
      </c>
      <c r="E112" s="348" t="s">
        <v>1857</v>
      </c>
      <c r="F112" s="349"/>
      <c r="G112" s="349"/>
      <c r="H112" s="349"/>
      <c r="I112" s="349"/>
      <c r="J112" s="350"/>
      <c r="K112" s="146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  <c r="AB112" s="146"/>
      <c r="AC112" s="146"/>
      <c r="AD112" s="146"/>
      <c r="AE112" s="146"/>
    </row>
    <row r="113" spans="1:31" ht="54" customHeight="1" x14ac:dyDescent="0.25">
      <c r="A113" s="1"/>
      <c r="B113" s="189">
        <v>98</v>
      </c>
      <c r="C113" s="190" t="s">
        <v>1305</v>
      </c>
      <c r="D113" s="237" t="s">
        <v>2428</v>
      </c>
      <c r="E113" s="348" t="s">
        <v>1852</v>
      </c>
      <c r="F113" s="349"/>
      <c r="G113" s="349"/>
      <c r="H113" s="349"/>
      <c r="I113" s="349"/>
      <c r="J113" s="350"/>
      <c r="K113" s="146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  <c r="AB113" s="146"/>
      <c r="AC113" s="146"/>
      <c r="AD113" s="146"/>
      <c r="AE113" s="146"/>
    </row>
    <row r="114" spans="1:31" ht="54" customHeight="1" x14ac:dyDescent="0.25">
      <c r="A114" s="1"/>
      <c r="B114" s="189">
        <v>99</v>
      </c>
      <c r="C114" s="190" t="s">
        <v>1308</v>
      </c>
      <c r="D114" s="237" t="s">
        <v>2429</v>
      </c>
      <c r="E114" s="348" t="s">
        <v>1852</v>
      </c>
      <c r="F114" s="349"/>
      <c r="G114" s="349"/>
      <c r="H114" s="349"/>
      <c r="I114" s="349"/>
      <c r="J114" s="350"/>
      <c r="K114" s="146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  <c r="AB114" s="146"/>
      <c r="AC114" s="146"/>
      <c r="AD114" s="146"/>
      <c r="AE114" s="146"/>
    </row>
    <row r="115" spans="1:31" ht="54" customHeight="1" x14ac:dyDescent="0.25">
      <c r="A115" s="1"/>
      <c r="B115" s="189">
        <v>100</v>
      </c>
      <c r="C115" s="190" t="s">
        <v>262</v>
      </c>
      <c r="D115" s="237" t="s">
        <v>2430</v>
      </c>
      <c r="E115" s="348" t="s">
        <v>1857</v>
      </c>
      <c r="F115" s="349"/>
      <c r="G115" s="349"/>
      <c r="H115" s="349"/>
      <c r="I115" s="349"/>
      <c r="J115" s="350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  <c r="AB115" s="146"/>
      <c r="AC115" s="146"/>
      <c r="AD115" s="146"/>
      <c r="AE115" s="146"/>
    </row>
    <row r="116" spans="1:31" ht="54" customHeight="1" x14ac:dyDescent="0.25">
      <c r="A116" s="1"/>
      <c r="B116" s="189">
        <v>101</v>
      </c>
      <c r="C116" s="190" t="s">
        <v>1314</v>
      </c>
      <c r="D116" s="237" t="s">
        <v>2431</v>
      </c>
      <c r="E116" s="348" t="s">
        <v>1857</v>
      </c>
      <c r="F116" s="349"/>
      <c r="G116" s="349"/>
      <c r="H116" s="349"/>
      <c r="I116" s="349"/>
      <c r="J116" s="350"/>
      <c r="K116" s="146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  <c r="AB116" s="146"/>
      <c r="AC116" s="146"/>
      <c r="AD116" s="146"/>
      <c r="AE116" s="146"/>
    </row>
    <row r="117" spans="1:31" ht="54" customHeight="1" x14ac:dyDescent="0.25">
      <c r="A117" s="1"/>
      <c r="B117" s="189">
        <v>102</v>
      </c>
      <c r="C117" s="190" t="s">
        <v>1316</v>
      </c>
      <c r="D117" s="237" t="s">
        <v>2432</v>
      </c>
      <c r="E117" s="348" t="s">
        <v>1857</v>
      </c>
      <c r="F117" s="349"/>
      <c r="G117" s="349"/>
      <c r="H117" s="349"/>
      <c r="I117" s="349"/>
      <c r="J117" s="350"/>
      <c r="K117" s="146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  <c r="AB117" s="146"/>
      <c r="AC117" s="146"/>
      <c r="AD117" s="146"/>
      <c r="AE117" s="146"/>
    </row>
    <row r="118" spans="1:31" ht="54" customHeight="1" x14ac:dyDescent="0.25">
      <c r="A118" s="1"/>
      <c r="B118" s="189">
        <v>103</v>
      </c>
      <c r="C118" s="190" t="s">
        <v>1318</v>
      </c>
      <c r="D118" s="237" t="s">
        <v>2433</v>
      </c>
      <c r="E118" s="348" t="s">
        <v>1852</v>
      </c>
      <c r="F118" s="349"/>
      <c r="G118" s="349"/>
      <c r="H118" s="349"/>
      <c r="I118" s="349"/>
      <c r="J118" s="350"/>
      <c r="K118" s="146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  <c r="AB118" s="146"/>
      <c r="AC118" s="146"/>
      <c r="AD118" s="146"/>
      <c r="AE118" s="146"/>
    </row>
    <row r="119" spans="1:31" ht="54" customHeight="1" x14ac:dyDescent="0.25">
      <c r="A119" s="1"/>
      <c r="B119" s="189">
        <v>104</v>
      </c>
      <c r="C119" s="190" t="s">
        <v>1321</v>
      </c>
      <c r="D119" s="237" t="s">
        <v>2434</v>
      </c>
      <c r="E119" s="348" t="s">
        <v>1852</v>
      </c>
      <c r="F119" s="349"/>
      <c r="G119" s="349"/>
      <c r="H119" s="349"/>
      <c r="I119" s="349"/>
      <c r="J119" s="350"/>
      <c r="K119" s="146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  <c r="AB119" s="146"/>
      <c r="AC119" s="146"/>
      <c r="AD119" s="146"/>
      <c r="AE119" s="146"/>
    </row>
    <row r="120" spans="1:31" ht="54" customHeight="1" x14ac:dyDescent="0.25">
      <c r="A120" s="1"/>
      <c r="B120" s="189">
        <v>105</v>
      </c>
      <c r="C120" s="190" t="s">
        <v>1324</v>
      </c>
      <c r="D120" s="237" t="s">
        <v>2435</v>
      </c>
      <c r="E120" s="348" t="s">
        <v>1857</v>
      </c>
      <c r="F120" s="349"/>
      <c r="G120" s="349"/>
      <c r="H120" s="349"/>
      <c r="I120" s="349"/>
      <c r="J120" s="350"/>
      <c r="K120" s="146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  <c r="AB120" s="146"/>
      <c r="AC120" s="146"/>
      <c r="AD120" s="146"/>
      <c r="AE120" s="146"/>
    </row>
    <row r="121" spans="1:31" ht="54" customHeight="1" x14ac:dyDescent="0.25">
      <c r="A121" s="1"/>
      <c r="B121" s="189">
        <v>106</v>
      </c>
      <c r="C121" s="190" t="s">
        <v>1337</v>
      </c>
      <c r="D121" s="237" t="s">
        <v>2436</v>
      </c>
      <c r="E121" s="348" t="s">
        <v>1857</v>
      </c>
      <c r="F121" s="349"/>
      <c r="G121" s="349"/>
      <c r="H121" s="349"/>
      <c r="I121" s="349"/>
      <c r="J121" s="350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  <c r="AB121" s="146"/>
      <c r="AC121" s="146"/>
      <c r="AD121" s="146"/>
      <c r="AE121" s="146"/>
    </row>
    <row r="122" spans="1:31" ht="54" customHeight="1" x14ac:dyDescent="0.25">
      <c r="A122" s="1"/>
      <c r="B122" s="189">
        <v>107</v>
      </c>
      <c r="C122" s="190" t="s">
        <v>1349</v>
      </c>
      <c r="D122" s="237" t="s">
        <v>2437</v>
      </c>
      <c r="E122" s="348" t="s">
        <v>1861</v>
      </c>
      <c r="F122" s="349"/>
      <c r="G122" s="349"/>
      <c r="H122" s="349"/>
      <c r="I122" s="349"/>
      <c r="J122" s="350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  <c r="AB122" s="146"/>
      <c r="AC122" s="146"/>
      <c r="AD122" s="146"/>
      <c r="AE122" s="146"/>
    </row>
    <row r="123" spans="1:31" ht="54" customHeight="1" x14ac:dyDescent="0.25">
      <c r="A123" s="1"/>
      <c r="B123" s="189">
        <v>108</v>
      </c>
      <c r="C123" s="190" t="s">
        <v>1358</v>
      </c>
      <c r="D123" s="237" t="s">
        <v>2438</v>
      </c>
      <c r="E123" s="348" t="s">
        <v>1861</v>
      </c>
      <c r="F123" s="349"/>
      <c r="G123" s="349"/>
      <c r="H123" s="349"/>
      <c r="I123" s="349"/>
      <c r="J123" s="350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  <c r="AB123" s="146"/>
      <c r="AC123" s="146"/>
      <c r="AD123" s="146"/>
      <c r="AE123" s="146"/>
    </row>
    <row r="124" spans="1:31" ht="54" customHeight="1" x14ac:dyDescent="0.25">
      <c r="A124" s="1"/>
      <c r="B124" s="189">
        <v>109</v>
      </c>
      <c r="C124" s="190" t="s">
        <v>1382</v>
      </c>
      <c r="D124" s="237" t="s">
        <v>2439</v>
      </c>
      <c r="E124" s="348" t="s">
        <v>1852</v>
      </c>
      <c r="F124" s="349"/>
      <c r="G124" s="349"/>
      <c r="H124" s="349"/>
      <c r="I124" s="349"/>
      <c r="J124" s="350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  <c r="AB124" s="146"/>
      <c r="AC124" s="146"/>
      <c r="AD124" s="146"/>
      <c r="AE124" s="146"/>
    </row>
    <row r="125" spans="1:31" ht="54" customHeight="1" x14ac:dyDescent="0.25">
      <c r="A125" s="1"/>
      <c r="B125" s="189">
        <v>110</v>
      </c>
      <c r="C125" s="190" t="s">
        <v>1396</v>
      </c>
      <c r="D125" s="237" t="s">
        <v>2440</v>
      </c>
      <c r="E125" s="348" t="s">
        <v>1861</v>
      </c>
      <c r="F125" s="349"/>
      <c r="G125" s="349"/>
      <c r="H125" s="349"/>
      <c r="I125" s="349"/>
      <c r="J125" s="350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  <c r="AB125" s="146"/>
      <c r="AC125" s="146"/>
      <c r="AD125" s="146"/>
      <c r="AE125" s="146"/>
    </row>
    <row r="126" spans="1:31" ht="54" customHeight="1" x14ac:dyDescent="0.25">
      <c r="A126" s="1"/>
      <c r="B126" s="189">
        <v>111</v>
      </c>
      <c r="C126" s="190" t="s">
        <v>1399</v>
      </c>
      <c r="D126" s="237" t="s">
        <v>2441</v>
      </c>
      <c r="E126" s="348" t="s">
        <v>1861</v>
      </c>
      <c r="F126" s="349"/>
      <c r="G126" s="349"/>
      <c r="H126" s="349"/>
      <c r="I126" s="349"/>
      <c r="J126" s="350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  <c r="AB126" s="146"/>
      <c r="AC126" s="146"/>
      <c r="AD126" s="146"/>
      <c r="AE126" s="146"/>
    </row>
    <row r="127" spans="1:31" ht="54" customHeight="1" x14ac:dyDescent="0.25">
      <c r="A127" s="1"/>
      <c r="B127" s="189">
        <v>112</v>
      </c>
      <c r="C127" s="190" t="s">
        <v>1402</v>
      </c>
      <c r="D127" s="237" t="s">
        <v>2442</v>
      </c>
      <c r="E127" s="348" t="s">
        <v>1861</v>
      </c>
      <c r="F127" s="349"/>
      <c r="G127" s="349"/>
      <c r="H127" s="349"/>
      <c r="I127" s="349"/>
      <c r="J127" s="350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  <c r="AB127" s="146"/>
      <c r="AC127" s="146"/>
      <c r="AD127" s="146"/>
      <c r="AE127" s="146"/>
    </row>
    <row r="128" spans="1:31" ht="54" customHeight="1" x14ac:dyDescent="0.25">
      <c r="A128" s="1"/>
      <c r="B128" s="189">
        <v>113</v>
      </c>
      <c r="C128" s="190" t="s">
        <v>1405</v>
      </c>
      <c r="D128" s="237" t="s">
        <v>2443</v>
      </c>
      <c r="E128" s="348" t="s">
        <v>1861</v>
      </c>
      <c r="F128" s="349"/>
      <c r="G128" s="349"/>
      <c r="H128" s="349"/>
      <c r="I128" s="349"/>
      <c r="J128" s="350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  <c r="AB128" s="146"/>
      <c r="AC128" s="146"/>
      <c r="AD128" s="146"/>
      <c r="AE128" s="146"/>
    </row>
    <row r="129" spans="1:31" ht="54" customHeight="1" x14ac:dyDescent="0.25">
      <c r="A129" s="1"/>
      <c r="B129" s="189">
        <v>114</v>
      </c>
      <c r="C129" s="190" t="s">
        <v>1408</v>
      </c>
      <c r="D129" s="237" t="s">
        <v>2444</v>
      </c>
      <c r="E129" s="348" t="s">
        <v>1861</v>
      </c>
      <c r="F129" s="349"/>
      <c r="G129" s="349"/>
      <c r="H129" s="349"/>
      <c r="I129" s="349"/>
      <c r="J129" s="350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  <c r="AB129" s="146"/>
      <c r="AC129" s="146"/>
      <c r="AD129" s="146"/>
      <c r="AE129" s="146"/>
    </row>
    <row r="130" spans="1:31" ht="54" customHeight="1" x14ac:dyDescent="0.25">
      <c r="A130" s="1"/>
      <c r="B130" s="189">
        <v>115</v>
      </c>
      <c r="C130" s="190" t="s">
        <v>1411</v>
      </c>
      <c r="D130" s="237" t="s">
        <v>2445</v>
      </c>
      <c r="E130" s="348" t="s">
        <v>1861</v>
      </c>
      <c r="F130" s="349"/>
      <c r="G130" s="349"/>
      <c r="H130" s="349"/>
      <c r="I130" s="349"/>
      <c r="J130" s="350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  <c r="AB130" s="146"/>
      <c r="AC130" s="146"/>
      <c r="AD130" s="146"/>
      <c r="AE130" s="146"/>
    </row>
    <row r="131" spans="1:31" ht="54" customHeight="1" x14ac:dyDescent="0.25">
      <c r="A131" s="1"/>
      <c r="B131" s="189">
        <v>116</v>
      </c>
      <c r="C131" s="190" t="s">
        <v>1436</v>
      </c>
      <c r="D131" s="237" t="s">
        <v>2446</v>
      </c>
      <c r="E131" s="348" t="s">
        <v>1861</v>
      </c>
      <c r="F131" s="349"/>
      <c r="G131" s="349"/>
      <c r="H131" s="349"/>
      <c r="I131" s="349"/>
      <c r="J131" s="350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  <c r="AB131" s="146"/>
      <c r="AC131" s="146"/>
      <c r="AD131" s="146"/>
      <c r="AE131" s="146"/>
    </row>
    <row r="132" spans="1:31" ht="54" customHeight="1" x14ac:dyDescent="0.25">
      <c r="A132" s="1"/>
      <c r="B132" s="189">
        <v>117</v>
      </c>
      <c r="C132" s="190" t="s">
        <v>1439</v>
      </c>
      <c r="D132" s="237" t="s">
        <v>2447</v>
      </c>
      <c r="E132" s="348" t="s">
        <v>1861</v>
      </c>
      <c r="F132" s="349"/>
      <c r="G132" s="349"/>
      <c r="H132" s="349"/>
      <c r="I132" s="349"/>
      <c r="J132" s="350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  <c r="AB132" s="146"/>
      <c r="AC132" s="146"/>
      <c r="AD132" s="146"/>
      <c r="AE132" s="146"/>
    </row>
    <row r="133" spans="1:31" ht="54" customHeight="1" x14ac:dyDescent="0.25">
      <c r="A133" s="1"/>
      <c r="B133" s="189">
        <v>118</v>
      </c>
      <c r="C133" s="190" t="s">
        <v>1442</v>
      </c>
      <c r="D133" s="237" t="s">
        <v>2448</v>
      </c>
      <c r="E133" s="348" t="s">
        <v>1861</v>
      </c>
      <c r="F133" s="349"/>
      <c r="G133" s="349"/>
      <c r="H133" s="349"/>
      <c r="I133" s="349"/>
      <c r="J133" s="350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  <c r="AB133" s="146"/>
      <c r="AC133" s="146"/>
      <c r="AD133" s="146"/>
      <c r="AE133" s="146"/>
    </row>
    <row r="134" spans="1:31" ht="54" customHeight="1" x14ac:dyDescent="0.25">
      <c r="A134" s="1"/>
      <c r="B134" s="189">
        <v>119</v>
      </c>
      <c r="C134" s="190" t="s">
        <v>2176</v>
      </c>
      <c r="D134" s="237" t="s">
        <v>2449</v>
      </c>
      <c r="E134" s="348" t="s">
        <v>1861</v>
      </c>
      <c r="F134" s="349"/>
      <c r="G134" s="349"/>
      <c r="H134" s="349"/>
      <c r="I134" s="349"/>
      <c r="J134" s="350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  <c r="AB134" s="146"/>
      <c r="AC134" s="146"/>
      <c r="AD134" s="146"/>
      <c r="AE134" s="146"/>
    </row>
    <row r="135" spans="1:31" ht="54" customHeight="1" x14ac:dyDescent="0.25">
      <c r="A135" s="1"/>
      <c r="B135" s="189">
        <v>120</v>
      </c>
      <c r="C135" s="190" t="s">
        <v>1471</v>
      </c>
      <c r="D135" s="237" t="s">
        <v>2450</v>
      </c>
      <c r="E135" s="348" t="s">
        <v>1861</v>
      </c>
      <c r="F135" s="349"/>
      <c r="G135" s="349"/>
      <c r="H135" s="349"/>
      <c r="I135" s="349"/>
      <c r="J135" s="350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  <c r="AB135" s="146"/>
      <c r="AC135" s="146"/>
      <c r="AD135" s="146"/>
      <c r="AE135" s="146"/>
    </row>
    <row r="136" spans="1:31" ht="54" customHeight="1" x14ac:dyDescent="0.25">
      <c r="A136" s="1"/>
      <c r="B136" s="189">
        <v>121</v>
      </c>
      <c r="C136" s="190" t="s">
        <v>1474</v>
      </c>
      <c r="D136" s="237" t="s">
        <v>2451</v>
      </c>
      <c r="E136" s="348" t="s">
        <v>1861</v>
      </c>
      <c r="F136" s="349"/>
      <c r="G136" s="349"/>
      <c r="H136" s="349"/>
      <c r="I136" s="349"/>
      <c r="J136" s="350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  <c r="AB136" s="146"/>
      <c r="AC136" s="146"/>
      <c r="AD136" s="146"/>
      <c r="AE136" s="146"/>
    </row>
    <row r="137" spans="1:31" ht="54" customHeight="1" x14ac:dyDescent="0.25">
      <c r="A137" s="1"/>
      <c r="B137" s="189">
        <v>122</v>
      </c>
      <c r="C137" s="190" t="s">
        <v>1484</v>
      </c>
      <c r="D137" s="237" t="s">
        <v>2452</v>
      </c>
      <c r="E137" s="348" t="s">
        <v>1861</v>
      </c>
      <c r="F137" s="349"/>
      <c r="G137" s="349"/>
      <c r="H137" s="349"/>
      <c r="I137" s="349"/>
      <c r="J137" s="350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  <c r="AB137" s="146"/>
      <c r="AC137" s="146"/>
      <c r="AD137" s="146"/>
      <c r="AE137" s="146"/>
    </row>
    <row r="138" spans="1:31" ht="54" customHeight="1" x14ac:dyDescent="0.25">
      <c r="A138" s="1"/>
      <c r="B138" s="189">
        <v>123</v>
      </c>
      <c r="C138" s="190" t="s">
        <v>1507</v>
      </c>
      <c r="D138" s="237" t="s">
        <v>2453</v>
      </c>
      <c r="E138" s="348" t="s">
        <v>1857</v>
      </c>
      <c r="F138" s="349"/>
      <c r="G138" s="349"/>
      <c r="H138" s="349"/>
      <c r="I138" s="349"/>
      <c r="J138" s="350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  <c r="AB138" s="146"/>
      <c r="AC138" s="146"/>
      <c r="AD138" s="146"/>
      <c r="AE138" s="146"/>
    </row>
    <row r="139" spans="1:31" ht="54" customHeight="1" x14ac:dyDescent="0.25">
      <c r="A139" s="1"/>
      <c r="B139" s="189">
        <v>124</v>
      </c>
      <c r="C139" s="190" t="s">
        <v>2180</v>
      </c>
      <c r="D139" s="237" t="s">
        <v>2454</v>
      </c>
      <c r="E139" s="348" t="s">
        <v>1861</v>
      </c>
      <c r="F139" s="349"/>
      <c r="G139" s="349"/>
      <c r="H139" s="349"/>
      <c r="I139" s="349"/>
      <c r="J139" s="350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  <c r="AB139" s="146"/>
      <c r="AC139" s="146"/>
      <c r="AD139" s="146"/>
      <c r="AE139" s="146"/>
    </row>
    <row r="140" spans="1:31" ht="54" customHeight="1" x14ac:dyDescent="0.25">
      <c r="A140" s="1"/>
      <c r="B140" s="189">
        <v>125</v>
      </c>
      <c r="C140" s="190" t="s">
        <v>2186</v>
      </c>
      <c r="D140" s="237" t="s">
        <v>2455</v>
      </c>
      <c r="E140" s="348" t="s">
        <v>1857</v>
      </c>
      <c r="F140" s="349"/>
      <c r="G140" s="349"/>
      <c r="H140" s="349"/>
      <c r="I140" s="349"/>
      <c r="J140" s="350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  <c r="AB140" s="146"/>
      <c r="AC140" s="146"/>
      <c r="AD140" s="146"/>
      <c r="AE140" s="146"/>
    </row>
    <row r="141" spans="1:31" ht="54" customHeight="1" x14ac:dyDescent="0.25">
      <c r="A141" s="1"/>
      <c r="B141" s="189">
        <v>126</v>
      </c>
      <c r="C141" s="190" t="s">
        <v>2188</v>
      </c>
      <c r="D141" s="237" t="s">
        <v>2456</v>
      </c>
      <c r="E141" s="348" t="s">
        <v>1857</v>
      </c>
      <c r="F141" s="349"/>
      <c r="G141" s="349"/>
      <c r="H141" s="349"/>
      <c r="I141" s="349"/>
      <c r="J141" s="350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  <c r="AB141" s="146"/>
      <c r="AC141" s="146"/>
      <c r="AD141" s="146"/>
      <c r="AE141" s="146"/>
    </row>
    <row r="142" spans="1:31" ht="54" customHeight="1" x14ac:dyDescent="0.25">
      <c r="A142" s="1"/>
      <c r="B142" s="189">
        <v>127</v>
      </c>
      <c r="C142" s="190" t="s">
        <v>1542</v>
      </c>
      <c r="D142" s="237" t="s">
        <v>2457</v>
      </c>
      <c r="E142" s="348" t="s">
        <v>1861</v>
      </c>
      <c r="F142" s="349"/>
      <c r="G142" s="349"/>
      <c r="H142" s="349"/>
      <c r="I142" s="349"/>
      <c r="J142" s="350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  <c r="AB142" s="146"/>
      <c r="AC142" s="146"/>
      <c r="AD142" s="146"/>
      <c r="AE142" s="146"/>
    </row>
    <row r="143" spans="1:31" ht="54" customHeight="1" x14ac:dyDescent="0.25">
      <c r="A143" s="1"/>
      <c r="B143" s="189">
        <v>128</v>
      </c>
      <c r="C143" s="190" t="s">
        <v>1545</v>
      </c>
      <c r="D143" s="237" t="s">
        <v>2458</v>
      </c>
      <c r="E143" s="348" t="s">
        <v>1861</v>
      </c>
      <c r="F143" s="349"/>
      <c r="G143" s="349"/>
      <c r="H143" s="349"/>
      <c r="I143" s="349"/>
      <c r="J143" s="350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  <c r="AB143" s="146"/>
      <c r="AC143" s="146"/>
      <c r="AD143" s="146"/>
      <c r="AE143" s="146"/>
    </row>
    <row r="144" spans="1:31" ht="54" customHeight="1" x14ac:dyDescent="0.25">
      <c r="A144" s="1"/>
      <c r="B144" s="189">
        <v>129</v>
      </c>
      <c r="C144" s="190" t="s">
        <v>1548</v>
      </c>
      <c r="D144" s="237" t="s">
        <v>2459</v>
      </c>
      <c r="E144" s="348" t="s">
        <v>1857</v>
      </c>
      <c r="F144" s="349"/>
      <c r="G144" s="349"/>
      <c r="H144" s="349"/>
      <c r="I144" s="349"/>
      <c r="J144" s="350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  <c r="AB144" s="146"/>
      <c r="AC144" s="146"/>
      <c r="AD144" s="146"/>
      <c r="AE144" s="146"/>
    </row>
    <row r="145" spans="1:31" ht="54" customHeight="1" x14ac:dyDescent="0.25">
      <c r="A145" s="1"/>
      <c r="B145" s="189">
        <v>130</v>
      </c>
      <c r="C145" s="190" t="s">
        <v>1550</v>
      </c>
      <c r="D145" s="237" t="s">
        <v>2460</v>
      </c>
      <c r="E145" s="348" t="s">
        <v>1864</v>
      </c>
      <c r="F145" s="349"/>
      <c r="G145" s="349"/>
      <c r="H145" s="349"/>
      <c r="I145" s="349"/>
      <c r="J145" s="350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  <c r="AB145" s="146"/>
      <c r="AC145" s="146"/>
      <c r="AD145" s="146"/>
      <c r="AE145" s="146"/>
    </row>
    <row r="146" spans="1:31" ht="54" customHeight="1" x14ac:dyDescent="0.25">
      <c r="A146" s="1"/>
      <c r="B146" s="189">
        <v>131</v>
      </c>
      <c r="C146" s="190" t="s">
        <v>1552</v>
      </c>
      <c r="D146" s="237" t="s">
        <v>2461</v>
      </c>
      <c r="E146" s="348" t="s">
        <v>1864</v>
      </c>
      <c r="F146" s="349"/>
      <c r="G146" s="349"/>
      <c r="H146" s="349"/>
      <c r="I146" s="349"/>
      <c r="J146" s="350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  <c r="AB146" s="146"/>
      <c r="AC146" s="146"/>
      <c r="AD146" s="146"/>
      <c r="AE146" s="146"/>
    </row>
    <row r="147" spans="1:31" ht="54" customHeight="1" x14ac:dyDescent="0.25">
      <c r="A147" s="1"/>
      <c r="B147" s="189">
        <v>132</v>
      </c>
      <c r="C147" s="190" t="s">
        <v>2192</v>
      </c>
      <c r="D147" s="237" t="s">
        <v>2462</v>
      </c>
      <c r="E147" s="348" t="s">
        <v>1861</v>
      </c>
      <c r="F147" s="349"/>
      <c r="G147" s="349"/>
      <c r="H147" s="349"/>
      <c r="I147" s="349"/>
      <c r="J147" s="350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  <c r="AB147" s="146"/>
      <c r="AC147" s="146"/>
      <c r="AD147" s="146"/>
      <c r="AE147" s="146"/>
    </row>
    <row r="148" spans="1:31" ht="54" customHeight="1" x14ac:dyDescent="0.25">
      <c r="A148" s="1"/>
      <c r="B148" s="189">
        <v>133</v>
      </c>
      <c r="C148" s="190" t="s">
        <v>1554</v>
      </c>
      <c r="D148" s="237" t="s">
        <v>2463</v>
      </c>
      <c r="E148" s="348" t="s">
        <v>1861</v>
      </c>
      <c r="F148" s="349"/>
      <c r="G148" s="349"/>
      <c r="H148" s="349"/>
      <c r="I148" s="349"/>
      <c r="J148" s="350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  <c r="AB148" s="146"/>
      <c r="AC148" s="146"/>
      <c r="AD148" s="146"/>
      <c r="AE148" s="146"/>
    </row>
    <row r="149" spans="1:31" ht="54" customHeight="1" x14ac:dyDescent="0.25">
      <c r="A149" s="1"/>
      <c r="B149" s="189">
        <v>134</v>
      </c>
      <c r="C149" s="190" t="s">
        <v>298</v>
      </c>
      <c r="D149" s="237" t="s">
        <v>2464</v>
      </c>
      <c r="E149" s="348" t="s">
        <v>1852</v>
      </c>
      <c r="F149" s="349"/>
      <c r="G149" s="349"/>
      <c r="H149" s="349"/>
      <c r="I149" s="349"/>
      <c r="J149" s="350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  <c r="AB149" s="146"/>
      <c r="AC149" s="146"/>
      <c r="AD149" s="146"/>
      <c r="AE149" s="146"/>
    </row>
    <row r="150" spans="1:31" ht="54" customHeight="1" x14ac:dyDescent="0.25">
      <c r="A150" s="1"/>
      <c r="B150" s="189">
        <v>135</v>
      </c>
      <c r="C150" s="190" t="s">
        <v>1558</v>
      </c>
      <c r="D150" s="237" t="s">
        <v>2465</v>
      </c>
      <c r="E150" s="348" t="s">
        <v>1861</v>
      </c>
      <c r="F150" s="349"/>
      <c r="G150" s="349"/>
      <c r="H150" s="349"/>
      <c r="I150" s="349"/>
      <c r="J150" s="350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  <c r="AB150" s="146"/>
      <c r="AC150" s="146"/>
      <c r="AD150" s="146"/>
      <c r="AE150" s="146"/>
    </row>
    <row r="151" spans="1:31" ht="54" customHeight="1" x14ac:dyDescent="0.25">
      <c r="A151" s="1"/>
      <c r="B151" s="189">
        <v>136</v>
      </c>
      <c r="C151" s="190" t="s">
        <v>1561</v>
      </c>
      <c r="D151" s="237" t="s">
        <v>2466</v>
      </c>
      <c r="E151" s="348" t="s">
        <v>1861</v>
      </c>
      <c r="F151" s="349"/>
      <c r="G151" s="349"/>
      <c r="H151" s="349"/>
      <c r="I151" s="349"/>
      <c r="J151" s="350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  <c r="AB151" s="146"/>
      <c r="AC151" s="146"/>
      <c r="AD151" s="146"/>
      <c r="AE151" s="146"/>
    </row>
    <row r="152" spans="1:31" ht="54" customHeight="1" x14ac:dyDescent="0.25">
      <c r="A152" s="1"/>
      <c r="B152" s="189">
        <v>137</v>
      </c>
      <c r="C152" s="190" t="s">
        <v>1564</v>
      </c>
      <c r="D152" s="237" t="s">
        <v>2467</v>
      </c>
      <c r="E152" s="348" t="s">
        <v>1861</v>
      </c>
      <c r="F152" s="349"/>
      <c r="G152" s="349"/>
      <c r="H152" s="349"/>
      <c r="I152" s="349"/>
      <c r="J152" s="350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  <c r="AB152" s="146"/>
      <c r="AC152" s="146"/>
      <c r="AD152" s="146"/>
      <c r="AE152" s="146"/>
    </row>
    <row r="153" spans="1:31" ht="54" customHeight="1" x14ac:dyDescent="0.25">
      <c r="A153" s="1"/>
      <c r="B153" s="189">
        <v>138</v>
      </c>
      <c r="C153" s="190" t="s">
        <v>1567</v>
      </c>
      <c r="D153" s="237" t="s">
        <v>2468</v>
      </c>
      <c r="E153" s="348" t="s">
        <v>1857</v>
      </c>
      <c r="F153" s="349"/>
      <c r="G153" s="349"/>
      <c r="H153" s="349"/>
      <c r="I153" s="349"/>
      <c r="J153" s="350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  <c r="AB153" s="146"/>
      <c r="AC153" s="146"/>
      <c r="AD153" s="146"/>
      <c r="AE153" s="146"/>
    </row>
    <row r="154" spans="1:31" ht="54" customHeight="1" x14ac:dyDescent="0.25">
      <c r="A154" s="1"/>
      <c r="B154" s="189">
        <v>139</v>
      </c>
      <c r="C154" s="190" t="s">
        <v>2194</v>
      </c>
      <c r="D154" s="237" t="s">
        <v>2469</v>
      </c>
      <c r="E154" s="348" t="s">
        <v>1857</v>
      </c>
      <c r="F154" s="349"/>
      <c r="G154" s="349"/>
      <c r="H154" s="349"/>
      <c r="I154" s="349"/>
      <c r="J154" s="350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  <c r="AB154" s="146"/>
      <c r="AC154" s="146"/>
      <c r="AD154" s="146"/>
      <c r="AE154" s="146"/>
    </row>
    <row r="155" spans="1:31" ht="54" customHeight="1" x14ac:dyDescent="0.25">
      <c r="A155" s="1"/>
      <c r="B155" s="189">
        <v>140</v>
      </c>
      <c r="C155" s="190" t="s">
        <v>2196</v>
      </c>
      <c r="D155" s="237" t="s">
        <v>2470</v>
      </c>
      <c r="E155" s="348" t="s">
        <v>1861</v>
      </c>
      <c r="F155" s="349"/>
      <c r="G155" s="349"/>
      <c r="H155" s="349"/>
      <c r="I155" s="349"/>
      <c r="J155" s="350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  <c r="AB155" s="146"/>
      <c r="AC155" s="146"/>
      <c r="AD155" s="146"/>
      <c r="AE155" s="146"/>
    </row>
    <row r="156" spans="1:31" ht="54" customHeight="1" x14ac:dyDescent="0.25">
      <c r="A156" s="1"/>
      <c r="B156" s="189">
        <v>141</v>
      </c>
      <c r="C156" s="190" t="s">
        <v>2198</v>
      </c>
      <c r="D156" s="237" t="s">
        <v>2471</v>
      </c>
      <c r="E156" s="348" t="s">
        <v>1861</v>
      </c>
      <c r="F156" s="349"/>
      <c r="G156" s="349"/>
      <c r="H156" s="349"/>
      <c r="I156" s="349"/>
      <c r="J156" s="350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  <c r="AB156" s="146"/>
      <c r="AC156" s="146"/>
      <c r="AD156" s="146"/>
      <c r="AE156" s="146"/>
    </row>
    <row r="157" spans="1:31" ht="54" customHeight="1" x14ac:dyDescent="0.25">
      <c r="A157" s="1"/>
      <c r="B157" s="189">
        <v>142</v>
      </c>
      <c r="C157" s="190" t="s">
        <v>2200</v>
      </c>
      <c r="D157" s="237" t="s">
        <v>2472</v>
      </c>
      <c r="E157" s="348" t="s">
        <v>1852</v>
      </c>
      <c r="F157" s="349"/>
      <c r="G157" s="349"/>
      <c r="H157" s="349"/>
      <c r="I157" s="349"/>
      <c r="J157" s="350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  <c r="AB157" s="146"/>
      <c r="AC157" s="146"/>
      <c r="AD157" s="146"/>
      <c r="AE157" s="146"/>
    </row>
    <row r="158" spans="1:31" ht="54" customHeight="1" x14ac:dyDescent="0.25">
      <c r="A158" s="1"/>
      <c r="B158" s="189">
        <v>143</v>
      </c>
      <c r="C158" s="190" t="s">
        <v>2202</v>
      </c>
      <c r="D158" s="237" t="s">
        <v>2473</v>
      </c>
      <c r="E158" s="348" t="s">
        <v>1852</v>
      </c>
      <c r="F158" s="349"/>
      <c r="G158" s="349"/>
      <c r="H158" s="349"/>
      <c r="I158" s="349"/>
      <c r="J158" s="350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  <c r="AB158" s="146"/>
      <c r="AC158" s="146"/>
      <c r="AD158" s="146"/>
      <c r="AE158" s="146"/>
    </row>
    <row r="159" spans="1:31" ht="54" customHeight="1" x14ac:dyDescent="0.25">
      <c r="A159" s="1"/>
      <c r="B159" s="189">
        <v>144</v>
      </c>
      <c r="C159" s="190" t="s">
        <v>1571</v>
      </c>
      <c r="D159" s="237" t="s">
        <v>2474</v>
      </c>
      <c r="E159" s="348" t="s">
        <v>1861</v>
      </c>
      <c r="F159" s="349"/>
      <c r="G159" s="349"/>
      <c r="H159" s="349"/>
      <c r="I159" s="349"/>
      <c r="J159" s="350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  <c r="AB159" s="146"/>
      <c r="AC159" s="146"/>
      <c r="AD159" s="146"/>
      <c r="AE159" s="146"/>
    </row>
    <row r="160" spans="1:31" ht="54" customHeight="1" x14ac:dyDescent="0.25">
      <c r="A160" s="1"/>
      <c r="B160" s="189">
        <v>145</v>
      </c>
      <c r="C160" s="190" t="s">
        <v>1574</v>
      </c>
      <c r="D160" s="237" t="s">
        <v>2475</v>
      </c>
      <c r="E160" s="348" t="s">
        <v>1861</v>
      </c>
      <c r="F160" s="349"/>
      <c r="G160" s="349"/>
      <c r="H160" s="349"/>
      <c r="I160" s="349"/>
      <c r="J160" s="350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  <c r="AB160" s="146"/>
      <c r="AC160" s="146"/>
      <c r="AD160" s="146"/>
      <c r="AE160" s="146"/>
    </row>
    <row r="161" spans="1:31" ht="54" customHeight="1" x14ac:dyDescent="0.25">
      <c r="A161" s="1"/>
      <c r="B161" s="189">
        <v>146</v>
      </c>
      <c r="C161" s="190" t="s">
        <v>1599</v>
      </c>
      <c r="D161" s="237" t="s">
        <v>2476</v>
      </c>
      <c r="E161" s="348" t="s">
        <v>1857</v>
      </c>
      <c r="F161" s="349"/>
      <c r="G161" s="349"/>
      <c r="H161" s="349"/>
      <c r="I161" s="349"/>
      <c r="J161" s="350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  <c r="AB161" s="146"/>
      <c r="AC161" s="146"/>
      <c r="AD161" s="146"/>
      <c r="AE161" s="146"/>
    </row>
    <row r="162" spans="1:31" ht="54" customHeight="1" x14ac:dyDescent="0.25">
      <c r="A162" s="1"/>
      <c r="B162" s="189">
        <v>147</v>
      </c>
      <c r="C162" s="190" t="s">
        <v>1601</v>
      </c>
      <c r="D162" s="237" t="s">
        <v>2477</v>
      </c>
      <c r="E162" s="348" t="s">
        <v>1852</v>
      </c>
      <c r="F162" s="349"/>
      <c r="G162" s="349"/>
      <c r="H162" s="349"/>
      <c r="I162" s="349"/>
      <c r="J162" s="350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  <c r="AB162" s="146"/>
      <c r="AC162" s="146"/>
      <c r="AD162" s="146"/>
      <c r="AE162" s="146"/>
    </row>
    <row r="163" spans="1:31" ht="54" customHeight="1" x14ac:dyDescent="0.25">
      <c r="A163" s="1"/>
      <c r="B163" s="189">
        <v>148</v>
      </c>
      <c r="C163" s="190" t="s">
        <v>1613</v>
      </c>
      <c r="D163" s="237" t="s">
        <v>2478</v>
      </c>
      <c r="E163" s="348" t="s">
        <v>1852</v>
      </c>
      <c r="F163" s="349"/>
      <c r="G163" s="349"/>
      <c r="H163" s="349"/>
      <c r="I163" s="349"/>
      <c r="J163" s="350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  <c r="AB163" s="146"/>
      <c r="AC163" s="146"/>
      <c r="AD163" s="146"/>
      <c r="AE163" s="146"/>
    </row>
    <row r="164" spans="1:31" ht="54" customHeight="1" x14ac:dyDescent="0.25">
      <c r="A164" s="1"/>
      <c r="B164" s="189">
        <v>149</v>
      </c>
      <c r="C164" s="190" t="s">
        <v>1622</v>
      </c>
      <c r="D164" s="237" t="s">
        <v>2479</v>
      </c>
      <c r="E164" s="348" t="s">
        <v>1861</v>
      </c>
      <c r="F164" s="349"/>
      <c r="G164" s="349"/>
      <c r="H164" s="349"/>
      <c r="I164" s="349"/>
      <c r="J164" s="350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  <c r="AB164" s="146"/>
      <c r="AC164" s="146"/>
      <c r="AD164" s="146"/>
      <c r="AE164" s="146"/>
    </row>
    <row r="165" spans="1:31" ht="54" customHeight="1" x14ac:dyDescent="0.25">
      <c r="A165" s="1"/>
      <c r="B165" s="189">
        <v>150</v>
      </c>
      <c r="C165" s="190" t="s">
        <v>300</v>
      </c>
      <c r="D165" s="237" t="s">
        <v>2480</v>
      </c>
      <c r="E165" s="348" t="s">
        <v>1852</v>
      </c>
      <c r="F165" s="349"/>
      <c r="G165" s="349"/>
      <c r="H165" s="349"/>
      <c r="I165" s="349"/>
      <c r="J165" s="350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  <c r="AB165" s="146"/>
      <c r="AC165" s="146"/>
      <c r="AD165" s="146"/>
      <c r="AE165" s="146"/>
    </row>
    <row r="166" spans="1:31" ht="54" customHeight="1" x14ac:dyDescent="0.25">
      <c r="A166" s="1"/>
      <c r="B166" s="189">
        <v>151</v>
      </c>
      <c r="C166" s="190" t="s">
        <v>2214</v>
      </c>
      <c r="D166" s="237" t="s">
        <v>2481</v>
      </c>
      <c r="E166" s="348" t="s">
        <v>1861</v>
      </c>
      <c r="F166" s="349"/>
      <c r="G166" s="349"/>
      <c r="H166" s="349"/>
      <c r="I166" s="349"/>
      <c r="J166" s="350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  <c r="AB166" s="146"/>
      <c r="AC166" s="146"/>
      <c r="AD166" s="146"/>
      <c r="AE166" s="146"/>
    </row>
    <row r="167" spans="1:31" ht="54" customHeight="1" x14ac:dyDescent="0.25">
      <c r="A167" s="1"/>
      <c r="B167" s="189">
        <v>152</v>
      </c>
      <c r="C167" s="190" t="s">
        <v>1638</v>
      </c>
      <c r="D167" s="237" t="s">
        <v>2482</v>
      </c>
      <c r="E167" s="348" t="s">
        <v>1857</v>
      </c>
      <c r="F167" s="349"/>
      <c r="G167" s="349"/>
      <c r="H167" s="349"/>
      <c r="I167" s="349"/>
      <c r="J167" s="350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  <c r="AB167" s="146"/>
      <c r="AC167" s="146"/>
      <c r="AD167" s="146"/>
      <c r="AE167" s="146"/>
    </row>
    <row r="168" spans="1:31" ht="54" customHeight="1" x14ac:dyDescent="0.25">
      <c r="A168" s="1"/>
      <c r="B168" s="189">
        <v>153</v>
      </c>
      <c r="C168" s="190" t="s">
        <v>1640</v>
      </c>
      <c r="D168" s="237" t="s">
        <v>2483</v>
      </c>
      <c r="E168" s="348" t="s">
        <v>1857</v>
      </c>
      <c r="F168" s="349"/>
      <c r="G168" s="349"/>
      <c r="H168" s="349"/>
      <c r="I168" s="349"/>
      <c r="J168" s="350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  <c r="AB168" s="146"/>
      <c r="AC168" s="146"/>
      <c r="AD168" s="146"/>
      <c r="AE168" s="146"/>
    </row>
    <row r="169" spans="1:31" ht="54" customHeight="1" x14ac:dyDescent="0.25">
      <c r="A169" s="1"/>
      <c r="B169" s="189">
        <v>154</v>
      </c>
      <c r="C169" s="190" t="s">
        <v>1925</v>
      </c>
      <c r="D169" s="237" t="s">
        <v>2484</v>
      </c>
      <c r="E169" s="348" t="s">
        <v>1861</v>
      </c>
      <c r="F169" s="349"/>
      <c r="G169" s="349"/>
      <c r="H169" s="349"/>
      <c r="I169" s="349"/>
      <c r="J169" s="350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  <c r="AB169" s="146"/>
      <c r="AC169" s="146"/>
      <c r="AD169" s="146"/>
      <c r="AE169" s="146"/>
    </row>
    <row r="170" spans="1:31" ht="54" customHeight="1" x14ac:dyDescent="0.25">
      <c r="A170" s="1"/>
      <c r="B170" s="189">
        <v>155</v>
      </c>
      <c r="C170" s="190" t="s">
        <v>1628</v>
      </c>
      <c r="D170" s="237" t="s">
        <v>2485</v>
      </c>
      <c r="E170" s="348" t="s">
        <v>1857</v>
      </c>
      <c r="F170" s="349"/>
      <c r="G170" s="349"/>
      <c r="H170" s="349"/>
      <c r="I170" s="349"/>
      <c r="J170" s="350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  <c r="AB170" s="146"/>
      <c r="AC170" s="146"/>
      <c r="AD170" s="146"/>
      <c r="AE170" s="146"/>
    </row>
    <row r="171" spans="1:31" ht="54" customHeight="1" x14ac:dyDescent="0.25">
      <c r="A171" s="1"/>
      <c r="B171" s="189">
        <v>156</v>
      </c>
      <c r="C171" s="190" t="s">
        <v>1630</v>
      </c>
      <c r="D171" s="237" t="s">
        <v>2486</v>
      </c>
      <c r="E171" s="348" t="s">
        <v>1861</v>
      </c>
      <c r="F171" s="349"/>
      <c r="G171" s="349"/>
      <c r="H171" s="349"/>
      <c r="I171" s="349"/>
      <c r="J171" s="350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  <c r="AB171" s="146"/>
      <c r="AC171" s="146"/>
      <c r="AD171" s="146"/>
      <c r="AE171" s="146"/>
    </row>
    <row r="172" spans="1:31" ht="54" customHeight="1" x14ac:dyDescent="0.25">
      <c r="A172" s="1"/>
      <c r="B172" s="189">
        <v>157</v>
      </c>
      <c r="C172" s="190" t="s">
        <v>1634</v>
      </c>
      <c r="D172" s="237" t="s">
        <v>2487</v>
      </c>
      <c r="E172" s="348" t="s">
        <v>1857</v>
      </c>
      <c r="F172" s="349"/>
      <c r="G172" s="349"/>
      <c r="H172" s="349"/>
      <c r="I172" s="349"/>
      <c r="J172" s="350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  <c r="AB172" s="146"/>
      <c r="AC172" s="146"/>
      <c r="AD172" s="146"/>
      <c r="AE172" s="146"/>
    </row>
    <row r="173" spans="1:31" ht="54" customHeight="1" x14ac:dyDescent="0.25">
      <c r="A173" s="1"/>
      <c r="B173" s="189">
        <v>158</v>
      </c>
      <c r="C173" s="190" t="s">
        <v>389</v>
      </c>
      <c r="D173" s="237" t="s">
        <v>2488</v>
      </c>
      <c r="E173" s="348" t="s">
        <v>1852</v>
      </c>
      <c r="F173" s="349"/>
      <c r="G173" s="349"/>
      <c r="H173" s="349"/>
      <c r="I173" s="349"/>
      <c r="J173" s="350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  <c r="AB173" s="146"/>
      <c r="AC173" s="146"/>
      <c r="AD173" s="146"/>
      <c r="AE173" s="146"/>
    </row>
    <row r="174" spans="1:31" ht="54" customHeight="1" x14ac:dyDescent="0.25">
      <c r="A174" s="1"/>
      <c r="B174" s="189">
        <v>159</v>
      </c>
      <c r="C174" s="190" t="s">
        <v>585</v>
      </c>
      <c r="D174" s="237" t="s">
        <v>2489</v>
      </c>
      <c r="E174" s="348" t="s">
        <v>1852</v>
      </c>
      <c r="F174" s="349"/>
      <c r="G174" s="349"/>
      <c r="H174" s="349"/>
      <c r="I174" s="349"/>
      <c r="J174" s="350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  <c r="AB174" s="146"/>
      <c r="AC174" s="146"/>
      <c r="AD174" s="146"/>
      <c r="AE174" s="146"/>
    </row>
    <row r="175" spans="1:31" ht="54" customHeight="1" x14ac:dyDescent="0.25">
      <c r="A175" s="1"/>
      <c r="B175" s="189">
        <v>160</v>
      </c>
      <c r="C175" s="190" t="s">
        <v>302</v>
      </c>
      <c r="D175" s="237" t="s">
        <v>2490</v>
      </c>
      <c r="E175" s="348" t="s">
        <v>1861</v>
      </c>
      <c r="F175" s="349"/>
      <c r="G175" s="349"/>
      <c r="H175" s="349"/>
      <c r="I175" s="349"/>
      <c r="J175" s="350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  <c r="AB175" s="146"/>
      <c r="AC175" s="146"/>
      <c r="AD175" s="146"/>
      <c r="AE175" s="146"/>
    </row>
    <row r="176" spans="1:31" ht="54" customHeight="1" x14ac:dyDescent="0.25">
      <c r="A176" s="1"/>
      <c r="B176" s="189">
        <v>161</v>
      </c>
      <c r="C176" s="190" t="s">
        <v>304</v>
      </c>
      <c r="D176" s="237" t="s">
        <v>2491</v>
      </c>
      <c r="E176" s="348" t="s">
        <v>1861</v>
      </c>
      <c r="F176" s="349"/>
      <c r="G176" s="349"/>
      <c r="H176" s="349"/>
      <c r="I176" s="349"/>
      <c r="J176" s="350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  <c r="AB176" s="146"/>
      <c r="AC176" s="146"/>
      <c r="AD176" s="146"/>
      <c r="AE176" s="146"/>
    </row>
    <row r="177" spans="1:31" ht="54" customHeight="1" x14ac:dyDescent="0.25">
      <c r="A177" s="1"/>
      <c r="B177" s="189">
        <v>162</v>
      </c>
      <c r="C177" s="190" t="s">
        <v>1670</v>
      </c>
      <c r="D177" s="237" t="s">
        <v>2492</v>
      </c>
      <c r="E177" s="348" t="s">
        <v>1861</v>
      </c>
      <c r="F177" s="349"/>
      <c r="G177" s="349"/>
      <c r="H177" s="349"/>
      <c r="I177" s="349"/>
      <c r="J177" s="350"/>
      <c r="K177" s="146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  <c r="AA177" s="146"/>
      <c r="AB177" s="146"/>
      <c r="AC177" s="146"/>
      <c r="AD177" s="146"/>
      <c r="AE177" s="146"/>
    </row>
    <row r="178" spans="1:31" ht="54" customHeight="1" x14ac:dyDescent="0.25">
      <c r="A178" s="1"/>
      <c r="B178" s="189">
        <v>163</v>
      </c>
      <c r="C178" s="190" t="s">
        <v>1749</v>
      </c>
      <c r="D178" s="237" t="s">
        <v>2493</v>
      </c>
      <c r="E178" s="348" t="s">
        <v>1857</v>
      </c>
      <c r="F178" s="349"/>
      <c r="G178" s="349"/>
      <c r="H178" s="349"/>
      <c r="I178" s="349"/>
      <c r="J178" s="350"/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  <c r="AB178" s="146"/>
      <c r="AC178" s="146"/>
      <c r="AD178" s="146"/>
      <c r="AE178" s="146"/>
    </row>
    <row r="179" spans="1:31" ht="54" customHeight="1" x14ac:dyDescent="0.25">
      <c r="A179" s="1"/>
      <c r="B179" s="189">
        <v>164</v>
      </c>
      <c r="C179" s="190" t="s">
        <v>1745</v>
      </c>
      <c r="D179" s="237" t="s">
        <v>2494</v>
      </c>
      <c r="E179" s="348" t="s">
        <v>1861</v>
      </c>
      <c r="F179" s="349"/>
      <c r="G179" s="349"/>
      <c r="H179" s="349"/>
      <c r="I179" s="349"/>
      <c r="J179" s="350"/>
      <c r="K179" s="146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  <c r="AB179" s="146"/>
      <c r="AC179" s="146"/>
      <c r="AD179" s="146"/>
      <c r="AE179" s="146"/>
    </row>
    <row r="180" spans="1:31" ht="54" customHeight="1" x14ac:dyDescent="0.25">
      <c r="A180" s="1"/>
      <c r="B180" s="189">
        <v>165</v>
      </c>
      <c r="C180" s="190" t="s">
        <v>1743</v>
      </c>
      <c r="D180" s="237" t="s">
        <v>2495</v>
      </c>
      <c r="E180" s="348" t="s">
        <v>1861</v>
      </c>
      <c r="F180" s="349"/>
      <c r="G180" s="349"/>
      <c r="H180" s="349"/>
      <c r="I180" s="349"/>
      <c r="J180" s="350"/>
      <c r="K180" s="146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  <c r="AB180" s="146"/>
      <c r="AC180" s="146"/>
      <c r="AD180" s="146"/>
      <c r="AE180" s="146"/>
    </row>
    <row r="181" spans="1:31" ht="54" customHeight="1" x14ac:dyDescent="0.25">
      <c r="A181" s="1"/>
      <c r="B181" s="189">
        <v>166</v>
      </c>
      <c r="C181" s="190" t="s">
        <v>1742</v>
      </c>
      <c r="D181" s="237" t="s">
        <v>2496</v>
      </c>
      <c r="E181" s="348" t="s">
        <v>1857</v>
      </c>
      <c r="F181" s="349"/>
      <c r="G181" s="349"/>
      <c r="H181" s="349"/>
      <c r="I181" s="349"/>
      <c r="J181" s="350"/>
      <c r="K181" s="146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  <c r="AB181" s="146"/>
      <c r="AC181" s="146"/>
      <c r="AD181" s="146"/>
      <c r="AE181" s="146"/>
    </row>
    <row r="182" spans="1:31" ht="54" customHeight="1" x14ac:dyDescent="0.25">
      <c r="A182" s="1"/>
      <c r="B182" s="189">
        <v>167</v>
      </c>
      <c r="C182" s="190" t="s">
        <v>1740</v>
      </c>
      <c r="D182" s="237" t="s">
        <v>2497</v>
      </c>
      <c r="E182" s="348" t="s">
        <v>1861</v>
      </c>
      <c r="F182" s="349"/>
      <c r="G182" s="349"/>
      <c r="H182" s="349"/>
      <c r="I182" s="349"/>
      <c r="J182" s="350"/>
      <c r="K182" s="146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  <c r="AA182" s="146"/>
      <c r="AB182" s="146"/>
      <c r="AC182" s="146"/>
      <c r="AD182" s="146"/>
      <c r="AE182" s="146"/>
    </row>
    <row r="183" spans="1:31" ht="54" customHeight="1" x14ac:dyDescent="0.25">
      <c r="A183" s="1"/>
      <c r="B183" s="189">
        <v>168</v>
      </c>
      <c r="C183" s="190" t="s">
        <v>1738</v>
      </c>
      <c r="D183" s="237" t="s">
        <v>2498</v>
      </c>
      <c r="E183" s="348" t="s">
        <v>1861</v>
      </c>
      <c r="F183" s="349"/>
      <c r="G183" s="349"/>
      <c r="H183" s="349"/>
      <c r="I183" s="349"/>
      <c r="J183" s="350"/>
      <c r="K183" s="146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  <c r="AB183" s="146"/>
      <c r="AC183" s="146"/>
      <c r="AD183" s="146"/>
      <c r="AE183" s="146"/>
    </row>
    <row r="184" spans="1:31" ht="54" customHeight="1" x14ac:dyDescent="0.25">
      <c r="A184" s="1"/>
      <c r="B184" s="189">
        <v>169</v>
      </c>
      <c r="C184" s="190" t="s">
        <v>1736</v>
      </c>
      <c r="D184" s="237" t="s">
        <v>2499</v>
      </c>
      <c r="E184" s="348" t="s">
        <v>1861</v>
      </c>
      <c r="F184" s="349"/>
      <c r="G184" s="349"/>
      <c r="H184" s="349"/>
      <c r="I184" s="349"/>
      <c r="J184" s="350"/>
      <c r="K184" s="146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  <c r="AB184" s="146"/>
      <c r="AC184" s="146"/>
      <c r="AD184" s="146"/>
      <c r="AE184" s="146"/>
    </row>
    <row r="185" spans="1:31" ht="54" customHeight="1" x14ac:dyDescent="0.25">
      <c r="A185" s="1"/>
      <c r="B185" s="189">
        <v>170</v>
      </c>
      <c r="C185" s="190" t="s">
        <v>1734</v>
      </c>
      <c r="D185" s="237" t="s">
        <v>2500</v>
      </c>
      <c r="E185" s="348" t="s">
        <v>1861</v>
      </c>
      <c r="F185" s="349"/>
      <c r="G185" s="349"/>
      <c r="H185" s="349"/>
      <c r="I185" s="349"/>
      <c r="J185" s="350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  <c r="AB185" s="146"/>
      <c r="AC185" s="146"/>
      <c r="AD185" s="146"/>
      <c r="AE185" s="146"/>
    </row>
    <row r="186" spans="1:31" ht="54" customHeight="1" x14ac:dyDescent="0.25">
      <c r="A186" s="1"/>
      <c r="B186" s="189">
        <v>171</v>
      </c>
      <c r="C186" s="190" t="s">
        <v>1732</v>
      </c>
      <c r="D186" s="237" t="s">
        <v>2501</v>
      </c>
      <c r="E186" s="348" t="s">
        <v>1861</v>
      </c>
      <c r="F186" s="349"/>
      <c r="G186" s="349"/>
      <c r="H186" s="349"/>
      <c r="I186" s="349"/>
      <c r="J186" s="350"/>
      <c r="K186" s="146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  <c r="AA186" s="146"/>
      <c r="AB186" s="146"/>
      <c r="AC186" s="146"/>
      <c r="AD186" s="146"/>
      <c r="AE186" s="146"/>
    </row>
    <row r="187" spans="1:31" ht="54" customHeight="1" x14ac:dyDescent="0.25">
      <c r="A187" s="1"/>
      <c r="B187" s="189">
        <v>172</v>
      </c>
      <c r="C187" s="190" t="s">
        <v>1730</v>
      </c>
      <c r="D187" s="237" t="s">
        <v>2502</v>
      </c>
      <c r="E187" s="348" t="s">
        <v>1861</v>
      </c>
      <c r="F187" s="349"/>
      <c r="G187" s="349"/>
      <c r="H187" s="349"/>
      <c r="I187" s="349"/>
      <c r="J187" s="350"/>
      <c r="K187" s="146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  <c r="AA187" s="146"/>
      <c r="AB187" s="146"/>
      <c r="AC187" s="146"/>
      <c r="AD187" s="146"/>
      <c r="AE187" s="146"/>
    </row>
    <row r="188" spans="1:31" ht="54" customHeight="1" x14ac:dyDescent="0.25">
      <c r="A188" s="1"/>
      <c r="B188" s="189">
        <v>173</v>
      </c>
      <c r="C188" s="190" t="s">
        <v>1728</v>
      </c>
      <c r="D188" s="237" t="s">
        <v>2503</v>
      </c>
      <c r="E188" s="348" t="s">
        <v>1861</v>
      </c>
      <c r="F188" s="349"/>
      <c r="G188" s="349"/>
      <c r="H188" s="349"/>
      <c r="I188" s="349"/>
      <c r="J188" s="350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  <c r="AA188" s="146"/>
      <c r="AB188" s="146"/>
      <c r="AC188" s="146"/>
      <c r="AD188" s="146"/>
      <c r="AE188" s="146"/>
    </row>
    <row r="189" spans="1:31" ht="54" customHeight="1" x14ac:dyDescent="0.25">
      <c r="A189" s="1"/>
      <c r="B189" s="189">
        <v>174</v>
      </c>
      <c r="C189" s="190" t="s">
        <v>1722</v>
      </c>
      <c r="D189" s="237" t="s">
        <v>2504</v>
      </c>
      <c r="E189" s="348" t="s">
        <v>1852</v>
      </c>
      <c r="F189" s="349"/>
      <c r="G189" s="349"/>
      <c r="H189" s="349"/>
      <c r="I189" s="349"/>
      <c r="J189" s="350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  <c r="AA189" s="146"/>
      <c r="AB189" s="146"/>
      <c r="AC189" s="146"/>
      <c r="AD189" s="146"/>
      <c r="AE189" s="146"/>
    </row>
    <row r="190" spans="1:31" ht="54" customHeight="1" x14ac:dyDescent="0.25">
      <c r="A190" s="1"/>
      <c r="B190" s="189">
        <v>175</v>
      </c>
      <c r="C190" s="190" t="s">
        <v>1726</v>
      </c>
      <c r="D190" s="237" t="s">
        <v>2505</v>
      </c>
      <c r="E190" s="348" t="s">
        <v>1852</v>
      </c>
      <c r="F190" s="349"/>
      <c r="G190" s="349"/>
      <c r="H190" s="349"/>
      <c r="I190" s="349"/>
      <c r="J190" s="350"/>
      <c r="K190" s="146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  <c r="AA190" s="146"/>
      <c r="AB190" s="146"/>
      <c r="AC190" s="146"/>
      <c r="AD190" s="146"/>
      <c r="AE190" s="146"/>
    </row>
    <row r="191" spans="1:31" ht="54" customHeight="1" x14ac:dyDescent="0.25">
      <c r="A191" s="1"/>
      <c r="B191" s="189">
        <v>176</v>
      </c>
      <c r="C191" s="190" t="s">
        <v>1720</v>
      </c>
      <c r="D191" s="237" t="s">
        <v>2506</v>
      </c>
      <c r="E191" s="348" t="s">
        <v>1852</v>
      </c>
      <c r="F191" s="349"/>
      <c r="G191" s="349"/>
      <c r="H191" s="349"/>
      <c r="I191" s="349"/>
      <c r="J191" s="350"/>
      <c r="K191" s="146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  <c r="AA191" s="146"/>
      <c r="AB191" s="146"/>
      <c r="AC191" s="146"/>
      <c r="AD191" s="146"/>
      <c r="AE191" s="146"/>
    </row>
    <row r="192" spans="1:31" ht="54" customHeight="1" x14ac:dyDescent="0.25">
      <c r="A192" s="1"/>
      <c r="B192" s="189">
        <v>177</v>
      </c>
      <c r="C192" s="190" t="s">
        <v>1718</v>
      </c>
      <c r="D192" s="237" t="s">
        <v>2507</v>
      </c>
      <c r="E192" s="348" t="s">
        <v>1852</v>
      </c>
      <c r="F192" s="349"/>
      <c r="G192" s="349"/>
      <c r="H192" s="349"/>
      <c r="I192" s="349"/>
      <c r="J192" s="350"/>
      <c r="K192" s="146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  <c r="AA192" s="146"/>
      <c r="AB192" s="146"/>
      <c r="AC192" s="146"/>
      <c r="AD192" s="146"/>
      <c r="AE192" s="146"/>
    </row>
    <row r="193" spans="1:31" ht="54" customHeight="1" x14ac:dyDescent="0.25">
      <c r="A193" s="1"/>
      <c r="B193" s="189">
        <v>178</v>
      </c>
      <c r="C193" s="190" t="s">
        <v>1705</v>
      </c>
      <c r="D193" s="237" t="s">
        <v>2508</v>
      </c>
      <c r="E193" s="348" t="s">
        <v>1857</v>
      </c>
      <c r="F193" s="349"/>
      <c r="G193" s="349"/>
      <c r="H193" s="349"/>
      <c r="I193" s="349"/>
      <c r="J193" s="350"/>
      <c r="K193" s="146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  <c r="AA193" s="146"/>
      <c r="AB193" s="146"/>
      <c r="AC193" s="146"/>
      <c r="AD193" s="146"/>
      <c r="AE193" s="146"/>
    </row>
    <row r="194" spans="1:31" ht="54" customHeight="1" x14ac:dyDescent="0.25">
      <c r="A194" s="1"/>
      <c r="B194" s="189">
        <v>179</v>
      </c>
      <c r="C194" s="190" t="s">
        <v>1704</v>
      </c>
      <c r="D194" s="237" t="s">
        <v>2509</v>
      </c>
      <c r="E194" s="348" t="s">
        <v>1857</v>
      </c>
      <c r="F194" s="349"/>
      <c r="G194" s="349"/>
      <c r="H194" s="349"/>
      <c r="I194" s="349"/>
      <c r="J194" s="350"/>
      <c r="K194" s="146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  <c r="AA194" s="146"/>
      <c r="AB194" s="146"/>
      <c r="AC194" s="146"/>
      <c r="AD194" s="146"/>
      <c r="AE194" s="146"/>
    </row>
    <row r="195" spans="1:31" ht="54" customHeight="1" x14ac:dyDescent="0.25">
      <c r="A195" s="1"/>
      <c r="B195" s="189">
        <v>180</v>
      </c>
      <c r="C195" s="190" t="s">
        <v>1702</v>
      </c>
      <c r="D195" s="237" t="s">
        <v>2510</v>
      </c>
      <c r="E195" s="348" t="s">
        <v>1861</v>
      </c>
      <c r="F195" s="349"/>
      <c r="G195" s="349"/>
      <c r="H195" s="349"/>
      <c r="I195" s="349"/>
      <c r="J195" s="350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  <c r="AB195" s="146"/>
      <c r="AC195" s="146"/>
      <c r="AD195" s="146"/>
      <c r="AE195" s="146"/>
    </row>
    <row r="196" spans="1:31" ht="54" customHeight="1" x14ac:dyDescent="0.25">
      <c r="A196" s="1"/>
      <c r="B196" s="189">
        <v>181</v>
      </c>
      <c r="C196" s="190" t="s">
        <v>1700</v>
      </c>
      <c r="D196" s="237" t="s">
        <v>2511</v>
      </c>
      <c r="E196" s="348" t="s">
        <v>1861</v>
      </c>
      <c r="F196" s="349"/>
      <c r="G196" s="349"/>
      <c r="H196" s="349"/>
      <c r="I196" s="349"/>
      <c r="J196" s="350"/>
      <c r="K196" s="146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  <c r="AA196" s="146"/>
      <c r="AB196" s="146"/>
      <c r="AC196" s="146"/>
      <c r="AD196" s="146"/>
      <c r="AE196" s="146"/>
    </row>
    <row r="197" spans="1:31" ht="54" customHeight="1" x14ac:dyDescent="0.25">
      <c r="A197" s="1"/>
      <c r="B197" s="189">
        <v>182</v>
      </c>
      <c r="C197" s="190" t="s">
        <v>1698</v>
      </c>
      <c r="D197" s="237" t="s">
        <v>2512</v>
      </c>
      <c r="E197" s="348" t="s">
        <v>1861</v>
      </c>
      <c r="F197" s="349"/>
      <c r="G197" s="349"/>
      <c r="H197" s="349"/>
      <c r="I197" s="349"/>
      <c r="J197" s="350"/>
      <c r="K197" s="146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  <c r="AA197" s="146"/>
      <c r="AB197" s="146"/>
      <c r="AC197" s="146"/>
      <c r="AD197" s="146"/>
      <c r="AE197" s="146"/>
    </row>
    <row r="198" spans="1:31" ht="54" customHeight="1" x14ac:dyDescent="0.25">
      <c r="A198" s="1"/>
      <c r="B198" s="189">
        <v>183</v>
      </c>
      <c r="C198" s="190" t="s">
        <v>1696</v>
      </c>
      <c r="D198" s="237" t="s">
        <v>2513</v>
      </c>
      <c r="E198" s="348" t="s">
        <v>1861</v>
      </c>
      <c r="F198" s="349"/>
      <c r="G198" s="349"/>
      <c r="H198" s="349"/>
      <c r="I198" s="349"/>
      <c r="J198" s="350"/>
      <c r="K198" s="146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  <c r="AA198" s="146"/>
      <c r="AB198" s="146"/>
      <c r="AC198" s="146"/>
      <c r="AD198" s="146"/>
      <c r="AE198" s="146"/>
    </row>
    <row r="199" spans="1:31" ht="54" customHeight="1" x14ac:dyDescent="0.25">
      <c r="A199" s="1"/>
      <c r="B199" s="189">
        <v>184</v>
      </c>
      <c r="C199" s="190" t="s">
        <v>1694</v>
      </c>
      <c r="D199" s="237" t="s">
        <v>2514</v>
      </c>
      <c r="E199" s="348" t="s">
        <v>1861</v>
      </c>
      <c r="F199" s="349"/>
      <c r="G199" s="349"/>
      <c r="H199" s="349"/>
      <c r="I199" s="349"/>
      <c r="J199" s="350"/>
      <c r="K199" s="146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  <c r="AA199" s="146"/>
      <c r="AB199" s="146"/>
      <c r="AC199" s="146"/>
      <c r="AD199" s="146"/>
      <c r="AE199" s="146"/>
    </row>
    <row r="200" spans="1:31" ht="54" customHeight="1" x14ac:dyDescent="0.25">
      <c r="A200" s="1"/>
      <c r="B200" s="189">
        <v>185</v>
      </c>
      <c r="C200" s="190" t="s">
        <v>1692</v>
      </c>
      <c r="D200" s="237" t="s">
        <v>2515</v>
      </c>
      <c r="E200" s="348" t="s">
        <v>1862</v>
      </c>
      <c r="F200" s="349"/>
      <c r="G200" s="349"/>
      <c r="H200" s="349"/>
      <c r="I200" s="349"/>
      <c r="J200" s="350"/>
      <c r="K200" s="146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  <c r="AA200" s="146"/>
      <c r="AB200" s="146"/>
      <c r="AC200" s="146"/>
      <c r="AD200" s="146"/>
      <c r="AE200" s="146"/>
    </row>
    <row r="201" spans="1:31" ht="54" customHeight="1" x14ac:dyDescent="0.25">
      <c r="A201" s="1"/>
      <c r="B201" s="189">
        <v>186</v>
      </c>
      <c r="C201" s="190" t="s">
        <v>1690</v>
      </c>
      <c r="D201" s="237" t="s">
        <v>2516</v>
      </c>
      <c r="E201" s="348" t="s">
        <v>1862</v>
      </c>
      <c r="F201" s="349"/>
      <c r="G201" s="349"/>
      <c r="H201" s="349"/>
      <c r="I201" s="349"/>
      <c r="J201" s="350"/>
      <c r="K201" s="146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  <c r="AA201" s="146"/>
      <c r="AB201" s="146"/>
      <c r="AC201" s="146"/>
      <c r="AD201" s="146"/>
      <c r="AE201" s="146"/>
    </row>
    <row r="202" spans="1:31" ht="54" customHeight="1" x14ac:dyDescent="0.25">
      <c r="A202" s="1"/>
      <c r="B202" s="189">
        <v>187</v>
      </c>
      <c r="C202" s="190" t="s">
        <v>1688</v>
      </c>
      <c r="D202" s="237" t="s">
        <v>2517</v>
      </c>
      <c r="E202" s="348" t="s">
        <v>1861</v>
      </c>
      <c r="F202" s="349"/>
      <c r="G202" s="349"/>
      <c r="H202" s="349"/>
      <c r="I202" s="349"/>
      <c r="J202" s="350"/>
      <c r="K202" s="146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  <c r="AA202" s="146"/>
      <c r="AB202" s="146"/>
      <c r="AC202" s="146"/>
      <c r="AD202" s="146"/>
      <c r="AE202" s="146"/>
    </row>
    <row r="203" spans="1:31" ht="54" customHeight="1" x14ac:dyDescent="0.25">
      <c r="A203" s="1"/>
      <c r="B203" s="189">
        <v>188</v>
      </c>
      <c r="C203" s="190" t="s">
        <v>1686</v>
      </c>
      <c r="D203" s="237" t="s">
        <v>2518</v>
      </c>
      <c r="E203" s="348" t="s">
        <v>1861</v>
      </c>
      <c r="F203" s="349"/>
      <c r="G203" s="349"/>
      <c r="H203" s="349"/>
      <c r="I203" s="349"/>
      <c r="J203" s="350"/>
      <c r="K203" s="146"/>
      <c r="L203" s="146"/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  <c r="AA203" s="146"/>
      <c r="AB203" s="146"/>
      <c r="AC203" s="146"/>
      <c r="AD203" s="146"/>
      <c r="AE203" s="146"/>
    </row>
    <row r="204" spans="1:31" ht="54" customHeight="1" x14ac:dyDescent="0.25">
      <c r="A204" s="1"/>
      <c r="B204" s="189">
        <v>189</v>
      </c>
      <c r="C204" s="190" t="s">
        <v>1684</v>
      </c>
      <c r="D204" s="237" t="s">
        <v>2519</v>
      </c>
      <c r="E204" s="348" t="s">
        <v>1861</v>
      </c>
      <c r="F204" s="349"/>
      <c r="G204" s="349"/>
      <c r="H204" s="349"/>
      <c r="I204" s="349"/>
      <c r="J204" s="350"/>
      <c r="K204" s="146"/>
      <c r="L204" s="146"/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  <c r="AA204" s="146"/>
      <c r="AB204" s="146"/>
      <c r="AC204" s="146"/>
      <c r="AD204" s="146"/>
      <c r="AE204" s="146"/>
    </row>
    <row r="205" spans="1:31" ht="54" customHeight="1" x14ac:dyDescent="0.25">
      <c r="A205" s="1"/>
      <c r="B205" s="189">
        <v>190</v>
      </c>
      <c r="C205" s="190" t="s">
        <v>1682</v>
      </c>
      <c r="D205" s="237" t="s">
        <v>2520</v>
      </c>
      <c r="E205" s="348" t="s">
        <v>1861</v>
      </c>
      <c r="F205" s="349"/>
      <c r="G205" s="349"/>
      <c r="H205" s="349"/>
      <c r="I205" s="349"/>
      <c r="J205" s="350"/>
      <c r="K205" s="146"/>
      <c r="L205" s="146"/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  <c r="AA205" s="146"/>
      <c r="AB205" s="146"/>
      <c r="AC205" s="146"/>
      <c r="AD205" s="146"/>
      <c r="AE205" s="146"/>
    </row>
    <row r="206" spans="1:31" ht="54" customHeight="1" x14ac:dyDescent="0.25">
      <c r="A206" s="1"/>
      <c r="B206" s="189">
        <v>191</v>
      </c>
      <c r="C206" s="190" t="s">
        <v>1680</v>
      </c>
      <c r="D206" s="237" t="s">
        <v>2521</v>
      </c>
      <c r="E206" s="348" t="s">
        <v>1861</v>
      </c>
      <c r="F206" s="349"/>
      <c r="G206" s="349"/>
      <c r="H206" s="349"/>
      <c r="I206" s="349"/>
      <c r="J206" s="350"/>
      <c r="K206" s="146"/>
      <c r="L206" s="146"/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  <c r="AA206" s="146"/>
      <c r="AB206" s="146"/>
      <c r="AC206" s="146"/>
      <c r="AD206" s="146"/>
      <c r="AE206" s="146"/>
    </row>
    <row r="207" spans="1:31" ht="54" customHeight="1" x14ac:dyDescent="0.25">
      <c r="A207" s="1"/>
      <c r="B207" s="189">
        <v>192</v>
      </c>
      <c r="C207" s="190" t="s">
        <v>1678</v>
      </c>
      <c r="D207" s="237" t="s">
        <v>2522</v>
      </c>
      <c r="E207" s="348" t="s">
        <v>1861</v>
      </c>
      <c r="F207" s="349"/>
      <c r="G207" s="349"/>
      <c r="H207" s="349"/>
      <c r="I207" s="349"/>
      <c r="J207" s="350"/>
      <c r="K207" s="146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  <c r="AA207" s="146"/>
      <c r="AB207" s="146"/>
      <c r="AC207" s="146"/>
      <c r="AD207" s="146"/>
      <c r="AE207" s="146"/>
    </row>
    <row r="208" spans="1:31" ht="54" customHeight="1" x14ac:dyDescent="0.25">
      <c r="A208" s="1"/>
      <c r="B208" s="189">
        <v>193</v>
      </c>
      <c r="C208" s="190" t="s">
        <v>1676</v>
      </c>
      <c r="D208" s="237" t="s">
        <v>2523</v>
      </c>
      <c r="E208" s="348" t="s">
        <v>1861</v>
      </c>
      <c r="F208" s="349"/>
      <c r="G208" s="349"/>
      <c r="H208" s="349"/>
      <c r="I208" s="349"/>
      <c r="J208" s="350"/>
      <c r="K208" s="146"/>
      <c r="L208" s="146"/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  <c r="AA208" s="146"/>
      <c r="AB208" s="146"/>
      <c r="AC208" s="146"/>
      <c r="AD208" s="146"/>
      <c r="AE208" s="146"/>
    </row>
    <row r="209" spans="1:31" ht="54" customHeight="1" x14ac:dyDescent="0.25">
      <c r="A209" s="1"/>
      <c r="B209" s="189">
        <v>194</v>
      </c>
      <c r="C209" s="190" t="s">
        <v>1674</v>
      </c>
      <c r="D209" s="237" t="s">
        <v>2524</v>
      </c>
      <c r="E209" s="348" t="s">
        <v>1861</v>
      </c>
      <c r="F209" s="349"/>
      <c r="G209" s="349"/>
      <c r="H209" s="349"/>
      <c r="I209" s="349"/>
      <c r="J209" s="350"/>
      <c r="K209" s="146"/>
      <c r="L209" s="146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  <c r="AA209" s="146"/>
      <c r="AB209" s="146"/>
      <c r="AC209" s="146"/>
      <c r="AD209" s="146"/>
      <c r="AE209" s="146"/>
    </row>
    <row r="210" spans="1:31" ht="54" customHeight="1" x14ac:dyDescent="0.25">
      <c r="A210" s="1"/>
      <c r="B210" s="189">
        <v>195</v>
      </c>
      <c r="C210" s="190" t="s">
        <v>1724</v>
      </c>
      <c r="D210" s="237" t="s">
        <v>2525</v>
      </c>
      <c r="E210" s="348" t="s">
        <v>1852</v>
      </c>
      <c r="F210" s="349"/>
      <c r="G210" s="349"/>
      <c r="H210" s="349"/>
      <c r="I210" s="349"/>
      <c r="J210" s="350"/>
      <c r="K210" s="146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  <c r="AA210" s="146"/>
      <c r="AB210" s="146"/>
      <c r="AC210" s="146"/>
      <c r="AD210" s="146"/>
      <c r="AE210" s="146"/>
    </row>
    <row r="211" spans="1:31" ht="54" customHeight="1" x14ac:dyDescent="0.25">
      <c r="A211" s="1"/>
      <c r="B211" s="189">
        <v>196</v>
      </c>
      <c r="C211" s="190" t="s">
        <v>1672</v>
      </c>
      <c r="D211" s="237" t="s">
        <v>2526</v>
      </c>
      <c r="E211" s="348" t="s">
        <v>1861</v>
      </c>
      <c r="F211" s="349"/>
      <c r="G211" s="349"/>
      <c r="H211" s="349"/>
      <c r="I211" s="349"/>
      <c r="J211" s="350"/>
      <c r="K211" s="146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  <c r="AA211" s="146"/>
      <c r="AB211" s="146"/>
      <c r="AC211" s="146"/>
      <c r="AD211" s="146"/>
      <c r="AE211" s="146"/>
    </row>
    <row r="212" spans="1:31" ht="54" customHeight="1" x14ac:dyDescent="0.25">
      <c r="A212" s="1"/>
      <c r="B212" s="189">
        <v>197</v>
      </c>
      <c r="C212" s="190" t="s">
        <v>2219</v>
      </c>
      <c r="D212" s="237" t="s">
        <v>2527</v>
      </c>
      <c r="E212" s="348" t="s">
        <v>1857</v>
      </c>
      <c r="F212" s="349"/>
      <c r="G212" s="349"/>
      <c r="H212" s="349"/>
      <c r="I212" s="349"/>
      <c r="J212" s="350"/>
      <c r="K212" s="146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  <c r="AA212" s="146"/>
      <c r="AB212" s="146"/>
      <c r="AC212" s="146"/>
      <c r="AD212" s="146"/>
      <c r="AE212" s="146"/>
    </row>
    <row r="213" spans="1:31" ht="54" customHeight="1" x14ac:dyDescent="0.25">
      <c r="A213" s="1"/>
      <c r="B213" s="189">
        <v>198</v>
      </c>
      <c r="C213" s="190" t="s">
        <v>2312</v>
      </c>
      <c r="D213" s="237" t="s">
        <v>2528</v>
      </c>
      <c r="E213" s="348" t="s">
        <v>1857</v>
      </c>
      <c r="F213" s="349"/>
      <c r="G213" s="349"/>
      <c r="H213" s="349"/>
      <c r="I213" s="349"/>
      <c r="J213" s="350"/>
      <c r="K213" s="146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  <c r="AA213" s="146"/>
      <c r="AB213" s="146"/>
      <c r="AC213" s="146"/>
      <c r="AD213" s="146"/>
      <c r="AE213" s="146"/>
    </row>
    <row r="214" spans="1:31" ht="54" customHeight="1" x14ac:dyDescent="0.25">
      <c r="A214" s="1"/>
      <c r="B214" s="189">
        <v>199</v>
      </c>
      <c r="C214" s="190" t="s">
        <v>2221</v>
      </c>
      <c r="D214" s="237" t="s">
        <v>2529</v>
      </c>
      <c r="E214" s="348" t="s">
        <v>1857</v>
      </c>
      <c r="F214" s="349"/>
      <c r="G214" s="349"/>
      <c r="H214" s="349"/>
      <c r="I214" s="349"/>
      <c r="J214" s="350"/>
      <c r="K214" s="146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  <c r="AA214" s="146"/>
      <c r="AB214" s="146"/>
      <c r="AC214" s="146"/>
      <c r="AD214" s="146"/>
      <c r="AE214" s="146"/>
    </row>
    <row r="215" spans="1:31" ht="54" customHeight="1" x14ac:dyDescent="0.25">
      <c r="A215" s="1"/>
      <c r="B215" s="189">
        <v>200</v>
      </c>
      <c r="C215" s="190" t="s">
        <v>1982</v>
      </c>
      <c r="D215" s="237" t="s">
        <v>2530</v>
      </c>
      <c r="E215" s="348" t="s">
        <v>2273</v>
      </c>
      <c r="F215" s="349"/>
      <c r="G215" s="349"/>
      <c r="H215" s="349"/>
      <c r="I215" s="349"/>
      <c r="J215" s="350"/>
      <c r="K215" s="146"/>
      <c r="L215" s="146"/>
      <c r="M215" s="146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  <c r="AA215" s="146"/>
      <c r="AB215" s="146"/>
      <c r="AC215" s="146"/>
      <c r="AD215" s="146"/>
      <c r="AE215" s="146"/>
    </row>
    <row r="216" spans="1:31" ht="54" customHeight="1" x14ac:dyDescent="0.25">
      <c r="A216" s="1"/>
      <c r="B216" s="189">
        <v>201</v>
      </c>
      <c r="C216" s="190" t="s">
        <v>2223</v>
      </c>
      <c r="D216" s="237" t="s">
        <v>2531</v>
      </c>
      <c r="E216" s="348" t="s">
        <v>1857</v>
      </c>
      <c r="F216" s="349"/>
      <c r="G216" s="349"/>
      <c r="H216" s="349"/>
      <c r="I216" s="349"/>
      <c r="J216" s="350"/>
      <c r="K216" s="146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  <c r="AA216" s="146"/>
      <c r="AB216" s="146"/>
      <c r="AC216" s="146"/>
      <c r="AD216" s="146"/>
      <c r="AE216" s="146"/>
    </row>
    <row r="217" spans="1:31" ht="54" customHeight="1" x14ac:dyDescent="0.25">
      <c r="A217" s="1"/>
      <c r="B217" s="189">
        <v>202</v>
      </c>
      <c r="C217" s="190" t="s">
        <v>1986</v>
      </c>
      <c r="D217" s="237" t="s">
        <v>2532</v>
      </c>
      <c r="E217" s="348" t="s">
        <v>2273</v>
      </c>
      <c r="F217" s="349"/>
      <c r="G217" s="349"/>
      <c r="H217" s="349"/>
      <c r="I217" s="349"/>
      <c r="J217" s="350"/>
      <c r="K217" s="146"/>
      <c r="L217" s="146"/>
      <c r="M217" s="146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  <c r="AA217" s="146"/>
      <c r="AB217" s="146"/>
      <c r="AC217" s="146"/>
      <c r="AD217" s="146"/>
      <c r="AE217" s="146"/>
    </row>
    <row r="218" spans="1:31" ht="54" customHeight="1" x14ac:dyDescent="0.25">
      <c r="A218" s="1"/>
      <c r="B218" s="189">
        <v>203</v>
      </c>
      <c r="C218" s="190" t="s">
        <v>1989</v>
      </c>
      <c r="D218" s="237" t="s">
        <v>2533</v>
      </c>
      <c r="E218" s="348" t="s">
        <v>2273</v>
      </c>
      <c r="F218" s="349"/>
      <c r="G218" s="349"/>
      <c r="H218" s="349"/>
      <c r="I218" s="349"/>
      <c r="J218" s="350"/>
      <c r="K218" s="146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  <c r="AA218" s="146"/>
      <c r="AB218" s="146"/>
      <c r="AC218" s="146"/>
      <c r="AD218" s="146"/>
      <c r="AE218" s="146"/>
    </row>
    <row r="219" spans="1:31" ht="54" customHeight="1" x14ac:dyDescent="0.25">
      <c r="A219" s="1"/>
      <c r="B219" s="189">
        <v>204</v>
      </c>
      <c r="C219" s="190" t="s">
        <v>1992</v>
      </c>
      <c r="D219" s="237" t="s">
        <v>2534</v>
      </c>
      <c r="E219" s="348" t="s">
        <v>2273</v>
      </c>
      <c r="F219" s="349"/>
      <c r="G219" s="349"/>
      <c r="H219" s="349"/>
      <c r="I219" s="349"/>
      <c r="J219" s="350"/>
      <c r="K219" s="146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  <c r="AA219" s="146"/>
      <c r="AB219" s="146"/>
      <c r="AC219" s="146"/>
      <c r="AD219" s="146"/>
      <c r="AE219" s="146"/>
    </row>
    <row r="220" spans="1:31" ht="54" customHeight="1" x14ac:dyDescent="0.25">
      <c r="A220" s="1"/>
      <c r="B220" s="189">
        <v>205</v>
      </c>
      <c r="C220" s="190" t="s">
        <v>1995</v>
      </c>
      <c r="D220" s="237" t="s">
        <v>2535</v>
      </c>
      <c r="E220" s="348" t="s">
        <v>2273</v>
      </c>
      <c r="F220" s="349"/>
      <c r="G220" s="349"/>
      <c r="H220" s="349"/>
      <c r="I220" s="349"/>
      <c r="J220" s="350"/>
      <c r="K220" s="146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  <c r="AA220" s="146"/>
      <c r="AB220" s="146"/>
      <c r="AC220" s="146"/>
      <c r="AD220" s="146"/>
      <c r="AE220" s="146"/>
    </row>
    <row r="221" spans="1:31" ht="54" customHeight="1" x14ac:dyDescent="0.25">
      <c r="A221" s="1"/>
      <c r="B221" s="189">
        <v>206</v>
      </c>
      <c r="C221" s="190" t="s">
        <v>1998</v>
      </c>
      <c r="D221" s="237" t="s">
        <v>2536</v>
      </c>
      <c r="E221" s="348" t="s">
        <v>2273</v>
      </c>
      <c r="F221" s="349"/>
      <c r="G221" s="349"/>
      <c r="H221" s="349"/>
      <c r="I221" s="349"/>
      <c r="J221" s="350"/>
      <c r="K221" s="146"/>
      <c r="L221" s="146"/>
      <c r="M221" s="146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  <c r="AA221" s="146"/>
      <c r="AB221" s="146"/>
      <c r="AC221" s="146"/>
      <c r="AD221" s="146"/>
      <c r="AE221" s="146"/>
    </row>
    <row r="222" spans="1:31" ht="54" customHeight="1" x14ac:dyDescent="0.25">
      <c r="A222" s="1"/>
      <c r="B222" s="189">
        <v>207</v>
      </c>
      <c r="C222" s="190" t="s">
        <v>2001</v>
      </c>
      <c r="D222" s="249" t="s">
        <v>2537</v>
      </c>
      <c r="E222" s="348" t="s">
        <v>2273</v>
      </c>
      <c r="F222" s="349"/>
      <c r="G222" s="349"/>
      <c r="H222" s="349"/>
      <c r="I222" s="349"/>
      <c r="J222" s="350"/>
      <c r="K222" s="146"/>
      <c r="L222" s="146"/>
      <c r="M222" s="146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  <c r="AA222" s="146"/>
      <c r="AB222" s="146"/>
      <c r="AC222" s="146"/>
      <c r="AD222" s="146"/>
      <c r="AE222" s="146"/>
    </row>
    <row r="223" spans="1:31" ht="54" customHeight="1" x14ac:dyDescent="0.25">
      <c r="A223" s="1"/>
      <c r="B223" s="189">
        <v>208</v>
      </c>
      <c r="C223" s="190" t="s">
        <v>2225</v>
      </c>
      <c r="D223" s="249" t="s">
        <v>2538</v>
      </c>
      <c r="E223" s="348" t="s">
        <v>1857</v>
      </c>
      <c r="F223" s="349"/>
      <c r="G223" s="349"/>
      <c r="H223" s="349"/>
      <c r="I223" s="349"/>
      <c r="J223" s="350"/>
      <c r="K223" s="146"/>
      <c r="L223" s="146"/>
      <c r="M223" s="146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  <c r="AA223" s="146"/>
      <c r="AB223" s="146"/>
      <c r="AC223" s="146"/>
      <c r="AD223" s="146"/>
      <c r="AE223" s="146"/>
    </row>
    <row r="224" spans="1:31" ht="54" customHeight="1" x14ac:dyDescent="0.25">
      <c r="A224" s="1"/>
      <c r="B224" s="189">
        <v>209</v>
      </c>
      <c r="C224" s="190" t="s">
        <v>2007</v>
      </c>
      <c r="D224" s="249" t="s">
        <v>2539</v>
      </c>
      <c r="E224" s="348" t="s">
        <v>2273</v>
      </c>
      <c r="F224" s="349"/>
      <c r="G224" s="349"/>
      <c r="H224" s="349"/>
      <c r="I224" s="349"/>
      <c r="J224" s="350"/>
      <c r="K224" s="146"/>
      <c r="L224" s="146"/>
      <c r="M224" s="146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  <c r="AA224" s="146"/>
      <c r="AB224" s="146"/>
      <c r="AC224" s="146"/>
      <c r="AD224" s="146"/>
      <c r="AE224" s="146"/>
    </row>
    <row r="225" spans="1:31" ht="54" customHeight="1" x14ac:dyDescent="0.25">
      <c r="A225" s="1"/>
      <c r="B225" s="189">
        <v>210</v>
      </c>
      <c r="C225" s="190" t="s">
        <v>2010</v>
      </c>
      <c r="D225" s="249" t="s">
        <v>2540</v>
      </c>
      <c r="E225" s="348" t="s">
        <v>2273</v>
      </c>
      <c r="F225" s="349"/>
      <c r="G225" s="349"/>
      <c r="H225" s="349"/>
      <c r="I225" s="349"/>
      <c r="J225" s="350"/>
      <c r="K225" s="146"/>
      <c r="L225" s="146"/>
      <c r="M225" s="146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  <c r="AA225" s="146"/>
      <c r="AB225" s="146"/>
      <c r="AC225" s="146"/>
      <c r="AD225" s="146"/>
      <c r="AE225" s="146"/>
    </row>
    <row r="226" spans="1:31" ht="54" customHeight="1" x14ac:dyDescent="0.25">
      <c r="A226" s="1"/>
      <c r="B226" s="189">
        <v>211</v>
      </c>
      <c r="C226" s="190" t="s">
        <v>2013</v>
      </c>
      <c r="D226" s="249" t="s">
        <v>2541</v>
      </c>
      <c r="E226" s="348" t="s">
        <v>2273</v>
      </c>
      <c r="F226" s="349"/>
      <c r="G226" s="349"/>
      <c r="H226" s="349"/>
      <c r="I226" s="349"/>
      <c r="J226" s="350"/>
      <c r="K226" s="146"/>
      <c r="L226" s="146"/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  <c r="AA226" s="146"/>
      <c r="AB226" s="146"/>
      <c r="AC226" s="146"/>
      <c r="AD226" s="146"/>
      <c r="AE226" s="146"/>
    </row>
    <row r="227" spans="1:31" ht="54" customHeight="1" x14ac:dyDescent="0.25">
      <c r="A227" s="1"/>
      <c r="B227" s="189">
        <v>212</v>
      </c>
      <c r="C227" s="190" t="s">
        <v>2016</v>
      </c>
      <c r="D227" s="249" t="s">
        <v>2542</v>
      </c>
      <c r="E227" s="348" t="s">
        <v>2273</v>
      </c>
      <c r="F227" s="349"/>
      <c r="G227" s="349"/>
      <c r="H227" s="349"/>
      <c r="I227" s="349"/>
      <c r="J227" s="350"/>
      <c r="K227" s="146"/>
      <c r="L227" s="146"/>
      <c r="M227" s="146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  <c r="AA227" s="146"/>
      <c r="AB227" s="146"/>
      <c r="AC227" s="146"/>
      <c r="AD227" s="146"/>
      <c r="AE227" s="146"/>
    </row>
    <row r="228" spans="1:31" ht="54" customHeight="1" x14ac:dyDescent="0.25">
      <c r="A228" s="1"/>
      <c r="B228" s="189">
        <v>213</v>
      </c>
      <c r="C228" s="190" t="s">
        <v>2019</v>
      </c>
      <c r="D228" s="249" t="s">
        <v>2543</v>
      </c>
      <c r="E228" s="348" t="s">
        <v>2273</v>
      </c>
      <c r="F228" s="349"/>
      <c r="G228" s="349"/>
      <c r="H228" s="349"/>
      <c r="I228" s="349"/>
      <c r="J228" s="350"/>
      <c r="K228" s="146"/>
      <c r="L228" s="146"/>
      <c r="M228" s="146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  <c r="AA228" s="146"/>
      <c r="AB228" s="146"/>
      <c r="AC228" s="146"/>
      <c r="AD228" s="146"/>
      <c r="AE228" s="146"/>
    </row>
    <row r="229" spans="1:31" ht="54" customHeight="1" x14ac:dyDescent="0.25">
      <c r="A229" s="1"/>
      <c r="B229" s="189">
        <v>214</v>
      </c>
      <c r="C229" s="190" t="s">
        <v>2022</v>
      </c>
      <c r="D229" s="249" t="s">
        <v>2544</v>
      </c>
      <c r="E229" s="348" t="s">
        <v>2273</v>
      </c>
      <c r="F229" s="349"/>
      <c r="G229" s="349"/>
      <c r="H229" s="349"/>
      <c r="I229" s="349"/>
      <c r="J229" s="350"/>
      <c r="K229" s="146"/>
      <c r="L229" s="146"/>
      <c r="M229" s="146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  <c r="AA229" s="146"/>
      <c r="AB229" s="146"/>
      <c r="AC229" s="146"/>
      <c r="AD229" s="146"/>
      <c r="AE229" s="146"/>
    </row>
    <row r="230" spans="1:31" ht="54" customHeight="1" x14ac:dyDescent="0.25">
      <c r="A230" s="1"/>
      <c r="B230" s="189">
        <v>215</v>
      </c>
      <c r="C230" s="190" t="s">
        <v>2025</v>
      </c>
      <c r="D230" s="249" t="s">
        <v>2545</v>
      </c>
      <c r="E230" s="348" t="s">
        <v>2273</v>
      </c>
      <c r="F230" s="349"/>
      <c r="G230" s="349"/>
      <c r="H230" s="349"/>
      <c r="I230" s="349"/>
      <c r="J230" s="350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  <c r="AB230" s="146"/>
      <c r="AC230" s="146"/>
      <c r="AD230" s="146"/>
      <c r="AE230" s="146"/>
    </row>
    <row r="231" spans="1:31" ht="54" customHeight="1" x14ac:dyDescent="0.25">
      <c r="A231" s="1"/>
      <c r="B231" s="189">
        <v>216</v>
      </c>
      <c r="C231" s="190" t="s">
        <v>2028</v>
      </c>
      <c r="D231" s="249" t="s">
        <v>2546</v>
      </c>
      <c r="E231" s="348" t="s">
        <v>2273</v>
      </c>
      <c r="F231" s="349"/>
      <c r="G231" s="349"/>
      <c r="H231" s="349"/>
      <c r="I231" s="349"/>
      <c r="J231" s="350"/>
      <c r="K231" s="146"/>
      <c r="L231" s="146"/>
      <c r="M231" s="146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  <c r="AA231" s="146"/>
      <c r="AB231" s="146"/>
      <c r="AC231" s="146"/>
      <c r="AD231" s="146"/>
      <c r="AE231" s="146"/>
    </row>
    <row r="232" spans="1:31" ht="54" customHeight="1" x14ac:dyDescent="0.25">
      <c r="A232" s="1"/>
      <c r="B232" s="189">
        <v>217</v>
      </c>
      <c r="C232" s="190" t="s">
        <v>2031</v>
      </c>
      <c r="D232" s="249" t="s">
        <v>2547</v>
      </c>
      <c r="E232" s="348" t="s">
        <v>2273</v>
      </c>
      <c r="F232" s="349"/>
      <c r="G232" s="349"/>
      <c r="H232" s="349"/>
      <c r="I232" s="349"/>
      <c r="J232" s="350"/>
      <c r="K232" s="146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  <c r="AA232" s="146"/>
      <c r="AB232" s="146"/>
      <c r="AC232" s="146"/>
      <c r="AD232" s="146"/>
      <c r="AE232" s="146"/>
    </row>
    <row r="233" spans="1:31" ht="54" customHeight="1" x14ac:dyDescent="0.25">
      <c r="A233" s="1"/>
      <c r="B233" s="189">
        <v>218</v>
      </c>
      <c r="C233" s="190" t="s">
        <v>2034</v>
      </c>
      <c r="D233" s="249" t="s">
        <v>2548</v>
      </c>
      <c r="E233" s="348" t="s">
        <v>2273</v>
      </c>
      <c r="F233" s="349"/>
      <c r="G233" s="349"/>
      <c r="H233" s="349"/>
      <c r="I233" s="349"/>
      <c r="J233" s="350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  <c r="AB233" s="146"/>
      <c r="AC233" s="146"/>
      <c r="AD233" s="146"/>
      <c r="AE233" s="146"/>
    </row>
    <row r="234" spans="1:31" ht="54" customHeight="1" x14ac:dyDescent="0.25">
      <c r="A234" s="1"/>
      <c r="B234" s="189">
        <v>219</v>
      </c>
      <c r="C234" s="190" t="s">
        <v>2037</v>
      </c>
      <c r="D234" s="249" t="s">
        <v>2549</v>
      </c>
      <c r="E234" s="348" t="s">
        <v>2273</v>
      </c>
      <c r="F234" s="349"/>
      <c r="G234" s="349"/>
      <c r="H234" s="349"/>
      <c r="I234" s="349"/>
      <c r="J234" s="350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  <c r="AB234" s="146"/>
      <c r="AC234" s="146"/>
      <c r="AD234" s="146"/>
      <c r="AE234" s="146"/>
    </row>
    <row r="235" spans="1:31" ht="54" customHeight="1" x14ac:dyDescent="0.25">
      <c r="A235" s="1"/>
      <c r="B235" s="189">
        <v>220</v>
      </c>
      <c r="C235" s="190" t="s">
        <v>2040</v>
      </c>
      <c r="D235" s="249" t="s">
        <v>2550</v>
      </c>
      <c r="E235" s="348" t="s">
        <v>2273</v>
      </c>
      <c r="F235" s="349"/>
      <c r="G235" s="349"/>
      <c r="H235" s="349"/>
      <c r="I235" s="349"/>
      <c r="J235" s="350"/>
      <c r="K235" s="146"/>
      <c r="L235" s="146"/>
      <c r="M235" s="146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  <c r="AA235" s="146"/>
      <c r="AB235" s="146"/>
      <c r="AC235" s="146"/>
      <c r="AD235" s="146"/>
      <c r="AE235" s="146"/>
    </row>
    <row r="236" spans="1:31" ht="54" customHeight="1" x14ac:dyDescent="0.25">
      <c r="A236" s="1"/>
      <c r="B236" s="189">
        <v>221</v>
      </c>
      <c r="C236" s="190" t="s">
        <v>2043</v>
      </c>
      <c r="D236" s="249" t="s">
        <v>2551</v>
      </c>
      <c r="E236" s="348" t="s">
        <v>2273</v>
      </c>
      <c r="F236" s="349"/>
      <c r="G236" s="349"/>
      <c r="H236" s="349"/>
      <c r="I236" s="349"/>
      <c r="J236" s="350"/>
      <c r="K236" s="146"/>
      <c r="L236" s="146"/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  <c r="AA236" s="146"/>
      <c r="AB236" s="146"/>
      <c r="AC236" s="146"/>
      <c r="AD236" s="146"/>
      <c r="AE236" s="146"/>
    </row>
    <row r="237" spans="1:31" ht="54" customHeight="1" x14ac:dyDescent="0.25">
      <c r="A237" s="1"/>
      <c r="B237" s="189">
        <v>222</v>
      </c>
      <c r="C237" s="190" t="s">
        <v>2046</v>
      </c>
      <c r="D237" s="249" t="s">
        <v>2552</v>
      </c>
      <c r="E237" s="348" t="s">
        <v>2273</v>
      </c>
      <c r="F237" s="349"/>
      <c r="G237" s="349"/>
      <c r="H237" s="349"/>
      <c r="I237" s="349"/>
      <c r="J237" s="350"/>
      <c r="K237" s="146"/>
      <c r="L237" s="146"/>
      <c r="M237" s="146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  <c r="AA237" s="146"/>
      <c r="AB237" s="146"/>
      <c r="AC237" s="146"/>
      <c r="AD237" s="146"/>
      <c r="AE237" s="146"/>
    </row>
    <row r="238" spans="1:31" ht="54" customHeight="1" x14ac:dyDescent="0.25">
      <c r="A238" s="1"/>
      <c r="B238" s="189">
        <v>223</v>
      </c>
      <c r="C238" s="190" t="s">
        <v>2049</v>
      </c>
      <c r="D238" s="249" t="s">
        <v>2553</v>
      </c>
      <c r="E238" s="348" t="s">
        <v>2273</v>
      </c>
      <c r="F238" s="349"/>
      <c r="G238" s="349"/>
      <c r="H238" s="349"/>
      <c r="I238" s="349"/>
      <c r="J238" s="350"/>
      <c r="K238" s="146"/>
      <c r="L238" s="146"/>
      <c r="M238" s="146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  <c r="AA238" s="146"/>
      <c r="AB238" s="146"/>
      <c r="AC238" s="146"/>
      <c r="AD238" s="146"/>
      <c r="AE238" s="146"/>
    </row>
    <row r="239" spans="1:31" ht="54" customHeight="1" x14ac:dyDescent="0.25">
      <c r="A239" s="1"/>
      <c r="B239" s="189">
        <v>224</v>
      </c>
      <c r="C239" s="190" t="s">
        <v>2052</v>
      </c>
      <c r="D239" s="249" t="s">
        <v>2554</v>
      </c>
      <c r="E239" s="348" t="s">
        <v>2273</v>
      </c>
      <c r="F239" s="349"/>
      <c r="G239" s="349"/>
      <c r="H239" s="349"/>
      <c r="I239" s="349"/>
      <c r="J239" s="350"/>
      <c r="K239" s="146"/>
      <c r="L239" s="146"/>
      <c r="M239" s="146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  <c r="AA239" s="146"/>
      <c r="AB239" s="146"/>
      <c r="AC239" s="146"/>
      <c r="AD239" s="146"/>
      <c r="AE239" s="146"/>
    </row>
    <row r="240" spans="1:31" ht="54" customHeight="1" x14ac:dyDescent="0.25">
      <c r="A240" s="1"/>
      <c r="B240" s="189">
        <v>225</v>
      </c>
      <c r="C240" s="190" t="s">
        <v>2055</v>
      </c>
      <c r="D240" s="249" t="s">
        <v>2555</v>
      </c>
      <c r="E240" s="348" t="s">
        <v>2273</v>
      </c>
      <c r="F240" s="349"/>
      <c r="G240" s="349"/>
      <c r="H240" s="349"/>
      <c r="I240" s="349"/>
      <c r="J240" s="350"/>
      <c r="K240" s="146"/>
      <c r="L240" s="146"/>
      <c r="M240" s="146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  <c r="AA240" s="146"/>
      <c r="AB240" s="146"/>
      <c r="AC240" s="146"/>
      <c r="AD240" s="146"/>
      <c r="AE240" s="146"/>
    </row>
    <row r="241" spans="1:31" ht="54" customHeight="1" x14ac:dyDescent="0.25">
      <c r="A241" s="1"/>
      <c r="B241" s="189">
        <v>226</v>
      </c>
      <c r="C241" s="190" t="s">
        <v>2058</v>
      </c>
      <c r="D241" s="249" t="s">
        <v>2556</v>
      </c>
      <c r="E241" s="348" t="s">
        <v>2273</v>
      </c>
      <c r="F241" s="349"/>
      <c r="G241" s="349"/>
      <c r="H241" s="349"/>
      <c r="I241" s="349"/>
      <c r="J241" s="350"/>
      <c r="K241" s="146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  <c r="AA241" s="146"/>
      <c r="AB241" s="146"/>
      <c r="AC241" s="146"/>
      <c r="AD241" s="146"/>
      <c r="AE241" s="146"/>
    </row>
    <row r="242" spans="1:31" ht="54" customHeight="1" x14ac:dyDescent="0.25">
      <c r="A242" s="1"/>
      <c r="B242" s="189">
        <v>227</v>
      </c>
      <c r="C242" s="190" t="s">
        <v>2061</v>
      </c>
      <c r="D242" s="249" t="s">
        <v>2557</v>
      </c>
      <c r="E242" s="348" t="s">
        <v>2273</v>
      </c>
      <c r="F242" s="349"/>
      <c r="G242" s="349"/>
      <c r="H242" s="349"/>
      <c r="I242" s="349"/>
      <c r="J242" s="350"/>
      <c r="K242" s="146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  <c r="AA242" s="146"/>
      <c r="AB242" s="146"/>
      <c r="AC242" s="146"/>
      <c r="AD242" s="146"/>
      <c r="AE242" s="146"/>
    </row>
    <row r="243" spans="1:31" ht="54" customHeight="1" x14ac:dyDescent="0.25">
      <c r="A243" s="1"/>
      <c r="B243" s="189">
        <v>228</v>
      </c>
      <c r="C243" s="190" t="s">
        <v>2064</v>
      </c>
      <c r="D243" s="249" t="s">
        <v>2558</v>
      </c>
      <c r="E243" s="348" t="s">
        <v>2273</v>
      </c>
      <c r="F243" s="349"/>
      <c r="G243" s="349"/>
      <c r="H243" s="349"/>
      <c r="I243" s="349"/>
      <c r="J243" s="350"/>
      <c r="K243" s="146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  <c r="AA243" s="146"/>
      <c r="AB243" s="146"/>
      <c r="AC243" s="146"/>
      <c r="AD243" s="146"/>
      <c r="AE243" s="146"/>
    </row>
    <row r="244" spans="1:31" ht="54" customHeight="1" x14ac:dyDescent="0.25">
      <c r="A244" s="1"/>
      <c r="B244" s="189">
        <v>229</v>
      </c>
      <c r="C244" s="190" t="s">
        <v>2067</v>
      </c>
      <c r="D244" s="249" t="s">
        <v>2559</v>
      </c>
      <c r="E244" s="348" t="s">
        <v>2273</v>
      </c>
      <c r="F244" s="349"/>
      <c r="G244" s="349"/>
      <c r="H244" s="349"/>
      <c r="I244" s="349"/>
      <c r="J244" s="350"/>
      <c r="K244" s="146"/>
      <c r="L244" s="146"/>
      <c r="M244" s="146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  <c r="AA244" s="146"/>
      <c r="AB244" s="146"/>
      <c r="AC244" s="146"/>
      <c r="AD244" s="146"/>
      <c r="AE244" s="146"/>
    </row>
    <row r="245" spans="1:31" ht="54" customHeight="1" x14ac:dyDescent="0.25">
      <c r="A245" s="1"/>
      <c r="B245" s="189">
        <v>230</v>
      </c>
      <c r="C245" s="190" t="s">
        <v>2070</v>
      </c>
      <c r="D245" s="249" t="s">
        <v>2560</v>
      </c>
      <c r="E245" s="348" t="s">
        <v>2273</v>
      </c>
      <c r="F245" s="349"/>
      <c r="G245" s="349"/>
      <c r="H245" s="349"/>
      <c r="I245" s="349"/>
      <c r="J245" s="350"/>
      <c r="K245" s="146"/>
      <c r="L245" s="146"/>
      <c r="M245" s="146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  <c r="AA245" s="146"/>
      <c r="AB245" s="146"/>
      <c r="AC245" s="146"/>
      <c r="AD245" s="146"/>
      <c r="AE245" s="146"/>
    </row>
    <row r="246" spans="1:31" ht="54" customHeight="1" x14ac:dyDescent="0.25">
      <c r="A246" s="1"/>
      <c r="B246" s="189">
        <v>231</v>
      </c>
      <c r="C246" s="190" t="s">
        <v>2073</v>
      </c>
      <c r="D246" s="249" t="s">
        <v>2561</v>
      </c>
      <c r="E246" s="348" t="s">
        <v>2273</v>
      </c>
      <c r="F246" s="349"/>
      <c r="G246" s="349"/>
      <c r="H246" s="349"/>
      <c r="I246" s="349"/>
      <c r="J246" s="350"/>
      <c r="K246" s="146"/>
      <c r="L246" s="146"/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  <c r="AA246" s="146"/>
      <c r="AB246" s="146"/>
      <c r="AC246" s="146"/>
      <c r="AD246" s="146"/>
      <c r="AE246" s="146"/>
    </row>
    <row r="247" spans="1:31" ht="54" customHeight="1" x14ac:dyDescent="0.25">
      <c r="A247" s="1"/>
      <c r="B247" s="189">
        <v>232</v>
      </c>
      <c r="C247" s="190" t="s">
        <v>2076</v>
      </c>
      <c r="D247" s="249" t="s">
        <v>2562</v>
      </c>
      <c r="E247" s="348" t="s">
        <v>2273</v>
      </c>
      <c r="F247" s="349"/>
      <c r="G247" s="349"/>
      <c r="H247" s="349"/>
      <c r="I247" s="349"/>
      <c r="J247" s="350"/>
      <c r="K247" s="146"/>
      <c r="L247" s="146"/>
      <c r="M247" s="146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  <c r="AA247" s="146"/>
      <c r="AB247" s="146"/>
      <c r="AC247" s="146"/>
      <c r="AD247" s="146"/>
      <c r="AE247" s="146"/>
    </row>
    <row r="248" spans="1:31" ht="54" customHeight="1" x14ac:dyDescent="0.25">
      <c r="A248" s="1"/>
      <c r="B248" s="189">
        <v>233</v>
      </c>
      <c r="C248" s="190" t="s">
        <v>2079</v>
      </c>
      <c r="D248" s="249" t="s">
        <v>2563</v>
      </c>
      <c r="E248" s="348" t="s">
        <v>2273</v>
      </c>
      <c r="F248" s="349"/>
      <c r="G248" s="349"/>
      <c r="H248" s="349"/>
      <c r="I248" s="349"/>
      <c r="J248" s="350"/>
      <c r="K248" s="146"/>
      <c r="L248" s="146"/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  <c r="AA248" s="146"/>
      <c r="AB248" s="146"/>
      <c r="AC248" s="146"/>
      <c r="AD248" s="146"/>
      <c r="AE248" s="146"/>
    </row>
    <row r="249" spans="1:31" ht="54" customHeight="1" x14ac:dyDescent="0.25">
      <c r="A249" s="1"/>
      <c r="B249" s="189">
        <v>234</v>
      </c>
      <c r="C249" s="190" t="s">
        <v>2082</v>
      </c>
      <c r="D249" s="249" t="s">
        <v>2564</v>
      </c>
      <c r="E249" s="348" t="s">
        <v>2273</v>
      </c>
      <c r="F249" s="349"/>
      <c r="G249" s="349"/>
      <c r="H249" s="349"/>
      <c r="I249" s="349"/>
      <c r="J249" s="350"/>
      <c r="K249" s="146"/>
      <c r="L249" s="146"/>
      <c r="M249" s="146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  <c r="AA249" s="146"/>
      <c r="AB249" s="146"/>
      <c r="AC249" s="146"/>
      <c r="AD249" s="146"/>
      <c r="AE249" s="146"/>
    </row>
    <row r="250" spans="1:31" ht="54" customHeight="1" x14ac:dyDescent="0.25">
      <c r="A250" s="1"/>
      <c r="B250" s="189">
        <v>235</v>
      </c>
      <c r="C250" s="190" t="s">
        <v>2085</v>
      </c>
      <c r="D250" s="249" t="s">
        <v>2565</v>
      </c>
      <c r="E250" s="348" t="s">
        <v>2273</v>
      </c>
      <c r="F250" s="349"/>
      <c r="G250" s="349"/>
      <c r="H250" s="349"/>
      <c r="I250" s="349"/>
      <c r="J250" s="350"/>
      <c r="K250" s="146"/>
      <c r="L250" s="146"/>
      <c r="M250" s="146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  <c r="AA250" s="146"/>
      <c r="AB250" s="146"/>
      <c r="AC250" s="146"/>
      <c r="AD250" s="146"/>
      <c r="AE250" s="146"/>
    </row>
    <row r="251" spans="1:31" ht="54" customHeight="1" x14ac:dyDescent="0.25">
      <c r="A251" s="1"/>
      <c r="B251" s="189">
        <v>236</v>
      </c>
      <c r="C251" s="190" t="s">
        <v>2088</v>
      </c>
      <c r="D251" s="249" t="s">
        <v>2566</v>
      </c>
      <c r="E251" s="348" t="s">
        <v>2273</v>
      </c>
      <c r="F251" s="349"/>
      <c r="G251" s="349"/>
      <c r="H251" s="349"/>
      <c r="I251" s="349"/>
      <c r="J251" s="350"/>
      <c r="K251" s="146"/>
      <c r="L251" s="146"/>
      <c r="M251" s="146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  <c r="AA251" s="146"/>
      <c r="AB251" s="146"/>
      <c r="AC251" s="146"/>
      <c r="AD251" s="146"/>
      <c r="AE251" s="146"/>
    </row>
    <row r="252" spans="1:31" ht="54" customHeight="1" x14ac:dyDescent="0.25">
      <c r="A252" s="1"/>
      <c r="B252" s="189">
        <v>237</v>
      </c>
      <c r="C252" s="190" t="s">
        <v>2091</v>
      </c>
      <c r="D252" s="249" t="s">
        <v>2567</v>
      </c>
      <c r="E252" s="348" t="s">
        <v>2273</v>
      </c>
      <c r="F252" s="349"/>
      <c r="G252" s="349"/>
      <c r="H252" s="349"/>
      <c r="I252" s="349"/>
      <c r="J252" s="350"/>
      <c r="K252" s="146"/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  <c r="AA252" s="146"/>
      <c r="AB252" s="146"/>
      <c r="AC252" s="146"/>
      <c r="AD252" s="146"/>
      <c r="AE252" s="146"/>
    </row>
    <row r="253" spans="1:31" ht="54" customHeight="1" x14ac:dyDescent="0.25">
      <c r="A253" s="1"/>
      <c r="B253" s="189">
        <v>238</v>
      </c>
      <c r="C253" s="190" t="s">
        <v>2093</v>
      </c>
      <c r="D253" s="249" t="s">
        <v>2568</v>
      </c>
      <c r="E253" s="348" t="s">
        <v>2273</v>
      </c>
      <c r="F253" s="349"/>
      <c r="G253" s="349"/>
      <c r="H253" s="349"/>
      <c r="I253" s="349"/>
      <c r="J253" s="350"/>
      <c r="K253" s="146"/>
      <c r="L253" s="146"/>
      <c r="M253" s="146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  <c r="AA253" s="146"/>
      <c r="AB253" s="146"/>
      <c r="AC253" s="146"/>
      <c r="AD253" s="146"/>
      <c r="AE253" s="146"/>
    </row>
    <row r="254" spans="1:31" ht="54" customHeight="1" x14ac:dyDescent="0.25">
      <c r="A254" s="1"/>
      <c r="B254" s="189">
        <v>239</v>
      </c>
      <c r="C254" s="190" t="s">
        <v>2095</v>
      </c>
      <c r="D254" s="249" t="s">
        <v>2569</v>
      </c>
      <c r="E254" s="348" t="s">
        <v>2273</v>
      </c>
      <c r="F254" s="349"/>
      <c r="G254" s="349"/>
      <c r="H254" s="349"/>
      <c r="I254" s="349"/>
      <c r="J254" s="350"/>
      <c r="K254" s="146"/>
      <c r="L254" s="146"/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  <c r="AA254" s="146"/>
      <c r="AB254" s="146"/>
      <c r="AC254" s="146"/>
      <c r="AD254" s="146"/>
      <c r="AE254" s="146"/>
    </row>
    <row r="255" spans="1:31" ht="54" customHeight="1" x14ac:dyDescent="0.25">
      <c r="A255" s="1"/>
      <c r="B255" s="189">
        <v>240</v>
      </c>
      <c r="C255" s="190" t="s">
        <v>1750</v>
      </c>
      <c r="D255" s="249" t="s">
        <v>2570</v>
      </c>
      <c r="E255" s="348" t="s">
        <v>1857</v>
      </c>
      <c r="F255" s="349"/>
      <c r="G255" s="349"/>
      <c r="H255" s="349"/>
      <c r="I255" s="349"/>
      <c r="J255" s="350"/>
      <c r="K255" s="146"/>
      <c r="L255" s="146"/>
      <c r="M255" s="146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  <c r="AA255" s="146"/>
      <c r="AB255" s="146"/>
      <c r="AC255" s="146"/>
      <c r="AD255" s="146"/>
      <c r="AE255" s="146"/>
    </row>
    <row r="256" spans="1:31" ht="54" customHeight="1" x14ac:dyDescent="0.25">
      <c r="A256" s="1"/>
      <c r="B256" s="189">
        <v>241</v>
      </c>
      <c r="C256" s="190" t="s">
        <v>2228</v>
      </c>
      <c r="D256" s="249" t="s">
        <v>2571</v>
      </c>
      <c r="E256" s="348" t="s">
        <v>1861</v>
      </c>
      <c r="F256" s="349"/>
      <c r="G256" s="349"/>
      <c r="H256" s="349"/>
      <c r="I256" s="349"/>
      <c r="J256" s="350"/>
      <c r="K256" s="146"/>
      <c r="L256" s="146"/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  <c r="AA256" s="146"/>
      <c r="AB256" s="146"/>
      <c r="AC256" s="146"/>
      <c r="AD256" s="146"/>
      <c r="AE256" s="146"/>
    </row>
    <row r="257" spans="1:31" ht="54" customHeight="1" x14ac:dyDescent="0.25">
      <c r="A257" s="1"/>
      <c r="B257" s="189">
        <v>242</v>
      </c>
      <c r="C257" s="190" t="s">
        <v>2231</v>
      </c>
      <c r="D257" s="249" t="s">
        <v>2572</v>
      </c>
      <c r="E257" s="348" t="s">
        <v>1862</v>
      </c>
      <c r="F257" s="349"/>
      <c r="G257" s="349"/>
      <c r="H257" s="349"/>
      <c r="I257" s="349"/>
      <c r="J257" s="350"/>
      <c r="K257" s="146"/>
      <c r="L257" s="146"/>
      <c r="M257" s="146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  <c r="AA257" s="146"/>
      <c r="AB257" s="146"/>
      <c r="AC257" s="146"/>
      <c r="AD257" s="146"/>
      <c r="AE257" s="146"/>
    </row>
    <row r="258" spans="1:31" ht="54" customHeight="1" x14ac:dyDescent="0.25">
      <c r="A258" s="1"/>
      <c r="B258" s="189">
        <v>243</v>
      </c>
      <c r="C258" s="190" t="s">
        <v>2234</v>
      </c>
      <c r="D258" s="249" t="s">
        <v>2573</v>
      </c>
      <c r="E258" s="348" t="s">
        <v>1861</v>
      </c>
      <c r="F258" s="349"/>
      <c r="G258" s="349"/>
      <c r="H258" s="349"/>
      <c r="I258" s="349"/>
      <c r="J258" s="350"/>
      <c r="K258" s="146"/>
      <c r="L258" s="146"/>
      <c r="M258" s="146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  <c r="AA258" s="146"/>
      <c r="AB258" s="146"/>
      <c r="AC258" s="146"/>
      <c r="AD258" s="146"/>
      <c r="AE258" s="146"/>
    </row>
    <row r="259" spans="1:31" ht="54" customHeight="1" x14ac:dyDescent="0.25">
      <c r="A259" s="1"/>
      <c r="B259" s="189">
        <v>244</v>
      </c>
      <c r="C259" s="190" t="s">
        <v>1569</v>
      </c>
      <c r="D259" s="249" t="s">
        <v>2574</v>
      </c>
      <c r="E259" s="348" t="s">
        <v>1857</v>
      </c>
      <c r="F259" s="349"/>
      <c r="G259" s="349"/>
      <c r="H259" s="349"/>
      <c r="I259" s="349"/>
      <c r="J259" s="350"/>
      <c r="K259" s="146"/>
      <c r="L259" s="146"/>
      <c r="M259" s="146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  <c r="AA259" s="146"/>
      <c r="AB259" s="146"/>
      <c r="AC259" s="146"/>
      <c r="AD259" s="146"/>
      <c r="AE259" s="146"/>
    </row>
    <row r="260" spans="1:31" ht="54" customHeight="1" x14ac:dyDescent="0.25">
      <c r="A260" s="1"/>
      <c r="B260" s="189">
        <v>245</v>
      </c>
      <c r="C260" s="190" t="s">
        <v>2238</v>
      </c>
      <c r="D260" s="249" t="s">
        <v>2575</v>
      </c>
      <c r="E260" s="348" t="s">
        <v>1862</v>
      </c>
      <c r="F260" s="349"/>
      <c r="G260" s="349"/>
      <c r="H260" s="349"/>
      <c r="I260" s="349"/>
      <c r="J260" s="350"/>
      <c r="K260" s="146"/>
      <c r="L260" s="146"/>
      <c r="M260" s="146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  <c r="AA260" s="146"/>
      <c r="AB260" s="146"/>
      <c r="AC260" s="146"/>
      <c r="AD260" s="146"/>
      <c r="AE260" s="146"/>
    </row>
    <row r="261" spans="1:31" ht="54" customHeight="1" x14ac:dyDescent="0.25">
      <c r="A261" s="1"/>
      <c r="B261" s="189">
        <v>246</v>
      </c>
      <c r="C261" s="190" t="s">
        <v>439</v>
      </c>
      <c r="D261" s="249" t="s">
        <v>2576</v>
      </c>
      <c r="E261" s="348" t="s">
        <v>1852</v>
      </c>
      <c r="F261" s="349"/>
      <c r="G261" s="349"/>
      <c r="H261" s="349"/>
      <c r="I261" s="349"/>
      <c r="J261" s="350"/>
      <c r="K261" s="146"/>
      <c r="L261" s="146"/>
      <c r="M261" s="146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  <c r="AA261" s="146"/>
      <c r="AB261" s="146"/>
      <c r="AC261" s="146"/>
      <c r="AD261" s="146"/>
      <c r="AE261" s="146"/>
    </row>
    <row r="262" spans="1:31" ht="54" customHeight="1" x14ac:dyDescent="0.25">
      <c r="A262" s="1"/>
      <c r="B262" s="189">
        <v>247</v>
      </c>
      <c r="C262" s="190" t="s">
        <v>441</v>
      </c>
      <c r="D262" s="249" t="s">
        <v>2577</v>
      </c>
      <c r="E262" s="348" t="s">
        <v>1852</v>
      </c>
      <c r="F262" s="349"/>
      <c r="G262" s="349"/>
      <c r="H262" s="349"/>
      <c r="I262" s="349"/>
      <c r="J262" s="350"/>
      <c r="K262" s="146"/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  <c r="AA262" s="146"/>
      <c r="AB262" s="146"/>
      <c r="AC262" s="146"/>
      <c r="AD262" s="146"/>
      <c r="AE262" s="146"/>
    </row>
    <row r="263" spans="1:31" ht="54" customHeight="1" x14ac:dyDescent="0.25">
      <c r="A263" s="1"/>
      <c r="B263" s="189">
        <v>248</v>
      </c>
      <c r="C263" s="190" t="s">
        <v>1776</v>
      </c>
      <c r="D263" s="249" t="s">
        <v>2578</v>
      </c>
      <c r="E263" s="348" t="s">
        <v>1862</v>
      </c>
      <c r="F263" s="349"/>
      <c r="G263" s="349"/>
      <c r="H263" s="349"/>
      <c r="I263" s="349"/>
      <c r="J263" s="350"/>
      <c r="K263" s="146"/>
      <c r="L263" s="146"/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  <c r="AA263" s="146"/>
      <c r="AB263" s="146"/>
      <c r="AC263" s="146"/>
      <c r="AD263" s="146"/>
      <c r="AE263" s="146"/>
    </row>
    <row r="264" spans="1:31" ht="54" customHeight="1" x14ac:dyDescent="0.25">
      <c r="A264" s="1"/>
      <c r="B264" s="189">
        <v>249</v>
      </c>
      <c r="C264" s="190" t="s">
        <v>1782</v>
      </c>
      <c r="D264" s="249" t="s">
        <v>2579</v>
      </c>
      <c r="E264" s="348" t="s">
        <v>1852</v>
      </c>
      <c r="F264" s="349"/>
      <c r="G264" s="349"/>
      <c r="H264" s="349"/>
      <c r="I264" s="349"/>
      <c r="J264" s="350"/>
      <c r="K264" s="146"/>
      <c r="L264" s="146"/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  <c r="AA264" s="146"/>
      <c r="AB264" s="146"/>
      <c r="AC264" s="146"/>
      <c r="AD264" s="146"/>
      <c r="AE264" s="146"/>
    </row>
    <row r="265" spans="1:31" ht="54" customHeight="1" x14ac:dyDescent="0.25">
      <c r="A265" s="1"/>
      <c r="B265" s="189">
        <v>250</v>
      </c>
      <c r="C265" s="190" t="s">
        <v>2099</v>
      </c>
      <c r="D265" s="249" t="s">
        <v>2580</v>
      </c>
      <c r="E265" s="348" t="s">
        <v>1852</v>
      </c>
      <c r="F265" s="349"/>
      <c r="G265" s="349"/>
      <c r="H265" s="349"/>
      <c r="I265" s="349"/>
      <c r="J265" s="350"/>
      <c r="K265" s="146"/>
      <c r="L265" s="146"/>
      <c r="M265" s="146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  <c r="AA265" s="146"/>
      <c r="AB265" s="146"/>
      <c r="AC265" s="146"/>
      <c r="AD265" s="146"/>
      <c r="AE265" s="146"/>
    </row>
    <row r="266" spans="1:31" ht="54" customHeight="1" x14ac:dyDescent="0.25">
      <c r="A266" s="1"/>
      <c r="B266" s="189">
        <v>251</v>
      </c>
      <c r="C266" s="190" t="s">
        <v>2102</v>
      </c>
      <c r="D266" s="249" t="s">
        <v>2581</v>
      </c>
      <c r="E266" s="348" t="s">
        <v>1862</v>
      </c>
      <c r="F266" s="349"/>
      <c r="G266" s="349"/>
      <c r="H266" s="349"/>
      <c r="I266" s="349"/>
      <c r="J266" s="350"/>
      <c r="K266" s="146"/>
      <c r="L266" s="146"/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  <c r="AA266" s="146"/>
      <c r="AB266" s="146"/>
      <c r="AC266" s="146"/>
      <c r="AD266" s="146"/>
      <c r="AE266" s="146"/>
    </row>
    <row r="267" spans="1:31" ht="54" customHeight="1" x14ac:dyDescent="0.25">
      <c r="A267" s="1"/>
      <c r="B267" s="189">
        <v>252</v>
      </c>
      <c r="C267" s="190" t="s">
        <v>2105</v>
      </c>
      <c r="D267" s="253" t="s">
        <v>2582</v>
      </c>
      <c r="E267" s="348" t="s">
        <v>1862</v>
      </c>
      <c r="F267" s="349"/>
      <c r="G267" s="349"/>
      <c r="H267" s="349"/>
      <c r="I267" s="349"/>
      <c r="J267" s="350"/>
      <c r="K267" s="146"/>
      <c r="L267" s="146"/>
      <c r="M267" s="146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  <c r="AA267" s="146"/>
      <c r="AB267" s="146"/>
      <c r="AC267" s="146"/>
      <c r="AD267" s="146"/>
      <c r="AE267" s="146"/>
    </row>
    <row r="268" spans="1:31" ht="54" customHeight="1" x14ac:dyDescent="0.25">
      <c r="A268" s="1"/>
      <c r="B268" s="189">
        <v>253</v>
      </c>
      <c r="C268" s="190" t="s">
        <v>2109</v>
      </c>
      <c r="D268" s="253" t="s">
        <v>2583</v>
      </c>
      <c r="E268" s="348" t="s">
        <v>1861</v>
      </c>
      <c r="F268" s="349"/>
      <c r="G268" s="349"/>
      <c r="H268" s="349"/>
      <c r="I268" s="349"/>
      <c r="J268" s="350"/>
      <c r="K268" s="146"/>
      <c r="L268" s="146"/>
      <c r="M268" s="146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  <c r="AA268" s="146"/>
      <c r="AB268" s="146"/>
      <c r="AC268" s="146"/>
      <c r="AD268" s="146"/>
      <c r="AE268" s="146"/>
    </row>
    <row r="269" spans="1:31" ht="54" customHeight="1" x14ac:dyDescent="0.25">
      <c r="A269" s="1"/>
      <c r="B269" s="189">
        <v>254</v>
      </c>
      <c r="C269" s="190" t="s">
        <v>414</v>
      </c>
      <c r="D269" s="253" t="s">
        <v>2584</v>
      </c>
      <c r="E269" s="348" t="s">
        <v>1852</v>
      </c>
      <c r="F269" s="349"/>
      <c r="G269" s="349"/>
      <c r="H269" s="349"/>
      <c r="I269" s="349"/>
      <c r="J269" s="350"/>
      <c r="K269" s="146"/>
      <c r="L269" s="146"/>
      <c r="M269" s="146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  <c r="AA269" s="146"/>
      <c r="AB269" s="146"/>
      <c r="AC269" s="146"/>
      <c r="AD269" s="146"/>
      <c r="AE269" s="146"/>
    </row>
    <row r="270" spans="1:31" ht="54" customHeight="1" x14ac:dyDescent="0.25">
      <c r="A270" s="1"/>
      <c r="B270" s="189">
        <v>255</v>
      </c>
      <c r="C270" s="190" t="s">
        <v>443</v>
      </c>
      <c r="D270" s="253" t="s">
        <v>2585</v>
      </c>
      <c r="E270" s="348" t="s">
        <v>1852</v>
      </c>
      <c r="F270" s="349"/>
      <c r="G270" s="349"/>
      <c r="H270" s="349"/>
      <c r="I270" s="349"/>
      <c r="J270" s="350"/>
      <c r="K270" s="146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  <c r="AA270" s="146"/>
      <c r="AB270" s="146"/>
      <c r="AC270" s="146"/>
      <c r="AD270" s="146"/>
      <c r="AE270" s="146"/>
    </row>
    <row r="271" spans="1:31" ht="15.75" customHeight="1" x14ac:dyDescent="0.25">
      <c r="A271" s="1"/>
      <c r="B271" s="146"/>
      <c r="C271" s="146"/>
      <c r="D271" s="146"/>
      <c r="E271" s="146"/>
      <c r="F271" s="146"/>
      <c r="G271" s="192"/>
      <c r="H271" s="193"/>
      <c r="I271" s="191"/>
      <c r="J271" s="146"/>
      <c r="K271" s="146"/>
      <c r="L271" s="146"/>
      <c r="M271" s="146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  <c r="AA271" s="146"/>
      <c r="AB271" s="146"/>
      <c r="AC271" s="146"/>
      <c r="AD271" s="146"/>
      <c r="AE271" s="146"/>
    </row>
    <row r="272" spans="1:31" ht="15.75" customHeight="1" x14ac:dyDescent="0.25">
      <c r="A272" s="1"/>
      <c r="B272" s="146"/>
      <c r="C272" s="146"/>
      <c r="D272" s="146"/>
      <c r="E272" s="146"/>
      <c r="F272" s="146"/>
      <c r="G272" s="192"/>
      <c r="H272" s="193"/>
      <c r="I272" s="191"/>
      <c r="J272" s="146"/>
      <c r="K272" s="146"/>
      <c r="L272" s="146"/>
      <c r="M272" s="146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  <c r="AA272" s="146"/>
      <c r="AB272" s="146"/>
      <c r="AC272" s="146"/>
      <c r="AD272" s="146"/>
      <c r="AE272" s="146"/>
    </row>
    <row r="273" spans="1:31" ht="15.75" customHeight="1" x14ac:dyDescent="0.25">
      <c r="A273" s="1"/>
      <c r="B273" s="146"/>
      <c r="C273" s="146"/>
      <c r="D273" s="146"/>
      <c r="E273" s="146"/>
      <c r="F273" s="146"/>
      <c r="G273" s="192"/>
      <c r="H273" s="193"/>
      <c r="I273" s="191"/>
      <c r="J273" s="146"/>
      <c r="K273" s="146"/>
      <c r="L273" s="146"/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  <c r="AA273" s="146"/>
      <c r="AB273" s="146"/>
      <c r="AC273" s="146"/>
      <c r="AD273" s="146"/>
      <c r="AE273" s="146"/>
    </row>
    <row r="274" spans="1:31" ht="15.75" customHeight="1" x14ac:dyDescent="0.25">
      <c r="A274" s="1"/>
      <c r="B274" s="146"/>
      <c r="C274" s="146"/>
      <c r="D274" s="146"/>
      <c r="E274" s="146"/>
      <c r="F274" s="146"/>
      <c r="G274" s="192"/>
      <c r="H274" s="193"/>
      <c r="I274" s="191"/>
      <c r="J274" s="146"/>
      <c r="K274" s="146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  <c r="AA274" s="146"/>
      <c r="AB274" s="146"/>
      <c r="AC274" s="146"/>
      <c r="AD274" s="146"/>
      <c r="AE274" s="146"/>
    </row>
    <row r="275" spans="1:31" ht="15.75" customHeight="1" x14ac:dyDescent="0.25">
      <c r="A275" s="1"/>
      <c r="B275" s="146"/>
      <c r="C275" s="146"/>
      <c r="D275" s="146"/>
      <c r="E275" s="146"/>
      <c r="F275" s="146"/>
      <c r="G275" s="192"/>
      <c r="H275" s="193"/>
      <c r="I275" s="191"/>
      <c r="J275" s="146"/>
      <c r="K275" s="146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  <c r="AA275" s="146"/>
      <c r="AB275" s="146"/>
      <c r="AC275" s="146"/>
      <c r="AD275" s="146"/>
      <c r="AE275" s="146"/>
    </row>
    <row r="276" spans="1:31" ht="15.75" customHeight="1" x14ac:dyDescent="0.25">
      <c r="A276" s="1"/>
      <c r="B276" s="146"/>
      <c r="C276" s="146"/>
      <c r="D276" s="146"/>
      <c r="E276" s="146"/>
      <c r="F276" s="146"/>
      <c r="G276" s="192"/>
      <c r="H276" s="193"/>
      <c r="I276" s="191"/>
      <c r="J276" s="146"/>
      <c r="K276" s="146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  <c r="AA276" s="146"/>
      <c r="AB276" s="146"/>
      <c r="AC276" s="146"/>
      <c r="AD276" s="146"/>
      <c r="AE276" s="146"/>
    </row>
    <row r="277" spans="1:31" ht="15.75" customHeight="1" x14ac:dyDescent="0.25">
      <c r="A277" s="1"/>
      <c r="B277" s="146"/>
      <c r="C277" s="146"/>
      <c r="D277" s="146"/>
      <c r="E277" s="146"/>
      <c r="F277" s="146"/>
      <c r="G277" s="192"/>
      <c r="H277" s="193"/>
      <c r="I277" s="191"/>
      <c r="J277" s="146"/>
      <c r="K277" s="146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  <c r="AA277" s="146"/>
      <c r="AB277" s="146"/>
      <c r="AC277" s="146"/>
      <c r="AD277" s="146"/>
      <c r="AE277" s="146"/>
    </row>
    <row r="278" spans="1:31" ht="15.75" customHeight="1" x14ac:dyDescent="0.25">
      <c r="A278" s="1"/>
      <c r="B278" s="146"/>
      <c r="C278" s="146"/>
      <c r="D278" s="146"/>
      <c r="E278" s="146"/>
      <c r="F278" s="146"/>
      <c r="G278" s="192"/>
      <c r="H278" s="193"/>
      <c r="I278" s="191"/>
      <c r="J278" s="146"/>
      <c r="K278" s="146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  <c r="AA278" s="146"/>
      <c r="AB278" s="146"/>
      <c r="AC278" s="146"/>
      <c r="AD278" s="146"/>
      <c r="AE278" s="146"/>
    </row>
    <row r="279" spans="1:31" ht="15.75" customHeight="1" x14ac:dyDescent="0.25">
      <c r="A279" s="1"/>
      <c r="B279" s="146"/>
      <c r="C279" s="146"/>
      <c r="D279" s="146"/>
      <c r="E279" s="146"/>
      <c r="F279" s="146"/>
      <c r="G279" s="192"/>
      <c r="H279" s="193"/>
      <c r="I279" s="191"/>
      <c r="J279" s="146"/>
      <c r="K279" s="146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  <c r="AA279" s="146"/>
      <c r="AB279" s="146"/>
      <c r="AC279" s="146"/>
      <c r="AD279" s="146"/>
      <c r="AE279" s="146"/>
    </row>
    <row r="280" spans="1:31" ht="15.75" customHeight="1" x14ac:dyDescent="0.25">
      <c r="A280" s="1"/>
      <c r="B280" s="146"/>
      <c r="C280" s="146"/>
      <c r="D280" s="146"/>
      <c r="E280" s="146"/>
      <c r="F280" s="146"/>
      <c r="G280" s="192"/>
      <c r="H280" s="193"/>
      <c r="I280" s="191"/>
      <c r="J280" s="146"/>
      <c r="K280" s="146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  <c r="AA280" s="146"/>
      <c r="AB280" s="146"/>
      <c r="AC280" s="146"/>
      <c r="AD280" s="146"/>
      <c r="AE280" s="146"/>
    </row>
    <row r="281" spans="1:31" ht="15.75" customHeight="1" x14ac:dyDescent="0.25">
      <c r="A281" s="1"/>
      <c r="B281" s="146"/>
      <c r="C281" s="146"/>
      <c r="D281" s="146"/>
      <c r="E281" s="146"/>
      <c r="F281" s="146"/>
      <c r="G281" s="192"/>
      <c r="H281" s="193"/>
      <c r="I281" s="191"/>
      <c r="J281" s="146"/>
      <c r="K281" s="146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  <c r="AA281" s="146"/>
      <c r="AB281" s="146"/>
      <c r="AC281" s="146"/>
      <c r="AD281" s="146"/>
      <c r="AE281" s="146"/>
    </row>
    <row r="282" spans="1:31" ht="15.75" customHeight="1" x14ac:dyDescent="0.25">
      <c r="A282" s="1"/>
      <c r="B282" s="146"/>
      <c r="C282" s="146"/>
      <c r="D282" s="146"/>
      <c r="E282" s="146"/>
      <c r="F282" s="146"/>
      <c r="G282" s="192"/>
      <c r="H282" s="193"/>
      <c r="I282" s="191"/>
      <c r="J282" s="146"/>
      <c r="K282" s="146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  <c r="AA282" s="146"/>
      <c r="AB282" s="146"/>
      <c r="AC282" s="146"/>
      <c r="AD282" s="146"/>
      <c r="AE282" s="146"/>
    </row>
    <row r="283" spans="1:31" ht="15.75" customHeight="1" x14ac:dyDescent="0.25">
      <c r="A283" s="1"/>
      <c r="B283" s="146"/>
      <c r="C283" s="146"/>
      <c r="D283" s="146"/>
      <c r="E283" s="146"/>
      <c r="F283" s="146"/>
      <c r="G283" s="192"/>
      <c r="H283" s="193"/>
      <c r="I283" s="191"/>
      <c r="J283" s="146"/>
      <c r="K283" s="146"/>
      <c r="L283" s="146"/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  <c r="AA283" s="146"/>
      <c r="AB283" s="146"/>
      <c r="AC283" s="146"/>
      <c r="AD283" s="146"/>
      <c r="AE283" s="146"/>
    </row>
    <row r="284" spans="1:31" ht="15.75" customHeight="1" x14ac:dyDescent="0.25">
      <c r="A284" s="1"/>
      <c r="B284" s="146"/>
      <c r="C284" s="146"/>
      <c r="D284" s="146"/>
      <c r="E284" s="146"/>
      <c r="F284" s="146"/>
      <c r="G284" s="192"/>
      <c r="H284" s="193"/>
      <c r="I284" s="191"/>
      <c r="J284" s="146"/>
      <c r="K284" s="146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  <c r="AA284" s="146"/>
      <c r="AB284" s="146"/>
      <c r="AC284" s="146"/>
      <c r="AD284" s="146"/>
      <c r="AE284" s="146"/>
    </row>
    <row r="285" spans="1:31" ht="15.75" customHeight="1" x14ac:dyDescent="0.25">
      <c r="A285" s="1"/>
      <c r="B285" s="146"/>
      <c r="C285" s="146"/>
      <c r="D285" s="146"/>
      <c r="E285" s="146"/>
      <c r="F285" s="146"/>
      <c r="G285" s="192"/>
      <c r="H285" s="193"/>
      <c r="I285" s="191"/>
      <c r="J285" s="146"/>
      <c r="K285" s="146"/>
      <c r="L285" s="146"/>
      <c r="M285" s="146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  <c r="AA285" s="146"/>
      <c r="AB285" s="146"/>
      <c r="AC285" s="146"/>
      <c r="AD285" s="146"/>
      <c r="AE285" s="146"/>
    </row>
    <row r="286" spans="1:31" ht="15.75" customHeight="1" x14ac:dyDescent="0.25">
      <c r="A286" s="1"/>
      <c r="B286" s="146"/>
      <c r="C286" s="146"/>
      <c r="D286" s="146"/>
      <c r="E286" s="146"/>
      <c r="F286" s="146"/>
      <c r="G286" s="192"/>
      <c r="H286" s="193"/>
      <c r="I286" s="191"/>
      <c r="J286" s="146"/>
      <c r="K286" s="146"/>
      <c r="L286" s="146"/>
      <c r="M286" s="146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  <c r="AA286" s="146"/>
      <c r="AB286" s="146"/>
      <c r="AC286" s="146"/>
      <c r="AD286" s="146"/>
      <c r="AE286" s="146"/>
    </row>
    <row r="287" spans="1:31" ht="15.75" customHeight="1" x14ac:dyDescent="0.25">
      <c r="A287" s="1"/>
      <c r="B287" s="146"/>
      <c r="C287" s="146"/>
      <c r="D287" s="146"/>
      <c r="E287" s="146"/>
      <c r="F287" s="146"/>
      <c r="G287" s="192"/>
      <c r="H287" s="193"/>
      <c r="I287" s="191"/>
      <c r="J287" s="146"/>
      <c r="K287" s="146"/>
      <c r="L287" s="146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  <c r="AA287" s="146"/>
      <c r="AB287" s="146"/>
      <c r="AC287" s="146"/>
      <c r="AD287" s="146"/>
      <c r="AE287" s="146"/>
    </row>
    <row r="288" spans="1:31" ht="15.75" customHeight="1" x14ac:dyDescent="0.25">
      <c r="A288" s="1"/>
      <c r="B288" s="146"/>
      <c r="C288" s="146"/>
      <c r="D288" s="146"/>
      <c r="E288" s="146"/>
      <c r="F288" s="146"/>
      <c r="G288" s="192"/>
      <c r="H288" s="193"/>
      <c r="I288" s="191"/>
      <c r="J288" s="146"/>
      <c r="K288" s="146"/>
      <c r="L288" s="146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  <c r="AA288" s="146"/>
      <c r="AB288" s="146"/>
      <c r="AC288" s="146"/>
      <c r="AD288" s="146"/>
      <c r="AE288" s="146"/>
    </row>
    <row r="289" spans="1:31" ht="15.75" customHeight="1" x14ac:dyDescent="0.25">
      <c r="A289" s="1"/>
      <c r="B289" s="146"/>
      <c r="C289" s="146"/>
      <c r="D289" s="146"/>
      <c r="E289" s="146"/>
      <c r="F289" s="146"/>
      <c r="G289" s="192"/>
      <c r="H289" s="193"/>
      <c r="I289" s="191"/>
      <c r="J289" s="146"/>
      <c r="K289" s="146"/>
      <c r="L289" s="146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  <c r="AA289" s="146"/>
      <c r="AB289" s="146"/>
      <c r="AC289" s="146"/>
      <c r="AD289" s="146"/>
      <c r="AE289" s="146"/>
    </row>
    <row r="290" spans="1:31" ht="15.75" customHeight="1" x14ac:dyDescent="0.25">
      <c r="A290" s="1"/>
      <c r="B290" s="146"/>
      <c r="C290" s="146"/>
      <c r="D290" s="146"/>
      <c r="E290" s="146"/>
      <c r="F290" s="146"/>
      <c r="G290" s="192"/>
      <c r="H290" s="193"/>
      <c r="I290" s="191"/>
      <c r="J290" s="146"/>
      <c r="K290" s="146"/>
      <c r="L290" s="146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  <c r="AA290" s="146"/>
      <c r="AB290" s="146"/>
      <c r="AC290" s="146"/>
      <c r="AD290" s="146"/>
      <c r="AE290" s="146"/>
    </row>
    <row r="291" spans="1:31" ht="15.75" customHeight="1" x14ac:dyDescent="0.25">
      <c r="A291" s="1"/>
      <c r="B291" s="146"/>
      <c r="C291" s="146"/>
      <c r="D291" s="146"/>
      <c r="E291" s="146"/>
      <c r="F291" s="146"/>
      <c r="G291" s="192"/>
      <c r="H291" s="193"/>
      <c r="I291" s="191"/>
      <c r="J291" s="146"/>
      <c r="K291" s="146"/>
      <c r="L291" s="146"/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  <c r="AA291" s="146"/>
      <c r="AB291" s="146"/>
      <c r="AC291" s="146"/>
      <c r="AD291" s="146"/>
      <c r="AE291" s="146"/>
    </row>
    <row r="292" spans="1:31" ht="15.75" customHeight="1" x14ac:dyDescent="0.25">
      <c r="A292" s="1"/>
      <c r="B292" s="1"/>
      <c r="C292" s="1"/>
      <c r="D292" s="1"/>
      <c r="E292" s="1"/>
      <c r="F292" s="1"/>
      <c r="G292" s="1"/>
      <c r="H292" s="184"/>
      <c r="I292" s="184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customHeight="1" x14ac:dyDescent="0.25">
      <c r="A293" s="1"/>
      <c r="B293" s="1"/>
      <c r="C293" s="1"/>
      <c r="D293" s="1"/>
      <c r="E293" s="1"/>
      <c r="F293" s="1"/>
      <c r="G293" s="1"/>
      <c r="H293" s="184"/>
      <c r="I293" s="184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5.75" customHeight="1" x14ac:dyDescent="0.25">
      <c r="A294" s="1"/>
      <c r="B294" s="1"/>
      <c r="C294" s="1"/>
      <c r="D294" s="1"/>
      <c r="E294" s="1"/>
      <c r="F294" s="1"/>
      <c r="G294" s="1"/>
      <c r="H294" s="184"/>
      <c r="I294" s="184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.75" customHeight="1" x14ac:dyDescent="0.25">
      <c r="A295" s="1"/>
      <c r="B295" s="1"/>
      <c r="C295" s="1"/>
      <c r="D295" s="1"/>
      <c r="E295" s="1"/>
      <c r="F295" s="1"/>
      <c r="G295" s="1"/>
      <c r="H295" s="184"/>
      <c r="I295" s="184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.75" customHeight="1" x14ac:dyDescent="0.25">
      <c r="A296" s="1"/>
      <c r="B296" s="1"/>
      <c r="C296" s="1"/>
      <c r="D296" s="1"/>
      <c r="E296" s="1"/>
      <c r="F296" s="1"/>
      <c r="G296" s="1"/>
      <c r="H296" s="184"/>
      <c r="I296" s="184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.75" customHeight="1" x14ac:dyDescent="0.25">
      <c r="A297" s="1"/>
      <c r="B297" s="1"/>
      <c r="C297" s="1"/>
      <c r="D297" s="1"/>
      <c r="E297" s="1"/>
      <c r="F297" s="1"/>
      <c r="G297" s="1"/>
      <c r="H297" s="184"/>
      <c r="I297" s="184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.75" customHeight="1" x14ac:dyDescent="0.25">
      <c r="A298" s="1"/>
      <c r="B298" s="1"/>
      <c r="C298" s="1"/>
      <c r="D298" s="1"/>
      <c r="E298" s="1"/>
      <c r="F298" s="1"/>
      <c r="G298" s="1"/>
      <c r="H298" s="184"/>
      <c r="I298" s="184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customHeight="1" x14ac:dyDescent="0.25">
      <c r="A299" s="1"/>
      <c r="B299" s="1"/>
      <c r="C299" s="1"/>
      <c r="D299" s="1"/>
      <c r="E299" s="1"/>
      <c r="F299" s="1"/>
      <c r="G299" s="1"/>
      <c r="H299" s="184"/>
      <c r="I299" s="184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5.75" customHeight="1" x14ac:dyDescent="0.25">
      <c r="A300" s="1"/>
      <c r="B300" s="1"/>
      <c r="C300" s="1"/>
      <c r="D300" s="1"/>
      <c r="E300" s="1"/>
      <c r="F300" s="1"/>
      <c r="G300" s="1"/>
      <c r="H300" s="184"/>
      <c r="I300" s="184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customHeight="1" x14ac:dyDescent="0.25">
      <c r="A301" s="1"/>
      <c r="B301" s="1"/>
      <c r="C301" s="1"/>
      <c r="D301" s="1"/>
      <c r="E301" s="1"/>
      <c r="F301" s="1"/>
      <c r="G301" s="1"/>
      <c r="H301" s="184"/>
      <c r="I301" s="184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5.75" customHeight="1" x14ac:dyDescent="0.25">
      <c r="A302" s="1"/>
      <c r="B302" s="1"/>
      <c r="C302" s="1"/>
      <c r="D302" s="1"/>
      <c r="E302" s="1"/>
      <c r="F302" s="1"/>
      <c r="G302" s="1"/>
      <c r="H302" s="184"/>
      <c r="I302" s="184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.75" customHeight="1" x14ac:dyDescent="0.25">
      <c r="A303" s="1"/>
      <c r="B303" s="1"/>
      <c r="C303" s="1"/>
      <c r="D303" s="1"/>
      <c r="E303" s="1"/>
      <c r="F303" s="1"/>
      <c r="G303" s="1"/>
      <c r="H303" s="184"/>
      <c r="I303" s="184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5.75" customHeight="1" x14ac:dyDescent="0.25">
      <c r="A304" s="1"/>
      <c r="B304" s="1"/>
      <c r="C304" s="1"/>
      <c r="D304" s="1"/>
      <c r="E304" s="1"/>
      <c r="F304" s="1"/>
      <c r="G304" s="1"/>
      <c r="H304" s="184"/>
      <c r="I304" s="184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.75" customHeight="1" x14ac:dyDescent="0.25">
      <c r="A305" s="1"/>
      <c r="B305" s="1"/>
      <c r="C305" s="1"/>
      <c r="D305" s="1"/>
      <c r="E305" s="1"/>
      <c r="F305" s="1"/>
      <c r="G305" s="1"/>
      <c r="H305" s="184"/>
      <c r="I305" s="184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5.75" customHeight="1" x14ac:dyDescent="0.25">
      <c r="A306" s="1"/>
      <c r="B306" s="1"/>
      <c r="C306" s="1"/>
      <c r="D306" s="1"/>
      <c r="E306" s="1"/>
      <c r="F306" s="1"/>
      <c r="G306" s="1"/>
      <c r="H306" s="184"/>
      <c r="I306" s="184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.75" customHeight="1" x14ac:dyDescent="0.25">
      <c r="A307" s="1"/>
      <c r="B307" s="1"/>
      <c r="C307" s="1"/>
      <c r="D307" s="1"/>
      <c r="E307" s="1"/>
      <c r="F307" s="1"/>
      <c r="G307" s="1"/>
      <c r="H307" s="184"/>
      <c r="I307" s="184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5.75" customHeight="1" x14ac:dyDescent="0.25">
      <c r="A308" s="1"/>
      <c r="B308" s="1"/>
      <c r="C308" s="1"/>
      <c r="D308" s="1"/>
      <c r="E308" s="1"/>
      <c r="F308" s="1"/>
      <c r="G308" s="1"/>
      <c r="H308" s="184"/>
      <c r="I308" s="184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.75" customHeight="1" x14ac:dyDescent="0.25">
      <c r="A309" s="1"/>
      <c r="B309" s="1"/>
      <c r="C309" s="1"/>
      <c r="D309" s="1"/>
      <c r="E309" s="1"/>
      <c r="F309" s="1"/>
      <c r="G309" s="1"/>
      <c r="H309" s="184"/>
      <c r="I309" s="184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5.75" customHeight="1" x14ac:dyDescent="0.25">
      <c r="A310" s="1"/>
      <c r="B310" s="1"/>
      <c r="C310" s="1"/>
      <c r="D310" s="1"/>
      <c r="E310" s="1"/>
      <c r="F310" s="1"/>
      <c r="G310" s="1"/>
      <c r="H310" s="184"/>
      <c r="I310" s="184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.75" customHeight="1" x14ac:dyDescent="0.25">
      <c r="A311" s="1"/>
      <c r="B311" s="1"/>
      <c r="C311" s="1"/>
      <c r="D311" s="1"/>
      <c r="E311" s="1"/>
      <c r="F311" s="1"/>
      <c r="G311" s="1"/>
      <c r="H311" s="184"/>
      <c r="I311" s="184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.75" customHeight="1" x14ac:dyDescent="0.25">
      <c r="A312" s="1"/>
      <c r="B312" s="1"/>
      <c r="C312" s="1"/>
      <c r="D312" s="1"/>
      <c r="E312" s="1"/>
      <c r="F312" s="1"/>
      <c r="G312" s="1"/>
      <c r="H312" s="184"/>
      <c r="I312" s="184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.75" customHeight="1" x14ac:dyDescent="0.25">
      <c r="A313" s="1"/>
      <c r="B313" s="1"/>
      <c r="C313" s="1"/>
      <c r="D313" s="1"/>
      <c r="E313" s="1"/>
      <c r="F313" s="1"/>
      <c r="G313" s="1"/>
      <c r="H313" s="184"/>
      <c r="I313" s="184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.75" customHeight="1" x14ac:dyDescent="0.25">
      <c r="A314" s="1"/>
      <c r="B314" s="1"/>
      <c r="C314" s="1"/>
      <c r="D314" s="1"/>
      <c r="E314" s="1"/>
      <c r="F314" s="1"/>
      <c r="G314" s="1"/>
      <c r="H314" s="184"/>
      <c r="I314" s="184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customHeight="1" x14ac:dyDescent="0.25">
      <c r="A315" s="1"/>
      <c r="B315" s="1"/>
      <c r="C315" s="1"/>
      <c r="D315" s="1"/>
      <c r="E315" s="1"/>
      <c r="F315" s="1"/>
      <c r="G315" s="1"/>
      <c r="H315" s="184"/>
      <c r="I315" s="184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5.75" customHeight="1" x14ac:dyDescent="0.25">
      <c r="A316" s="1"/>
      <c r="B316" s="1"/>
      <c r="C316" s="1"/>
      <c r="D316" s="1"/>
      <c r="E316" s="1"/>
      <c r="F316" s="1"/>
      <c r="G316" s="1"/>
      <c r="H316" s="184"/>
      <c r="I316" s="184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.75" customHeight="1" x14ac:dyDescent="0.25">
      <c r="A317" s="1"/>
      <c r="B317" s="1"/>
      <c r="C317" s="1"/>
      <c r="D317" s="1"/>
      <c r="E317" s="1"/>
      <c r="F317" s="1"/>
      <c r="G317" s="1"/>
      <c r="H317" s="184"/>
      <c r="I317" s="184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.75" customHeight="1" x14ac:dyDescent="0.25">
      <c r="A318" s="1"/>
      <c r="B318" s="1"/>
      <c r="C318" s="1"/>
      <c r="D318" s="1"/>
      <c r="E318" s="1"/>
      <c r="F318" s="1"/>
      <c r="G318" s="1"/>
      <c r="H318" s="184"/>
      <c r="I318" s="184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.75" customHeight="1" x14ac:dyDescent="0.25">
      <c r="A319" s="1"/>
      <c r="B319" s="1"/>
      <c r="C319" s="1"/>
      <c r="D319" s="1"/>
      <c r="E319" s="1"/>
      <c r="F319" s="1"/>
      <c r="G319" s="1"/>
      <c r="H319" s="184"/>
      <c r="I319" s="184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5.75" customHeight="1" x14ac:dyDescent="0.25">
      <c r="A320" s="1"/>
      <c r="B320" s="1"/>
      <c r="C320" s="1"/>
      <c r="D320" s="1"/>
      <c r="E320" s="1"/>
      <c r="F320" s="1"/>
      <c r="G320" s="1"/>
      <c r="H320" s="184"/>
      <c r="I320" s="184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.75" customHeight="1" x14ac:dyDescent="0.25">
      <c r="A321" s="1"/>
      <c r="B321" s="1"/>
      <c r="C321" s="1"/>
      <c r="D321" s="1"/>
      <c r="E321" s="1"/>
      <c r="F321" s="1"/>
      <c r="G321" s="1"/>
      <c r="H321" s="184"/>
      <c r="I321" s="184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5.75" customHeight="1" x14ac:dyDescent="0.25">
      <c r="A322" s="1"/>
      <c r="B322" s="1"/>
      <c r="C322" s="1"/>
      <c r="D322" s="1"/>
      <c r="E322" s="1"/>
      <c r="F322" s="1"/>
      <c r="G322" s="1"/>
      <c r="H322" s="184"/>
      <c r="I322" s="184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.75" customHeight="1" x14ac:dyDescent="0.25">
      <c r="A323" s="1"/>
      <c r="B323" s="1"/>
      <c r="C323" s="1"/>
      <c r="D323" s="1"/>
      <c r="E323" s="1"/>
      <c r="F323" s="1"/>
      <c r="G323" s="1"/>
      <c r="H323" s="184"/>
      <c r="I323" s="184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5.75" customHeight="1" x14ac:dyDescent="0.25">
      <c r="A324" s="1"/>
      <c r="B324" s="1"/>
      <c r="C324" s="1"/>
      <c r="D324" s="1"/>
      <c r="E324" s="1"/>
      <c r="F324" s="1"/>
      <c r="G324" s="1"/>
      <c r="H324" s="184"/>
      <c r="I324" s="184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.75" customHeight="1" x14ac:dyDescent="0.25">
      <c r="A325" s="1"/>
      <c r="B325" s="1"/>
      <c r="C325" s="1"/>
      <c r="D325" s="1"/>
      <c r="E325" s="1"/>
      <c r="F325" s="1"/>
      <c r="G325" s="1"/>
      <c r="H325" s="184"/>
      <c r="I325" s="184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.75" customHeight="1" x14ac:dyDescent="0.25">
      <c r="A326" s="1"/>
      <c r="B326" s="1"/>
      <c r="C326" s="1"/>
      <c r="D326" s="1"/>
      <c r="E326" s="1"/>
      <c r="F326" s="1"/>
      <c r="G326" s="1"/>
      <c r="H326" s="184"/>
      <c r="I326" s="184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.75" customHeight="1" x14ac:dyDescent="0.25">
      <c r="A327" s="1"/>
      <c r="B327" s="1"/>
      <c r="C327" s="1"/>
      <c r="D327" s="1"/>
      <c r="E327" s="1"/>
      <c r="F327" s="1"/>
      <c r="G327" s="1"/>
      <c r="H327" s="184"/>
      <c r="I327" s="184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.75" customHeight="1" x14ac:dyDescent="0.25">
      <c r="A328" s="1"/>
      <c r="B328" s="1"/>
      <c r="C328" s="1"/>
      <c r="D328" s="1"/>
      <c r="E328" s="1"/>
      <c r="F328" s="1"/>
      <c r="G328" s="1"/>
      <c r="H328" s="184"/>
      <c r="I328" s="184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.75" customHeight="1" x14ac:dyDescent="0.25">
      <c r="A329" s="1"/>
      <c r="B329" s="1"/>
      <c r="C329" s="1"/>
      <c r="D329" s="1"/>
      <c r="E329" s="1"/>
      <c r="F329" s="1"/>
      <c r="G329" s="1"/>
      <c r="H329" s="184"/>
      <c r="I329" s="184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.75" customHeight="1" x14ac:dyDescent="0.25">
      <c r="A330" s="1"/>
      <c r="B330" s="1"/>
      <c r="C330" s="1"/>
      <c r="D330" s="1"/>
      <c r="E330" s="1"/>
      <c r="F330" s="1"/>
      <c r="G330" s="1"/>
      <c r="H330" s="184"/>
      <c r="I330" s="184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.75" customHeight="1" x14ac:dyDescent="0.25">
      <c r="A331" s="1"/>
      <c r="B331" s="1"/>
      <c r="C331" s="1"/>
      <c r="D331" s="1"/>
      <c r="E331" s="1"/>
      <c r="F331" s="1"/>
      <c r="G331" s="1"/>
      <c r="H331" s="184"/>
      <c r="I331" s="184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.75" customHeight="1" x14ac:dyDescent="0.25">
      <c r="A332" s="1"/>
      <c r="B332" s="1"/>
      <c r="C332" s="1"/>
      <c r="D332" s="1"/>
      <c r="E332" s="1"/>
      <c r="F332" s="1"/>
      <c r="G332" s="1"/>
      <c r="H332" s="184"/>
      <c r="I332" s="184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.75" customHeight="1" x14ac:dyDescent="0.25">
      <c r="A333" s="1"/>
      <c r="B333" s="1"/>
      <c r="C333" s="1"/>
      <c r="D333" s="1"/>
      <c r="E333" s="1"/>
      <c r="F333" s="1"/>
      <c r="G333" s="1"/>
      <c r="H333" s="184"/>
      <c r="I333" s="184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.75" customHeight="1" x14ac:dyDescent="0.25">
      <c r="A334" s="1"/>
      <c r="B334" s="1"/>
      <c r="C334" s="1"/>
      <c r="D334" s="1"/>
      <c r="E334" s="1"/>
      <c r="F334" s="1"/>
      <c r="G334" s="1"/>
      <c r="H334" s="184"/>
      <c r="I334" s="184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.75" customHeight="1" x14ac:dyDescent="0.25">
      <c r="A335" s="1"/>
      <c r="B335" s="1"/>
      <c r="C335" s="1"/>
      <c r="D335" s="1"/>
      <c r="E335" s="1"/>
      <c r="F335" s="1"/>
      <c r="G335" s="1"/>
      <c r="H335" s="184"/>
      <c r="I335" s="184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.75" customHeight="1" x14ac:dyDescent="0.25">
      <c r="A336" s="1"/>
      <c r="B336" s="1"/>
      <c r="C336" s="1"/>
      <c r="D336" s="1"/>
      <c r="E336" s="1"/>
      <c r="F336" s="1"/>
      <c r="G336" s="1"/>
      <c r="H336" s="184"/>
      <c r="I336" s="184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.75" customHeight="1" x14ac:dyDescent="0.25">
      <c r="A337" s="1"/>
      <c r="B337" s="1"/>
      <c r="C337" s="1"/>
      <c r="D337" s="1"/>
      <c r="E337" s="1"/>
      <c r="F337" s="1"/>
      <c r="G337" s="1"/>
      <c r="H337" s="184"/>
      <c r="I337" s="184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5.75" customHeight="1" x14ac:dyDescent="0.25">
      <c r="A338" s="1"/>
      <c r="B338" s="1"/>
      <c r="C338" s="1"/>
      <c r="D338" s="1"/>
      <c r="E338" s="1"/>
      <c r="F338" s="1"/>
      <c r="G338" s="1"/>
      <c r="H338" s="184"/>
      <c r="I338" s="184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.75" customHeight="1" x14ac:dyDescent="0.25">
      <c r="A339" s="1"/>
      <c r="B339" s="1"/>
      <c r="C339" s="1"/>
      <c r="D339" s="1"/>
      <c r="E339" s="1"/>
      <c r="F339" s="1"/>
      <c r="G339" s="1"/>
      <c r="H339" s="184"/>
      <c r="I339" s="184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.75" customHeight="1" x14ac:dyDescent="0.25">
      <c r="A340" s="1"/>
      <c r="B340" s="1"/>
      <c r="C340" s="1"/>
      <c r="D340" s="1"/>
      <c r="E340" s="1"/>
      <c r="F340" s="1"/>
      <c r="G340" s="1"/>
      <c r="H340" s="184"/>
      <c r="I340" s="184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.75" customHeight="1" x14ac:dyDescent="0.25">
      <c r="A341" s="1"/>
      <c r="B341" s="1"/>
      <c r="C341" s="1"/>
      <c r="D341" s="1"/>
      <c r="E341" s="1"/>
      <c r="F341" s="1"/>
      <c r="G341" s="1"/>
      <c r="H341" s="184"/>
      <c r="I341" s="184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.75" customHeight="1" x14ac:dyDescent="0.25">
      <c r="A342" s="1"/>
      <c r="B342" s="1"/>
      <c r="C342" s="1"/>
      <c r="D342" s="1"/>
      <c r="E342" s="1"/>
      <c r="F342" s="1"/>
      <c r="G342" s="1"/>
      <c r="H342" s="184"/>
      <c r="I342" s="184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customHeight="1" x14ac:dyDescent="0.25">
      <c r="A343" s="1"/>
      <c r="B343" s="1"/>
      <c r="C343" s="1"/>
      <c r="D343" s="1"/>
      <c r="E343" s="1"/>
      <c r="F343" s="1"/>
      <c r="G343" s="1"/>
      <c r="H343" s="184"/>
      <c r="I343" s="184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5.75" customHeight="1" x14ac:dyDescent="0.25">
      <c r="A344" s="1"/>
      <c r="B344" s="1"/>
      <c r="C344" s="1"/>
      <c r="D344" s="1"/>
      <c r="E344" s="1"/>
      <c r="F344" s="1"/>
      <c r="G344" s="1"/>
      <c r="H344" s="184"/>
      <c r="I344" s="184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.75" customHeight="1" x14ac:dyDescent="0.25">
      <c r="A345" s="1"/>
      <c r="B345" s="1"/>
      <c r="C345" s="1"/>
      <c r="D345" s="1"/>
      <c r="E345" s="1"/>
      <c r="F345" s="1"/>
      <c r="G345" s="1"/>
      <c r="H345" s="184"/>
      <c r="I345" s="184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5.75" customHeight="1" x14ac:dyDescent="0.25">
      <c r="A346" s="1"/>
      <c r="B346" s="1"/>
      <c r="C346" s="1"/>
      <c r="D346" s="1"/>
      <c r="E346" s="1"/>
      <c r="F346" s="1"/>
      <c r="G346" s="1"/>
      <c r="H346" s="184"/>
      <c r="I346" s="184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.75" customHeight="1" x14ac:dyDescent="0.25">
      <c r="A347" s="1"/>
      <c r="B347" s="1"/>
      <c r="C347" s="1"/>
      <c r="D347" s="1"/>
      <c r="E347" s="1"/>
      <c r="F347" s="1"/>
      <c r="G347" s="1"/>
      <c r="H347" s="184"/>
      <c r="I347" s="184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5.75" customHeight="1" x14ac:dyDescent="0.25">
      <c r="A348" s="1"/>
      <c r="B348" s="1"/>
      <c r="C348" s="1"/>
      <c r="D348" s="1"/>
      <c r="E348" s="1"/>
      <c r="F348" s="1"/>
      <c r="G348" s="1"/>
      <c r="H348" s="184"/>
      <c r="I348" s="184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.75" customHeight="1" x14ac:dyDescent="0.25">
      <c r="A349" s="1"/>
      <c r="B349" s="1"/>
      <c r="C349" s="1"/>
      <c r="D349" s="1"/>
      <c r="E349" s="1"/>
      <c r="F349" s="1"/>
      <c r="G349" s="1"/>
      <c r="H349" s="184"/>
      <c r="I349" s="184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.75" customHeight="1" x14ac:dyDescent="0.25">
      <c r="A350" s="1"/>
      <c r="B350" s="1"/>
      <c r="C350" s="1"/>
      <c r="D350" s="1"/>
      <c r="E350" s="1"/>
      <c r="F350" s="1"/>
      <c r="G350" s="1"/>
      <c r="H350" s="184"/>
      <c r="I350" s="184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.75" customHeight="1" x14ac:dyDescent="0.25">
      <c r="A351" s="1"/>
      <c r="B351" s="1"/>
      <c r="C351" s="1"/>
      <c r="D351" s="1"/>
      <c r="E351" s="1"/>
      <c r="F351" s="1"/>
      <c r="G351" s="1"/>
      <c r="H351" s="184"/>
      <c r="I351" s="184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.75" customHeight="1" x14ac:dyDescent="0.25">
      <c r="A352" s="1"/>
      <c r="B352" s="1"/>
      <c r="C352" s="1"/>
      <c r="D352" s="1"/>
      <c r="E352" s="1"/>
      <c r="F352" s="1"/>
      <c r="G352" s="1"/>
      <c r="H352" s="184"/>
      <c r="I352" s="184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.75" customHeight="1" x14ac:dyDescent="0.25">
      <c r="A353" s="1"/>
      <c r="B353" s="1"/>
      <c r="C353" s="1"/>
      <c r="D353" s="1"/>
      <c r="E353" s="1"/>
      <c r="F353" s="1"/>
      <c r="G353" s="1"/>
      <c r="H353" s="184"/>
      <c r="I353" s="184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5.75" customHeight="1" x14ac:dyDescent="0.25">
      <c r="A354" s="1"/>
      <c r="B354" s="1"/>
      <c r="C354" s="1"/>
      <c r="D354" s="1"/>
      <c r="E354" s="1"/>
      <c r="F354" s="1"/>
      <c r="G354" s="1"/>
      <c r="H354" s="184"/>
      <c r="I354" s="184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.75" customHeight="1" x14ac:dyDescent="0.25">
      <c r="A355" s="1"/>
      <c r="B355" s="1"/>
      <c r="C355" s="1"/>
      <c r="D355" s="1"/>
      <c r="E355" s="1"/>
      <c r="F355" s="1"/>
      <c r="G355" s="1"/>
      <c r="H355" s="184"/>
      <c r="I355" s="184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.75" customHeight="1" x14ac:dyDescent="0.25">
      <c r="A356" s="1"/>
      <c r="B356" s="1"/>
      <c r="C356" s="1"/>
      <c r="D356" s="1"/>
      <c r="E356" s="1"/>
      <c r="F356" s="1"/>
      <c r="G356" s="1"/>
      <c r="H356" s="184"/>
      <c r="I356" s="184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.75" customHeight="1" x14ac:dyDescent="0.25">
      <c r="A357" s="1"/>
      <c r="B357" s="1"/>
      <c r="C357" s="1"/>
      <c r="D357" s="1"/>
      <c r="E357" s="1"/>
      <c r="F357" s="1"/>
      <c r="G357" s="1"/>
      <c r="H357" s="184"/>
      <c r="I357" s="184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.75" customHeight="1" x14ac:dyDescent="0.25">
      <c r="A358" s="1"/>
      <c r="B358" s="1"/>
      <c r="C358" s="1"/>
      <c r="D358" s="1"/>
      <c r="E358" s="1"/>
      <c r="F358" s="1"/>
      <c r="G358" s="1"/>
      <c r="H358" s="184"/>
      <c r="I358" s="184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customHeight="1" x14ac:dyDescent="0.25">
      <c r="A359" s="1"/>
      <c r="B359" s="1"/>
      <c r="C359" s="1"/>
      <c r="D359" s="1"/>
      <c r="E359" s="1"/>
      <c r="F359" s="1"/>
      <c r="G359" s="1"/>
      <c r="H359" s="184"/>
      <c r="I359" s="184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5.75" customHeight="1" x14ac:dyDescent="0.25">
      <c r="A360" s="1"/>
      <c r="B360" s="1"/>
      <c r="C360" s="1"/>
      <c r="D360" s="1"/>
      <c r="E360" s="1"/>
      <c r="F360" s="1"/>
      <c r="G360" s="1"/>
      <c r="H360" s="184"/>
      <c r="I360" s="184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.75" customHeight="1" x14ac:dyDescent="0.25">
      <c r="A361" s="1"/>
      <c r="B361" s="1"/>
      <c r="C361" s="1"/>
      <c r="D361" s="1"/>
      <c r="E361" s="1"/>
      <c r="F361" s="1"/>
      <c r="G361" s="1"/>
      <c r="H361" s="184"/>
      <c r="I361" s="184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5.75" customHeight="1" x14ac:dyDescent="0.25">
      <c r="A362" s="1"/>
      <c r="B362" s="1"/>
      <c r="C362" s="1"/>
      <c r="D362" s="1"/>
      <c r="E362" s="1"/>
      <c r="F362" s="1"/>
      <c r="G362" s="1"/>
      <c r="H362" s="184"/>
      <c r="I362" s="184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.75" customHeight="1" x14ac:dyDescent="0.25">
      <c r="A363" s="1"/>
      <c r="B363" s="1"/>
      <c r="C363" s="1"/>
      <c r="D363" s="1"/>
      <c r="E363" s="1"/>
      <c r="F363" s="1"/>
      <c r="G363" s="1"/>
      <c r="H363" s="184"/>
      <c r="I363" s="184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5.75" customHeight="1" x14ac:dyDescent="0.25">
      <c r="A364" s="1"/>
      <c r="B364" s="1"/>
      <c r="C364" s="1"/>
      <c r="D364" s="1"/>
      <c r="E364" s="1"/>
      <c r="F364" s="1"/>
      <c r="G364" s="1"/>
      <c r="H364" s="184"/>
      <c r="I364" s="184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.75" customHeight="1" x14ac:dyDescent="0.25">
      <c r="A365" s="1"/>
      <c r="B365" s="1"/>
      <c r="C365" s="1"/>
      <c r="D365" s="1"/>
      <c r="E365" s="1"/>
      <c r="F365" s="1"/>
      <c r="G365" s="1"/>
      <c r="H365" s="184"/>
      <c r="I365" s="184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5.75" customHeight="1" x14ac:dyDescent="0.25">
      <c r="A366" s="1"/>
      <c r="B366" s="1"/>
      <c r="C366" s="1"/>
      <c r="D366" s="1"/>
      <c r="E366" s="1"/>
      <c r="F366" s="1"/>
      <c r="G366" s="1"/>
      <c r="H366" s="184"/>
      <c r="I366" s="184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.75" customHeight="1" x14ac:dyDescent="0.25">
      <c r="A367" s="1"/>
      <c r="B367" s="1"/>
      <c r="C367" s="1"/>
      <c r="D367" s="1"/>
      <c r="E367" s="1"/>
      <c r="F367" s="1"/>
      <c r="G367" s="1"/>
      <c r="H367" s="184"/>
      <c r="I367" s="184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.75" customHeight="1" x14ac:dyDescent="0.25">
      <c r="A368" s="1"/>
      <c r="B368" s="1"/>
      <c r="C368" s="1"/>
      <c r="D368" s="1"/>
      <c r="E368" s="1"/>
      <c r="F368" s="1"/>
      <c r="G368" s="1"/>
      <c r="H368" s="184"/>
      <c r="I368" s="184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.75" customHeight="1" x14ac:dyDescent="0.25">
      <c r="A369" s="1"/>
      <c r="B369" s="1"/>
      <c r="C369" s="1"/>
      <c r="D369" s="1"/>
      <c r="E369" s="1"/>
      <c r="F369" s="1"/>
      <c r="G369" s="1"/>
      <c r="H369" s="184"/>
      <c r="I369" s="184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.75" customHeight="1" x14ac:dyDescent="0.25">
      <c r="A370" s="1"/>
      <c r="B370" s="1"/>
      <c r="C370" s="1"/>
      <c r="D370" s="1"/>
      <c r="E370" s="1"/>
      <c r="F370" s="1"/>
      <c r="G370" s="1"/>
      <c r="H370" s="184"/>
      <c r="I370" s="184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.75" customHeight="1" x14ac:dyDescent="0.25">
      <c r="A371" s="1"/>
      <c r="B371" s="1"/>
      <c r="C371" s="1"/>
      <c r="D371" s="1"/>
      <c r="E371" s="1"/>
      <c r="F371" s="1"/>
      <c r="G371" s="1"/>
      <c r="H371" s="184"/>
      <c r="I371" s="184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.75" customHeight="1" x14ac:dyDescent="0.25">
      <c r="A372" s="1"/>
      <c r="B372" s="1"/>
      <c r="C372" s="1"/>
      <c r="D372" s="1"/>
      <c r="E372" s="1"/>
      <c r="F372" s="1"/>
      <c r="G372" s="1"/>
      <c r="H372" s="184"/>
      <c r="I372" s="184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.75" customHeight="1" x14ac:dyDescent="0.25">
      <c r="A373" s="1"/>
      <c r="B373" s="1"/>
      <c r="C373" s="1"/>
      <c r="D373" s="1"/>
      <c r="E373" s="1"/>
      <c r="F373" s="1"/>
      <c r="G373" s="1"/>
      <c r="H373" s="184"/>
      <c r="I373" s="184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5.75" customHeight="1" x14ac:dyDescent="0.25">
      <c r="A374" s="1"/>
      <c r="B374" s="1"/>
      <c r="C374" s="1"/>
      <c r="D374" s="1"/>
      <c r="E374" s="1"/>
      <c r="F374" s="1"/>
      <c r="G374" s="1"/>
      <c r="H374" s="184"/>
      <c r="I374" s="184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.75" customHeight="1" x14ac:dyDescent="0.25">
      <c r="A375" s="1"/>
      <c r="B375" s="1"/>
      <c r="C375" s="1"/>
      <c r="D375" s="1"/>
      <c r="E375" s="1"/>
      <c r="F375" s="1"/>
      <c r="G375" s="1"/>
      <c r="H375" s="184"/>
      <c r="I375" s="184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.75" customHeight="1" x14ac:dyDescent="0.25">
      <c r="A376" s="1"/>
      <c r="B376" s="1"/>
      <c r="C376" s="1"/>
      <c r="D376" s="1"/>
      <c r="E376" s="1"/>
      <c r="F376" s="1"/>
      <c r="G376" s="1"/>
      <c r="H376" s="184"/>
      <c r="I376" s="184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.75" customHeight="1" x14ac:dyDescent="0.25">
      <c r="A377" s="1"/>
      <c r="B377" s="1"/>
      <c r="C377" s="1"/>
      <c r="D377" s="1"/>
      <c r="E377" s="1"/>
      <c r="F377" s="1"/>
      <c r="G377" s="1"/>
      <c r="H377" s="184"/>
      <c r="I377" s="184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.75" customHeight="1" x14ac:dyDescent="0.25">
      <c r="A378" s="1"/>
      <c r="B378" s="1"/>
      <c r="C378" s="1"/>
      <c r="D378" s="1"/>
      <c r="E378" s="1"/>
      <c r="F378" s="1"/>
      <c r="G378" s="1"/>
      <c r="H378" s="184"/>
      <c r="I378" s="184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customHeight="1" x14ac:dyDescent="0.25">
      <c r="A379" s="1"/>
      <c r="B379" s="1"/>
      <c r="C379" s="1"/>
      <c r="D379" s="1"/>
      <c r="E379" s="1"/>
      <c r="F379" s="1"/>
      <c r="G379" s="1"/>
      <c r="H379" s="184"/>
      <c r="I379" s="184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5.75" customHeight="1" x14ac:dyDescent="0.25">
      <c r="A380" s="1"/>
      <c r="B380" s="1"/>
      <c r="C380" s="1"/>
      <c r="D380" s="1"/>
      <c r="E380" s="1"/>
      <c r="F380" s="1"/>
      <c r="G380" s="1"/>
      <c r="H380" s="184"/>
      <c r="I380" s="184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.75" customHeight="1" x14ac:dyDescent="0.25">
      <c r="A381" s="1"/>
      <c r="B381" s="1"/>
      <c r="C381" s="1"/>
      <c r="D381" s="1"/>
      <c r="E381" s="1"/>
      <c r="F381" s="1"/>
      <c r="G381" s="1"/>
      <c r="H381" s="184"/>
      <c r="I381" s="184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.75" customHeight="1" x14ac:dyDescent="0.25">
      <c r="A382" s="1"/>
      <c r="B382" s="1"/>
      <c r="C382" s="1"/>
      <c r="D382" s="1"/>
      <c r="E382" s="1"/>
      <c r="F382" s="1"/>
      <c r="G382" s="1"/>
      <c r="H382" s="184"/>
      <c r="I382" s="184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.75" customHeight="1" x14ac:dyDescent="0.25">
      <c r="A383" s="1"/>
      <c r="B383" s="1"/>
      <c r="C383" s="1"/>
      <c r="D383" s="1"/>
      <c r="E383" s="1"/>
      <c r="F383" s="1"/>
      <c r="G383" s="1"/>
      <c r="H383" s="184"/>
      <c r="I383" s="184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.75" customHeight="1" x14ac:dyDescent="0.25">
      <c r="A384" s="1"/>
      <c r="B384" s="1"/>
      <c r="C384" s="1"/>
      <c r="D384" s="1"/>
      <c r="E384" s="1"/>
      <c r="F384" s="1"/>
      <c r="G384" s="1"/>
      <c r="H384" s="184"/>
      <c r="I384" s="184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.75" customHeight="1" x14ac:dyDescent="0.25">
      <c r="A385" s="1"/>
      <c r="B385" s="1"/>
      <c r="C385" s="1"/>
      <c r="D385" s="1"/>
      <c r="E385" s="1"/>
      <c r="F385" s="1"/>
      <c r="G385" s="1"/>
      <c r="H385" s="184"/>
      <c r="I385" s="184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.75" customHeight="1" x14ac:dyDescent="0.25">
      <c r="A386" s="1"/>
      <c r="B386" s="1"/>
      <c r="C386" s="1"/>
      <c r="D386" s="1"/>
      <c r="E386" s="1"/>
      <c r="F386" s="1"/>
      <c r="G386" s="1"/>
      <c r="H386" s="184"/>
      <c r="I386" s="184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.75" customHeight="1" x14ac:dyDescent="0.25">
      <c r="A387" s="1"/>
      <c r="B387" s="1"/>
      <c r="C387" s="1"/>
      <c r="D387" s="1"/>
      <c r="E387" s="1"/>
      <c r="F387" s="1"/>
      <c r="G387" s="1"/>
      <c r="H387" s="184"/>
      <c r="I387" s="184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5.75" customHeight="1" x14ac:dyDescent="0.25">
      <c r="A388" s="1"/>
      <c r="B388" s="1"/>
      <c r="C388" s="1"/>
      <c r="D388" s="1"/>
      <c r="E388" s="1"/>
      <c r="F388" s="1"/>
      <c r="G388" s="1"/>
      <c r="H388" s="184"/>
      <c r="I388" s="184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.75" customHeight="1" x14ac:dyDescent="0.25">
      <c r="A389" s="1"/>
      <c r="B389" s="1"/>
      <c r="C389" s="1"/>
      <c r="D389" s="1"/>
      <c r="E389" s="1"/>
      <c r="F389" s="1"/>
      <c r="G389" s="1"/>
      <c r="H389" s="184"/>
      <c r="I389" s="184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.75" customHeight="1" x14ac:dyDescent="0.25">
      <c r="A390" s="1"/>
      <c r="B390" s="1"/>
      <c r="C390" s="1"/>
      <c r="D390" s="1"/>
      <c r="E390" s="1"/>
      <c r="F390" s="1"/>
      <c r="G390" s="1"/>
      <c r="H390" s="184"/>
      <c r="I390" s="184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.75" customHeight="1" x14ac:dyDescent="0.25">
      <c r="A391" s="1"/>
      <c r="B391" s="1"/>
      <c r="C391" s="1"/>
      <c r="D391" s="1"/>
      <c r="E391" s="1"/>
      <c r="F391" s="1"/>
      <c r="G391" s="1"/>
      <c r="H391" s="184"/>
      <c r="I391" s="184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.75" customHeight="1" x14ac:dyDescent="0.25">
      <c r="A392" s="1"/>
      <c r="B392" s="1"/>
      <c r="C392" s="1"/>
      <c r="D392" s="1"/>
      <c r="E392" s="1"/>
      <c r="F392" s="1"/>
      <c r="G392" s="1"/>
      <c r="H392" s="184"/>
      <c r="I392" s="184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.75" customHeight="1" x14ac:dyDescent="0.25">
      <c r="A393" s="1"/>
      <c r="B393" s="1"/>
      <c r="C393" s="1"/>
      <c r="D393" s="1"/>
      <c r="E393" s="1"/>
      <c r="F393" s="1"/>
      <c r="G393" s="1"/>
      <c r="H393" s="184"/>
      <c r="I393" s="184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.75" customHeight="1" x14ac:dyDescent="0.25">
      <c r="A394" s="1"/>
      <c r="B394" s="1"/>
      <c r="C394" s="1"/>
      <c r="D394" s="1"/>
      <c r="E394" s="1"/>
      <c r="F394" s="1"/>
      <c r="G394" s="1"/>
      <c r="H394" s="184"/>
      <c r="I394" s="184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.75" customHeight="1" x14ac:dyDescent="0.25">
      <c r="A395" s="1"/>
      <c r="B395" s="1"/>
      <c r="C395" s="1"/>
      <c r="D395" s="1"/>
      <c r="E395" s="1"/>
      <c r="F395" s="1"/>
      <c r="G395" s="1"/>
      <c r="H395" s="184"/>
      <c r="I395" s="184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5.75" customHeight="1" x14ac:dyDescent="0.25">
      <c r="A396" s="1"/>
      <c r="B396" s="1"/>
      <c r="C396" s="1"/>
      <c r="D396" s="1"/>
      <c r="E396" s="1"/>
      <c r="F396" s="1"/>
      <c r="G396" s="1"/>
      <c r="H396" s="184"/>
      <c r="I396" s="184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5.75" customHeight="1" x14ac:dyDescent="0.25">
      <c r="A397" s="1"/>
      <c r="B397" s="1"/>
      <c r="C397" s="1"/>
      <c r="D397" s="1"/>
      <c r="E397" s="1"/>
      <c r="F397" s="1"/>
      <c r="G397" s="1"/>
      <c r="H397" s="184"/>
      <c r="I397" s="184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5.75" customHeight="1" x14ac:dyDescent="0.25">
      <c r="A398" s="1"/>
      <c r="B398" s="1"/>
      <c r="C398" s="1"/>
      <c r="D398" s="1"/>
      <c r="E398" s="1"/>
      <c r="F398" s="1"/>
      <c r="G398" s="1"/>
      <c r="H398" s="184"/>
      <c r="I398" s="184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5.75" customHeight="1" x14ac:dyDescent="0.25">
      <c r="A399" s="1"/>
      <c r="B399" s="1"/>
      <c r="C399" s="1"/>
      <c r="D399" s="1"/>
      <c r="E399" s="1"/>
      <c r="F399" s="1"/>
      <c r="G399" s="1"/>
      <c r="H399" s="184"/>
      <c r="I399" s="184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5.75" customHeight="1" x14ac:dyDescent="0.25">
      <c r="A400" s="1"/>
      <c r="B400" s="1"/>
      <c r="C400" s="1"/>
      <c r="D400" s="1"/>
      <c r="E400" s="1"/>
      <c r="F400" s="1"/>
      <c r="G400" s="1"/>
      <c r="H400" s="184"/>
      <c r="I400" s="184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5.75" customHeight="1" x14ac:dyDescent="0.25">
      <c r="A401" s="1"/>
      <c r="B401" s="1"/>
      <c r="C401" s="1"/>
      <c r="D401" s="1"/>
      <c r="E401" s="1"/>
      <c r="F401" s="1"/>
      <c r="G401" s="1"/>
      <c r="H401" s="184"/>
      <c r="I401" s="184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5.75" customHeight="1" x14ac:dyDescent="0.25">
      <c r="A402" s="1"/>
      <c r="B402" s="1"/>
      <c r="C402" s="1"/>
      <c r="D402" s="1"/>
      <c r="E402" s="1"/>
      <c r="F402" s="1"/>
      <c r="G402" s="1"/>
      <c r="H402" s="184"/>
      <c r="I402" s="184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5.75" customHeight="1" x14ac:dyDescent="0.25">
      <c r="A403" s="1"/>
      <c r="B403" s="1"/>
      <c r="C403" s="1"/>
      <c r="D403" s="1"/>
      <c r="E403" s="1"/>
      <c r="F403" s="1"/>
      <c r="G403" s="1"/>
      <c r="H403" s="184"/>
      <c r="I403" s="184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5.75" customHeight="1" x14ac:dyDescent="0.25">
      <c r="A404" s="1"/>
      <c r="B404" s="1"/>
      <c r="C404" s="1"/>
      <c r="D404" s="1"/>
      <c r="E404" s="1"/>
      <c r="F404" s="1"/>
      <c r="G404" s="1"/>
      <c r="H404" s="184"/>
      <c r="I404" s="184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5.75" customHeight="1" x14ac:dyDescent="0.25">
      <c r="A405" s="1"/>
      <c r="B405" s="1"/>
      <c r="C405" s="1"/>
      <c r="D405" s="1"/>
      <c r="E405" s="1"/>
      <c r="F405" s="1"/>
      <c r="G405" s="1"/>
      <c r="H405" s="184"/>
      <c r="I405" s="184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5.75" customHeight="1" x14ac:dyDescent="0.25">
      <c r="A406" s="1"/>
      <c r="B406" s="1"/>
      <c r="C406" s="1"/>
      <c r="D406" s="1"/>
      <c r="E406" s="1"/>
      <c r="F406" s="1"/>
      <c r="G406" s="1"/>
      <c r="H406" s="184"/>
      <c r="I406" s="184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5.75" customHeight="1" x14ac:dyDescent="0.25">
      <c r="A407" s="1"/>
      <c r="B407" s="1"/>
      <c r="C407" s="1"/>
      <c r="D407" s="1"/>
      <c r="E407" s="1"/>
      <c r="F407" s="1"/>
      <c r="G407" s="1"/>
      <c r="H407" s="184"/>
      <c r="I407" s="184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5.75" customHeight="1" x14ac:dyDescent="0.25">
      <c r="A408" s="1"/>
      <c r="B408" s="1"/>
      <c r="C408" s="1"/>
      <c r="D408" s="1"/>
      <c r="E408" s="1"/>
      <c r="F408" s="1"/>
      <c r="G408" s="1"/>
      <c r="H408" s="184"/>
      <c r="I408" s="184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5.75" customHeight="1" x14ac:dyDescent="0.25">
      <c r="A409" s="1"/>
      <c r="B409" s="1"/>
      <c r="C409" s="1"/>
      <c r="D409" s="1"/>
      <c r="E409" s="1"/>
      <c r="F409" s="1"/>
      <c r="G409" s="1"/>
      <c r="H409" s="184"/>
      <c r="I409" s="184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5.75" customHeight="1" x14ac:dyDescent="0.25">
      <c r="A410" s="1"/>
      <c r="B410" s="1"/>
      <c r="C410" s="1"/>
      <c r="D410" s="1"/>
      <c r="E410" s="1"/>
      <c r="F410" s="1"/>
      <c r="G410" s="1"/>
      <c r="H410" s="184"/>
      <c r="I410" s="184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5.75" customHeight="1" x14ac:dyDescent="0.25">
      <c r="A411" s="1"/>
      <c r="B411" s="1"/>
      <c r="C411" s="1"/>
      <c r="D411" s="1"/>
      <c r="E411" s="1"/>
      <c r="F411" s="1"/>
      <c r="G411" s="1"/>
      <c r="H411" s="184"/>
      <c r="I411" s="184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5.75" customHeight="1" x14ac:dyDescent="0.25">
      <c r="A412" s="1"/>
      <c r="B412" s="1"/>
      <c r="C412" s="1"/>
      <c r="D412" s="1"/>
      <c r="E412" s="1"/>
      <c r="F412" s="1"/>
      <c r="G412" s="1"/>
      <c r="H412" s="184"/>
      <c r="I412" s="184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5.75" customHeight="1" x14ac:dyDescent="0.25">
      <c r="A413" s="1"/>
      <c r="B413" s="1"/>
      <c r="C413" s="1"/>
      <c r="D413" s="1"/>
      <c r="E413" s="1"/>
      <c r="F413" s="1"/>
      <c r="G413" s="1"/>
      <c r="H413" s="184"/>
      <c r="I413" s="184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5.75" customHeight="1" x14ac:dyDescent="0.25">
      <c r="A414" s="1"/>
      <c r="B414" s="1"/>
      <c r="C414" s="1"/>
      <c r="D414" s="1"/>
      <c r="E414" s="1"/>
      <c r="F414" s="1"/>
      <c r="G414" s="1"/>
      <c r="H414" s="184"/>
      <c r="I414" s="184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5.75" customHeight="1" x14ac:dyDescent="0.25">
      <c r="A415" s="1"/>
      <c r="B415" s="1"/>
      <c r="C415" s="1"/>
      <c r="D415" s="1"/>
      <c r="E415" s="1"/>
      <c r="F415" s="1"/>
      <c r="G415" s="1"/>
      <c r="H415" s="184"/>
      <c r="I415" s="184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5.75" customHeight="1" x14ac:dyDescent="0.25">
      <c r="A416" s="1"/>
      <c r="B416" s="1"/>
      <c r="C416" s="1"/>
      <c r="D416" s="1"/>
      <c r="E416" s="1"/>
      <c r="F416" s="1"/>
      <c r="G416" s="1"/>
      <c r="H416" s="184"/>
      <c r="I416" s="184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5.75" customHeight="1" x14ac:dyDescent="0.25">
      <c r="A417" s="1"/>
      <c r="B417" s="1"/>
      <c r="C417" s="1"/>
      <c r="D417" s="1"/>
      <c r="E417" s="1"/>
      <c r="F417" s="1"/>
      <c r="G417" s="1"/>
      <c r="H417" s="184"/>
      <c r="I417" s="184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5.75" customHeight="1" x14ac:dyDescent="0.25">
      <c r="A418" s="1"/>
      <c r="B418" s="1"/>
      <c r="C418" s="1"/>
      <c r="D418" s="1"/>
      <c r="E418" s="1"/>
      <c r="F418" s="1"/>
      <c r="G418" s="1"/>
      <c r="H418" s="184"/>
      <c r="I418" s="184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5.75" customHeight="1" x14ac:dyDescent="0.25">
      <c r="A419" s="1"/>
      <c r="B419" s="1"/>
      <c r="C419" s="1"/>
      <c r="D419" s="1"/>
      <c r="E419" s="1"/>
      <c r="F419" s="1"/>
      <c r="G419" s="1"/>
      <c r="H419" s="184"/>
      <c r="I419" s="184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5.75" customHeight="1" x14ac:dyDescent="0.25">
      <c r="A420" s="1"/>
      <c r="B420" s="1"/>
      <c r="C420" s="1"/>
      <c r="D420" s="1"/>
      <c r="E420" s="1"/>
      <c r="F420" s="1"/>
      <c r="G420" s="1"/>
      <c r="H420" s="184"/>
      <c r="I420" s="184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5.75" customHeight="1" x14ac:dyDescent="0.25">
      <c r="A421" s="1"/>
      <c r="B421" s="1"/>
      <c r="C421" s="1"/>
      <c r="D421" s="1"/>
      <c r="E421" s="1"/>
      <c r="F421" s="1"/>
      <c r="G421" s="1"/>
      <c r="H421" s="184"/>
      <c r="I421" s="184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5.75" customHeight="1" x14ac:dyDescent="0.25">
      <c r="A422" s="1"/>
      <c r="B422" s="1"/>
      <c r="C422" s="1"/>
      <c r="D422" s="1"/>
      <c r="E422" s="1"/>
      <c r="F422" s="1"/>
      <c r="G422" s="1"/>
      <c r="H422" s="184"/>
      <c r="I422" s="184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5.75" customHeight="1" x14ac:dyDescent="0.25">
      <c r="A423" s="1"/>
      <c r="B423" s="1"/>
      <c r="C423" s="1"/>
      <c r="D423" s="1"/>
      <c r="E423" s="1"/>
      <c r="F423" s="1"/>
      <c r="G423" s="1"/>
      <c r="H423" s="184"/>
      <c r="I423" s="184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5.75" customHeight="1" x14ac:dyDescent="0.25">
      <c r="A424" s="1"/>
      <c r="B424" s="1"/>
      <c r="C424" s="1"/>
      <c r="D424" s="1"/>
      <c r="E424" s="1"/>
      <c r="F424" s="1"/>
      <c r="G424" s="1"/>
      <c r="H424" s="184"/>
      <c r="I424" s="184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5.75" customHeight="1" x14ac:dyDescent="0.25">
      <c r="A425" s="1"/>
      <c r="B425" s="1"/>
      <c r="C425" s="1"/>
      <c r="D425" s="1"/>
      <c r="E425" s="1"/>
      <c r="F425" s="1"/>
      <c r="G425" s="1"/>
      <c r="H425" s="184"/>
      <c r="I425" s="184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5.75" customHeight="1" x14ac:dyDescent="0.25">
      <c r="A426" s="1"/>
      <c r="B426" s="1"/>
      <c r="C426" s="1"/>
      <c r="D426" s="1"/>
      <c r="E426" s="1"/>
      <c r="F426" s="1"/>
      <c r="G426" s="1"/>
      <c r="H426" s="184"/>
      <c r="I426" s="184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5.75" customHeight="1" x14ac:dyDescent="0.25">
      <c r="A427" s="1"/>
      <c r="B427" s="1"/>
      <c r="C427" s="1"/>
      <c r="D427" s="1"/>
      <c r="E427" s="1"/>
      <c r="F427" s="1"/>
      <c r="G427" s="1"/>
      <c r="H427" s="184"/>
      <c r="I427" s="184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5.75" customHeight="1" x14ac:dyDescent="0.25">
      <c r="A428" s="1"/>
      <c r="B428" s="1"/>
      <c r="C428" s="1"/>
      <c r="D428" s="1"/>
      <c r="E428" s="1"/>
      <c r="F428" s="1"/>
      <c r="G428" s="1"/>
      <c r="H428" s="184"/>
      <c r="I428" s="184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5.75" customHeight="1" x14ac:dyDescent="0.25">
      <c r="A429" s="1"/>
      <c r="B429" s="1"/>
      <c r="C429" s="1"/>
      <c r="D429" s="1"/>
      <c r="E429" s="1"/>
      <c r="F429" s="1"/>
      <c r="G429" s="1"/>
      <c r="H429" s="184"/>
      <c r="I429" s="184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5.75" customHeight="1" x14ac:dyDescent="0.25">
      <c r="A430" s="1"/>
      <c r="B430" s="1"/>
      <c r="C430" s="1"/>
      <c r="D430" s="1"/>
      <c r="E430" s="1"/>
      <c r="F430" s="1"/>
      <c r="G430" s="1"/>
      <c r="H430" s="184"/>
      <c r="I430" s="184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5.75" customHeight="1" x14ac:dyDescent="0.25">
      <c r="A431" s="1"/>
      <c r="B431" s="1"/>
      <c r="C431" s="1"/>
      <c r="D431" s="1"/>
      <c r="E431" s="1"/>
      <c r="F431" s="1"/>
      <c r="G431" s="1"/>
      <c r="H431" s="184"/>
      <c r="I431" s="184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5.75" customHeight="1" x14ac:dyDescent="0.25">
      <c r="A432" s="1"/>
      <c r="B432" s="1"/>
      <c r="C432" s="1"/>
      <c r="D432" s="1"/>
      <c r="E432" s="1"/>
      <c r="F432" s="1"/>
      <c r="G432" s="1"/>
      <c r="H432" s="184"/>
      <c r="I432" s="184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5.75" customHeight="1" x14ac:dyDescent="0.25">
      <c r="A433" s="1"/>
      <c r="B433" s="1"/>
      <c r="C433" s="1"/>
      <c r="D433" s="1"/>
      <c r="E433" s="1"/>
      <c r="F433" s="1"/>
      <c r="G433" s="1"/>
      <c r="H433" s="184"/>
      <c r="I433" s="184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5.75" customHeight="1" x14ac:dyDescent="0.25">
      <c r="A434" s="1"/>
      <c r="B434" s="1"/>
      <c r="C434" s="1"/>
      <c r="D434" s="1"/>
      <c r="E434" s="1"/>
      <c r="F434" s="1"/>
      <c r="G434" s="1"/>
      <c r="H434" s="184"/>
      <c r="I434" s="184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5.75" customHeight="1" x14ac:dyDescent="0.25">
      <c r="A435" s="1"/>
      <c r="B435" s="1"/>
      <c r="C435" s="1"/>
      <c r="D435" s="1"/>
      <c r="E435" s="1"/>
      <c r="F435" s="1"/>
      <c r="G435" s="1"/>
      <c r="H435" s="184"/>
      <c r="I435" s="184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5.75" customHeight="1" x14ac:dyDescent="0.25">
      <c r="A436" s="1"/>
      <c r="B436" s="1"/>
      <c r="C436" s="1"/>
      <c r="D436" s="1"/>
      <c r="E436" s="1"/>
      <c r="F436" s="1"/>
      <c r="G436" s="1"/>
      <c r="H436" s="184"/>
      <c r="I436" s="184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5.75" customHeight="1" x14ac:dyDescent="0.25">
      <c r="A437" s="1"/>
      <c r="B437" s="1"/>
      <c r="C437" s="1"/>
      <c r="D437" s="1"/>
      <c r="E437" s="1"/>
      <c r="F437" s="1"/>
      <c r="G437" s="1"/>
      <c r="H437" s="184"/>
      <c r="I437" s="184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5.75" customHeight="1" x14ac:dyDescent="0.25">
      <c r="A438" s="1"/>
      <c r="B438" s="1"/>
      <c r="C438" s="1"/>
      <c r="D438" s="1"/>
      <c r="E438" s="1"/>
      <c r="F438" s="1"/>
      <c r="G438" s="1"/>
      <c r="H438" s="184"/>
      <c r="I438" s="184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5.75" customHeight="1" x14ac:dyDescent="0.25">
      <c r="A439" s="1"/>
      <c r="B439" s="1"/>
      <c r="C439" s="1"/>
      <c r="D439" s="1"/>
      <c r="E439" s="1"/>
      <c r="F439" s="1"/>
      <c r="G439" s="1"/>
      <c r="H439" s="184"/>
      <c r="I439" s="184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5.75" customHeight="1" x14ac:dyDescent="0.25">
      <c r="A440" s="1"/>
      <c r="B440" s="1"/>
      <c r="C440" s="1"/>
      <c r="D440" s="1"/>
      <c r="E440" s="1"/>
      <c r="F440" s="1"/>
      <c r="G440" s="1"/>
      <c r="H440" s="184"/>
      <c r="I440" s="184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5.75" customHeight="1" x14ac:dyDescent="0.25">
      <c r="A441" s="1"/>
      <c r="B441" s="1"/>
      <c r="C441" s="1"/>
      <c r="D441" s="1"/>
      <c r="E441" s="1"/>
      <c r="F441" s="1"/>
      <c r="G441" s="1"/>
      <c r="H441" s="184"/>
      <c r="I441" s="184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5.75" customHeight="1" x14ac:dyDescent="0.25">
      <c r="A442" s="1"/>
      <c r="B442" s="1"/>
      <c r="C442" s="1"/>
      <c r="D442" s="1"/>
      <c r="E442" s="1"/>
      <c r="F442" s="1"/>
      <c r="G442" s="1"/>
      <c r="H442" s="184"/>
      <c r="I442" s="184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5.75" customHeight="1" x14ac:dyDescent="0.25">
      <c r="A443" s="1"/>
      <c r="B443" s="1"/>
      <c r="C443" s="1"/>
      <c r="D443" s="1"/>
      <c r="E443" s="1"/>
      <c r="F443" s="1"/>
      <c r="G443" s="1"/>
      <c r="H443" s="184"/>
      <c r="I443" s="184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5.75" customHeight="1" x14ac:dyDescent="0.25">
      <c r="A444" s="1"/>
      <c r="B444" s="1"/>
      <c r="C444" s="1"/>
      <c r="D444" s="1"/>
      <c r="E444" s="1"/>
      <c r="F444" s="1"/>
      <c r="G444" s="1"/>
      <c r="H444" s="184"/>
      <c r="I444" s="184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5.75" customHeight="1" x14ac:dyDescent="0.25">
      <c r="A445" s="1"/>
      <c r="B445" s="1"/>
      <c r="C445" s="1"/>
      <c r="D445" s="1"/>
      <c r="E445" s="1"/>
      <c r="F445" s="1"/>
      <c r="G445" s="1"/>
      <c r="H445" s="184"/>
      <c r="I445" s="184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5.75" customHeight="1" x14ac:dyDescent="0.25">
      <c r="A446" s="1"/>
      <c r="B446" s="1"/>
      <c r="C446" s="1"/>
      <c r="D446" s="1"/>
      <c r="E446" s="1"/>
      <c r="F446" s="1"/>
      <c r="G446" s="1"/>
      <c r="H446" s="184"/>
      <c r="I446" s="184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5.75" customHeight="1" x14ac:dyDescent="0.25">
      <c r="A447" s="1"/>
      <c r="B447" s="1"/>
      <c r="C447" s="1"/>
      <c r="D447" s="1"/>
      <c r="E447" s="1"/>
      <c r="F447" s="1"/>
      <c r="G447" s="1"/>
      <c r="H447" s="184"/>
      <c r="I447" s="184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5.75" customHeight="1" x14ac:dyDescent="0.25">
      <c r="A448" s="1"/>
      <c r="B448" s="1"/>
      <c r="C448" s="1"/>
      <c r="D448" s="1"/>
      <c r="E448" s="1"/>
      <c r="F448" s="1"/>
      <c r="G448" s="1"/>
      <c r="H448" s="184"/>
      <c r="I448" s="184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5.75" customHeight="1" x14ac:dyDescent="0.25">
      <c r="A449" s="1"/>
      <c r="B449" s="1"/>
      <c r="C449" s="1"/>
      <c r="D449" s="1"/>
      <c r="E449" s="1"/>
      <c r="F449" s="1"/>
      <c r="G449" s="1"/>
      <c r="H449" s="184"/>
      <c r="I449" s="184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5.75" customHeight="1" x14ac:dyDescent="0.25">
      <c r="A450" s="1"/>
      <c r="B450" s="1"/>
      <c r="C450" s="1"/>
      <c r="D450" s="1"/>
      <c r="E450" s="1"/>
      <c r="F450" s="1"/>
      <c r="G450" s="1"/>
      <c r="H450" s="184"/>
      <c r="I450" s="184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5.75" customHeight="1" x14ac:dyDescent="0.25">
      <c r="A451" s="1"/>
      <c r="B451" s="1"/>
      <c r="C451" s="1"/>
      <c r="D451" s="1"/>
      <c r="E451" s="1"/>
      <c r="F451" s="1"/>
      <c r="G451" s="1"/>
      <c r="H451" s="184"/>
      <c r="I451" s="184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5.75" customHeight="1" x14ac:dyDescent="0.25">
      <c r="A452" s="1"/>
      <c r="B452" s="1"/>
      <c r="C452" s="1"/>
      <c r="D452" s="1"/>
      <c r="E452" s="1"/>
      <c r="F452" s="1"/>
      <c r="G452" s="1"/>
      <c r="H452" s="184"/>
      <c r="I452" s="184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5.75" customHeight="1" x14ac:dyDescent="0.25">
      <c r="A453" s="1"/>
      <c r="B453" s="1"/>
      <c r="C453" s="1"/>
      <c r="D453" s="1"/>
      <c r="E453" s="1"/>
      <c r="F453" s="1"/>
      <c r="G453" s="1"/>
      <c r="H453" s="184"/>
      <c r="I453" s="184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5.75" customHeight="1" x14ac:dyDescent="0.25">
      <c r="A454" s="1"/>
      <c r="B454" s="1"/>
      <c r="C454" s="1"/>
      <c r="D454" s="1"/>
      <c r="E454" s="1"/>
      <c r="F454" s="1"/>
      <c r="G454" s="1"/>
      <c r="H454" s="184"/>
      <c r="I454" s="184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5.75" customHeight="1" x14ac:dyDescent="0.25">
      <c r="A455" s="1"/>
      <c r="B455" s="1"/>
      <c r="C455" s="1"/>
      <c r="D455" s="1"/>
      <c r="E455" s="1"/>
      <c r="F455" s="1"/>
      <c r="G455" s="1"/>
      <c r="H455" s="184"/>
      <c r="I455" s="184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5.75" customHeight="1" x14ac:dyDescent="0.25">
      <c r="A456" s="1"/>
      <c r="B456" s="1"/>
      <c r="C456" s="1"/>
      <c r="D456" s="1"/>
      <c r="E456" s="1"/>
      <c r="F456" s="1"/>
      <c r="G456" s="1"/>
      <c r="H456" s="184"/>
      <c r="I456" s="184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5.75" customHeight="1" x14ac:dyDescent="0.25">
      <c r="A457" s="1"/>
      <c r="B457" s="1"/>
      <c r="C457" s="1"/>
      <c r="D457" s="1"/>
      <c r="E457" s="1"/>
      <c r="F457" s="1"/>
      <c r="G457" s="1"/>
      <c r="H457" s="184"/>
      <c r="I457" s="184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5.75" customHeight="1" x14ac:dyDescent="0.25">
      <c r="A458" s="1"/>
      <c r="B458" s="1"/>
      <c r="C458" s="1"/>
      <c r="D458" s="1"/>
      <c r="E458" s="1"/>
      <c r="F458" s="1"/>
      <c r="G458" s="1"/>
      <c r="H458" s="184"/>
      <c r="I458" s="184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5.75" customHeight="1" x14ac:dyDescent="0.25">
      <c r="A459" s="1"/>
      <c r="B459" s="1"/>
      <c r="C459" s="1"/>
      <c r="D459" s="1"/>
      <c r="E459" s="1"/>
      <c r="F459" s="1"/>
      <c r="G459" s="1"/>
      <c r="H459" s="184"/>
      <c r="I459" s="184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5.75" customHeight="1" x14ac:dyDescent="0.25">
      <c r="A460" s="1"/>
      <c r="B460" s="1"/>
      <c r="C460" s="1"/>
      <c r="D460" s="1"/>
      <c r="E460" s="1"/>
      <c r="F460" s="1"/>
      <c r="G460" s="1"/>
      <c r="H460" s="184"/>
      <c r="I460" s="184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5.75" customHeight="1" x14ac:dyDescent="0.25">
      <c r="A461" s="1"/>
      <c r="B461" s="1"/>
      <c r="C461" s="1"/>
      <c r="D461" s="1"/>
      <c r="E461" s="1"/>
      <c r="F461" s="1"/>
      <c r="G461" s="1"/>
      <c r="H461" s="184"/>
      <c r="I461" s="184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5.75" customHeight="1" x14ac:dyDescent="0.25">
      <c r="A462" s="1"/>
      <c r="B462" s="1"/>
      <c r="C462" s="1"/>
      <c r="D462" s="1"/>
      <c r="E462" s="1"/>
      <c r="F462" s="1"/>
      <c r="G462" s="1"/>
      <c r="H462" s="184"/>
      <c r="I462" s="184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5.75" customHeight="1" x14ac:dyDescent="0.25">
      <c r="A463" s="1"/>
      <c r="B463" s="1"/>
      <c r="C463" s="1"/>
      <c r="D463" s="1"/>
      <c r="E463" s="1"/>
      <c r="F463" s="1"/>
      <c r="G463" s="1"/>
      <c r="H463" s="184"/>
      <c r="I463" s="184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5.75" customHeight="1" x14ac:dyDescent="0.25">
      <c r="A464" s="1"/>
      <c r="B464" s="1"/>
      <c r="C464" s="1"/>
      <c r="D464" s="1"/>
      <c r="E464" s="1"/>
      <c r="F464" s="1"/>
      <c r="G464" s="1"/>
      <c r="H464" s="184"/>
      <c r="I464" s="184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5.75" customHeight="1" x14ac:dyDescent="0.25">
      <c r="A465" s="1"/>
      <c r="B465" s="1"/>
      <c r="C465" s="1"/>
      <c r="D465" s="1"/>
      <c r="E465" s="1"/>
      <c r="F465" s="1"/>
      <c r="G465" s="1"/>
      <c r="H465" s="184"/>
      <c r="I465" s="184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5.75" customHeight="1" x14ac:dyDescent="0.25">
      <c r="A466" s="1"/>
      <c r="B466" s="1"/>
      <c r="C466" s="1"/>
      <c r="D466" s="1"/>
      <c r="E466" s="1"/>
      <c r="F466" s="1"/>
      <c r="G466" s="1"/>
      <c r="H466" s="184"/>
      <c r="I466" s="184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5.75" customHeight="1" x14ac:dyDescent="0.25">
      <c r="A467" s="1"/>
      <c r="B467" s="1"/>
      <c r="C467" s="1"/>
      <c r="D467" s="1"/>
      <c r="E467" s="1"/>
      <c r="F467" s="1"/>
      <c r="G467" s="1"/>
      <c r="H467" s="184"/>
      <c r="I467" s="184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5.75" customHeight="1" x14ac:dyDescent="0.25">
      <c r="A468" s="1"/>
      <c r="B468" s="1"/>
      <c r="C468" s="1"/>
      <c r="D468" s="1"/>
      <c r="E468" s="1"/>
      <c r="F468" s="1"/>
      <c r="G468" s="1"/>
      <c r="H468" s="184"/>
      <c r="I468" s="184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5.75" customHeight="1" x14ac:dyDescent="0.25">
      <c r="A469" s="1"/>
      <c r="B469" s="1"/>
      <c r="C469" s="1"/>
      <c r="D469" s="1"/>
      <c r="E469" s="1"/>
      <c r="F469" s="1"/>
      <c r="G469" s="1"/>
      <c r="H469" s="184"/>
      <c r="I469" s="184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5.75" customHeight="1" x14ac:dyDescent="0.25">
      <c r="A470" s="1"/>
      <c r="B470" s="1"/>
      <c r="C470" s="1"/>
      <c r="D470" s="1"/>
      <c r="E470" s="1"/>
      <c r="F470" s="1"/>
      <c r="G470" s="1"/>
      <c r="H470" s="184"/>
      <c r="I470" s="184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5.75" customHeight="1" x14ac:dyDescent="0.25">
      <c r="A471" s="1"/>
      <c r="B471" s="1"/>
      <c r="C471" s="1"/>
      <c r="D471" s="1"/>
      <c r="E471" s="1"/>
      <c r="F471" s="1"/>
      <c r="G471" s="1"/>
      <c r="H471" s="184"/>
      <c r="I471" s="184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5.75" customHeight="1" x14ac:dyDescent="0.25">
      <c r="A472" s="1"/>
      <c r="B472" s="1"/>
      <c r="C472" s="1"/>
      <c r="D472" s="1"/>
      <c r="E472" s="1"/>
      <c r="F472" s="1"/>
      <c r="G472" s="1"/>
      <c r="H472" s="184"/>
      <c r="I472" s="184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5.75" customHeight="1" x14ac:dyDescent="0.25">
      <c r="A473" s="1"/>
      <c r="B473" s="1"/>
      <c r="C473" s="1"/>
      <c r="D473" s="1"/>
      <c r="E473" s="1"/>
      <c r="F473" s="1"/>
      <c r="G473" s="1"/>
      <c r="H473" s="184"/>
      <c r="I473" s="184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5.75" customHeight="1" x14ac:dyDescent="0.25">
      <c r="A474" s="1"/>
      <c r="B474" s="1"/>
      <c r="C474" s="1"/>
      <c r="D474" s="1"/>
      <c r="E474" s="1"/>
      <c r="F474" s="1"/>
      <c r="G474" s="1"/>
      <c r="H474" s="184"/>
      <c r="I474" s="184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5.75" customHeight="1" x14ac:dyDescent="0.25">
      <c r="A475" s="1"/>
      <c r="B475" s="1"/>
      <c r="C475" s="1"/>
      <c r="D475" s="1"/>
      <c r="E475" s="1"/>
      <c r="F475" s="1"/>
      <c r="G475" s="1"/>
      <c r="H475" s="184"/>
      <c r="I475" s="184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5.75" customHeight="1" x14ac:dyDescent="0.25">
      <c r="A476" s="1"/>
      <c r="B476" s="1"/>
      <c r="C476" s="1"/>
      <c r="D476" s="1"/>
      <c r="E476" s="1"/>
      <c r="F476" s="1"/>
      <c r="G476" s="1"/>
      <c r="H476" s="184"/>
      <c r="I476" s="184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5.75" customHeight="1" x14ac:dyDescent="0.25">
      <c r="A477" s="1"/>
      <c r="B477" s="1"/>
      <c r="C477" s="1"/>
      <c r="D477" s="1"/>
      <c r="E477" s="1"/>
      <c r="F477" s="1"/>
      <c r="G477" s="1"/>
      <c r="H477" s="184"/>
      <c r="I477" s="184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5.75" customHeight="1" x14ac:dyDescent="0.25">
      <c r="A478" s="1"/>
      <c r="B478" s="1"/>
      <c r="C478" s="1"/>
      <c r="D478" s="1"/>
      <c r="E478" s="1"/>
      <c r="F478" s="1"/>
      <c r="G478" s="1"/>
      <c r="H478" s="184"/>
      <c r="I478" s="184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5.75" customHeight="1" x14ac:dyDescent="0.25">
      <c r="A479" s="1"/>
      <c r="B479" s="1"/>
      <c r="C479" s="1"/>
      <c r="D479" s="1"/>
      <c r="E479" s="1"/>
      <c r="F479" s="1"/>
      <c r="G479" s="1"/>
      <c r="H479" s="184"/>
      <c r="I479" s="184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5.75" customHeight="1" x14ac:dyDescent="0.25">
      <c r="A480" s="1"/>
      <c r="B480" s="1"/>
      <c r="C480" s="1"/>
      <c r="D480" s="1"/>
      <c r="E480" s="1"/>
      <c r="F480" s="1"/>
      <c r="G480" s="1"/>
      <c r="H480" s="184"/>
      <c r="I480" s="184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5.75" customHeight="1" x14ac:dyDescent="0.25">
      <c r="A481" s="1"/>
      <c r="B481" s="1"/>
      <c r="C481" s="1"/>
      <c r="D481" s="1"/>
      <c r="E481" s="1"/>
      <c r="F481" s="1"/>
      <c r="G481" s="1"/>
      <c r="H481" s="184"/>
      <c r="I481" s="184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5.75" customHeight="1" x14ac:dyDescent="0.25">
      <c r="A482" s="1"/>
      <c r="B482" s="1"/>
      <c r="C482" s="1"/>
      <c r="D482" s="1"/>
      <c r="E482" s="1"/>
      <c r="F482" s="1"/>
      <c r="G482" s="1"/>
      <c r="H482" s="184"/>
      <c r="I482" s="184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5.75" customHeight="1" x14ac:dyDescent="0.25">
      <c r="A483" s="1"/>
      <c r="B483" s="1"/>
      <c r="C483" s="1"/>
      <c r="D483" s="1"/>
      <c r="E483" s="1"/>
      <c r="F483" s="1"/>
      <c r="G483" s="1"/>
      <c r="H483" s="184"/>
      <c r="I483" s="184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5.75" customHeight="1" x14ac:dyDescent="0.25">
      <c r="A484" s="1"/>
      <c r="B484" s="1"/>
      <c r="C484" s="1"/>
      <c r="D484" s="1"/>
      <c r="E484" s="1"/>
      <c r="F484" s="1"/>
      <c r="G484" s="1"/>
      <c r="H484" s="184"/>
      <c r="I484" s="184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5.75" customHeight="1" x14ac:dyDescent="0.25">
      <c r="A485" s="1"/>
      <c r="B485" s="1"/>
      <c r="C485" s="1"/>
      <c r="D485" s="1"/>
      <c r="E485" s="1"/>
      <c r="F485" s="1"/>
      <c r="G485" s="1"/>
      <c r="H485" s="184"/>
      <c r="I485" s="184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5.75" customHeight="1" x14ac:dyDescent="0.25">
      <c r="A486" s="1"/>
      <c r="B486" s="1"/>
      <c r="C486" s="1"/>
      <c r="D486" s="1"/>
      <c r="E486" s="1"/>
      <c r="F486" s="1"/>
      <c r="G486" s="1"/>
      <c r="H486" s="184"/>
      <c r="I486" s="184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5.75" customHeight="1" x14ac:dyDescent="0.25">
      <c r="A487" s="1"/>
      <c r="B487" s="1"/>
      <c r="C487" s="1"/>
      <c r="D487" s="1"/>
      <c r="E487" s="1"/>
      <c r="F487" s="1"/>
      <c r="G487" s="1"/>
      <c r="H487" s="184"/>
      <c r="I487" s="184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5.75" customHeight="1" x14ac:dyDescent="0.25">
      <c r="A488" s="1"/>
      <c r="B488" s="1"/>
      <c r="C488" s="1"/>
      <c r="D488" s="1"/>
      <c r="E488" s="1"/>
      <c r="F488" s="1"/>
      <c r="G488" s="1"/>
      <c r="H488" s="184"/>
      <c r="I488" s="184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5.75" customHeight="1" x14ac:dyDescent="0.25">
      <c r="A489" s="1"/>
      <c r="B489" s="1"/>
      <c r="C489" s="1"/>
      <c r="D489" s="1"/>
      <c r="E489" s="1"/>
      <c r="F489" s="1"/>
      <c r="G489" s="1"/>
      <c r="H489" s="184"/>
      <c r="I489" s="184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5.75" customHeight="1" x14ac:dyDescent="0.25">
      <c r="A490" s="1"/>
      <c r="B490" s="1"/>
      <c r="C490" s="1"/>
      <c r="D490" s="1"/>
      <c r="E490" s="1"/>
      <c r="F490" s="1"/>
      <c r="G490" s="1"/>
      <c r="H490" s="184"/>
      <c r="I490" s="184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5.75" customHeight="1" x14ac:dyDescent="0.25">
      <c r="A491" s="1"/>
      <c r="B491" s="1"/>
      <c r="C491" s="1"/>
      <c r="D491" s="1"/>
      <c r="E491" s="1"/>
      <c r="F491" s="1"/>
      <c r="G491" s="1"/>
      <c r="H491" s="184"/>
      <c r="I491" s="184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5.75" customHeight="1" x14ac:dyDescent="0.25">
      <c r="A492" s="1"/>
      <c r="B492" s="1"/>
      <c r="C492" s="1"/>
      <c r="D492" s="1"/>
      <c r="E492" s="1"/>
      <c r="F492" s="1"/>
      <c r="G492" s="1"/>
      <c r="H492" s="184"/>
      <c r="I492" s="184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5.75" customHeight="1" x14ac:dyDescent="0.25">
      <c r="A493" s="1"/>
      <c r="B493" s="1"/>
      <c r="C493" s="1"/>
      <c r="D493" s="1"/>
      <c r="E493" s="1"/>
      <c r="F493" s="1"/>
      <c r="G493" s="1"/>
      <c r="H493" s="184"/>
      <c r="I493" s="184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5.75" customHeight="1" x14ac:dyDescent="0.25">
      <c r="A494" s="1"/>
      <c r="B494" s="1"/>
      <c r="C494" s="1"/>
      <c r="D494" s="1"/>
      <c r="E494" s="1"/>
      <c r="F494" s="1"/>
      <c r="G494" s="1"/>
      <c r="H494" s="184"/>
      <c r="I494" s="184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5.75" customHeight="1" x14ac:dyDescent="0.25">
      <c r="A495" s="1"/>
      <c r="B495" s="1"/>
      <c r="C495" s="1"/>
      <c r="D495" s="1"/>
      <c r="E495" s="1"/>
      <c r="F495" s="1"/>
      <c r="G495" s="1"/>
      <c r="H495" s="184"/>
      <c r="I495" s="184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5.75" customHeight="1" x14ac:dyDescent="0.25">
      <c r="A496" s="1"/>
      <c r="B496" s="1"/>
      <c r="C496" s="1"/>
      <c r="D496" s="1"/>
      <c r="E496" s="1"/>
      <c r="F496" s="1"/>
      <c r="G496" s="1"/>
      <c r="H496" s="184"/>
      <c r="I496" s="184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5.75" customHeight="1" x14ac:dyDescent="0.25">
      <c r="A497" s="1"/>
      <c r="B497" s="1"/>
      <c r="C497" s="1"/>
      <c r="D497" s="1"/>
      <c r="E497" s="1"/>
      <c r="F497" s="1"/>
      <c r="G497" s="1"/>
      <c r="H497" s="184"/>
      <c r="I497" s="184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5.75" customHeight="1" x14ac:dyDescent="0.25">
      <c r="A498" s="1"/>
      <c r="B498" s="1"/>
      <c r="C498" s="1"/>
      <c r="D498" s="1"/>
      <c r="E498" s="1"/>
      <c r="F498" s="1"/>
      <c r="G498" s="1"/>
      <c r="H498" s="184"/>
      <c r="I498" s="184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5.75" customHeight="1" x14ac:dyDescent="0.25">
      <c r="A499" s="1"/>
      <c r="B499" s="1"/>
      <c r="C499" s="1"/>
      <c r="D499" s="1"/>
      <c r="E499" s="1"/>
      <c r="F499" s="1"/>
      <c r="G499" s="1"/>
      <c r="H499" s="184"/>
      <c r="I499" s="184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5.75" customHeight="1" x14ac:dyDescent="0.25">
      <c r="A500" s="1"/>
      <c r="B500" s="1"/>
      <c r="C500" s="1"/>
      <c r="D500" s="1"/>
      <c r="E500" s="1"/>
      <c r="F500" s="1"/>
      <c r="G500" s="1"/>
      <c r="H500" s="184"/>
      <c r="I500" s="184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5.75" customHeight="1" x14ac:dyDescent="0.25">
      <c r="A501" s="1"/>
      <c r="B501" s="1"/>
      <c r="C501" s="1"/>
      <c r="D501" s="1"/>
      <c r="E501" s="1"/>
      <c r="F501" s="1"/>
      <c r="G501" s="1"/>
      <c r="H501" s="184"/>
      <c r="I501" s="184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5.75" customHeight="1" x14ac:dyDescent="0.25">
      <c r="A502" s="1"/>
      <c r="B502" s="1"/>
      <c r="C502" s="1"/>
      <c r="D502" s="1"/>
      <c r="E502" s="1"/>
      <c r="F502" s="1"/>
      <c r="G502" s="1"/>
      <c r="H502" s="184"/>
      <c r="I502" s="184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5.75" customHeight="1" x14ac:dyDescent="0.25">
      <c r="A503" s="1"/>
      <c r="B503" s="1"/>
      <c r="C503" s="1"/>
      <c r="D503" s="1"/>
      <c r="E503" s="1"/>
      <c r="F503" s="1"/>
      <c r="G503" s="1"/>
      <c r="H503" s="184"/>
      <c r="I503" s="184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5.75" customHeight="1" x14ac:dyDescent="0.25">
      <c r="A504" s="1"/>
      <c r="B504" s="1"/>
      <c r="C504" s="1"/>
      <c r="D504" s="1"/>
      <c r="E504" s="1"/>
      <c r="F504" s="1"/>
      <c r="G504" s="1"/>
      <c r="H504" s="184"/>
      <c r="I504" s="184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5.75" customHeight="1" x14ac:dyDescent="0.25">
      <c r="A505" s="1"/>
      <c r="B505" s="1"/>
      <c r="C505" s="1"/>
      <c r="D505" s="1"/>
      <c r="E505" s="1"/>
      <c r="F505" s="1"/>
      <c r="G505" s="1"/>
      <c r="H505" s="184"/>
      <c r="I505" s="184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5.75" customHeight="1" x14ac:dyDescent="0.25">
      <c r="A506" s="1"/>
      <c r="B506" s="1"/>
      <c r="C506" s="1"/>
      <c r="D506" s="1"/>
      <c r="E506" s="1"/>
      <c r="F506" s="1"/>
      <c r="G506" s="1"/>
      <c r="H506" s="184"/>
      <c r="I506" s="184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5.75" customHeight="1" x14ac:dyDescent="0.25">
      <c r="A507" s="1"/>
      <c r="B507" s="1"/>
      <c r="C507" s="1"/>
      <c r="D507" s="1"/>
      <c r="E507" s="1"/>
      <c r="F507" s="1"/>
      <c r="G507" s="1"/>
      <c r="H507" s="184"/>
      <c r="I507" s="184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5.75" customHeight="1" x14ac:dyDescent="0.25">
      <c r="A508" s="1"/>
      <c r="B508" s="1"/>
      <c r="C508" s="1"/>
      <c r="D508" s="1"/>
      <c r="E508" s="1"/>
      <c r="F508" s="1"/>
      <c r="G508" s="1"/>
      <c r="H508" s="184"/>
      <c r="I508" s="184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5.75" customHeight="1" x14ac:dyDescent="0.25">
      <c r="A509" s="1"/>
      <c r="B509" s="1"/>
      <c r="C509" s="1"/>
      <c r="D509" s="1"/>
      <c r="E509" s="1"/>
      <c r="F509" s="1"/>
      <c r="G509" s="1"/>
      <c r="H509" s="184"/>
      <c r="I509" s="184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5.75" customHeight="1" x14ac:dyDescent="0.25">
      <c r="A510" s="1"/>
      <c r="B510" s="1"/>
      <c r="C510" s="1"/>
      <c r="D510" s="1"/>
      <c r="E510" s="1"/>
      <c r="F510" s="1"/>
      <c r="G510" s="1"/>
      <c r="H510" s="184"/>
      <c r="I510" s="184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5.75" customHeight="1" x14ac:dyDescent="0.25">
      <c r="A511" s="1"/>
      <c r="B511" s="1"/>
      <c r="C511" s="1"/>
      <c r="D511" s="1"/>
      <c r="E511" s="1"/>
      <c r="F511" s="1"/>
      <c r="G511" s="1"/>
      <c r="H511" s="184"/>
      <c r="I511" s="184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5.75" customHeight="1" x14ac:dyDescent="0.25">
      <c r="A512" s="1"/>
      <c r="B512" s="1"/>
      <c r="C512" s="1"/>
      <c r="D512" s="1"/>
      <c r="E512" s="1"/>
      <c r="F512" s="1"/>
      <c r="G512" s="1"/>
      <c r="H512" s="184"/>
      <c r="I512" s="184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5.75" customHeight="1" x14ac:dyDescent="0.25">
      <c r="A513" s="1"/>
      <c r="B513" s="1"/>
      <c r="C513" s="1"/>
      <c r="D513" s="1"/>
      <c r="E513" s="1"/>
      <c r="F513" s="1"/>
      <c r="G513" s="1"/>
      <c r="H513" s="184"/>
      <c r="I513" s="184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5.75" customHeight="1" x14ac:dyDescent="0.25">
      <c r="A514" s="1"/>
      <c r="B514" s="1"/>
      <c r="C514" s="1"/>
      <c r="D514" s="1"/>
      <c r="E514" s="1"/>
      <c r="F514" s="1"/>
      <c r="G514" s="1"/>
      <c r="H514" s="184"/>
      <c r="I514" s="184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5.75" customHeight="1" x14ac:dyDescent="0.25">
      <c r="A515" s="1"/>
      <c r="B515" s="1"/>
      <c r="C515" s="1"/>
      <c r="D515" s="1"/>
      <c r="E515" s="1"/>
      <c r="F515" s="1"/>
      <c r="G515" s="1"/>
      <c r="H515" s="184"/>
      <c r="I515" s="184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5.75" customHeight="1" x14ac:dyDescent="0.25">
      <c r="A516" s="1"/>
      <c r="B516" s="1"/>
      <c r="C516" s="1"/>
      <c r="D516" s="1"/>
      <c r="E516" s="1"/>
      <c r="F516" s="1"/>
      <c r="G516" s="1"/>
      <c r="H516" s="184"/>
      <c r="I516" s="184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5.75" customHeight="1" x14ac:dyDescent="0.25">
      <c r="A517" s="1"/>
      <c r="B517" s="1"/>
      <c r="C517" s="1"/>
      <c r="D517" s="1"/>
      <c r="E517" s="1"/>
      <c r="F517" s="1"/>
      <c r="G517" s="1"/>
      <c r="H517" s="184"/>
      <c r="I517" s="184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5.75" customHeight="1" x14ac:dyDescent="0.25">
      <c r="A518" s="1"/>
      <c r="B518" s="1"/>
      <c r="C518" s="1"/>
      <c r="D518" s="1"/>
      <c r="E518" s="1"/>
      <c r="F518" s="1"/>
      <c r="G518" s="1"/>
      <c r="H518" s="184"/>
      <c r="I518" s="184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5.75" customHeight="1" x14ac:dyDescent="0.25">
      <c r="A519" s="1"/>
      <c r="B519" s="1"/>
      <c r="C519" s="1"/>
      <c r="D519" s="1"/>
      <c r="E519" s="1"/>
      <c r="F519" s="1"/>
      <c r="G519" s="1"/>
      <c r="H519" s="184"/>
      <c r="I519" s="184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5.75" customHeight="1" x14ac:dyDescent="0.25">
      <c r="A520" s="1"/>
      <c r="B520" s="1"/>
      <c r="C520" s="1"/>
      <c r="D520" s="1"/>
      <c r="E520" s="1"/>
      <c r="F520" s="1"/>
      <c r="G520" s="1"/>
      <c r="H520" s="184"/>
      <c r="I520" s="184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5.75" customHeight="1" x14ac:dyDescent="0.25">
      <c r="A521" s="1"/>
      <c r="B521" s="1"/>
      <c r="C521" s="1"/>
      <c r="D521" s="1"/>
      <c r="E521" s="1"/>
      <c r="F521" s="1"/>
      <c r="G521" s="1"/>
      <c r="H521" s="184"/>
      <c r="I521" s="184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5.75" customHeight="1" x14ac:dyDescent="0.25">
      <c r="A522" s="1"/>
      <c r="B522" s="1"/>
      <c r="C522" s="1"/>
      <c r="D522" s="1"/>
      <c r="E522" s="1"/>
      <c r="F522" s="1"/>
      <c r="G522" s="1"/>
      <c r="H522" s="184"/>
      <c r="I522" s="184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5.75" customHeight="1" x14ac:dyDescent="0.25">
      <c r="A523" s="1"/>
      <c r="B523" s="1"/>
      <c r="C523" s="1"/>
      <c r="D523" s="1"/>
      <c r="E523" s="1"/>
      <c r="F523" s="1"/>
      <c r="G523" s="1"/>
      <c r="H523" s="184"/>
      <c r="I523" s="184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5.75" customHeight="1" x14ac:dyDescent="0.25">
      <c r="A524" s="1"/>
      <c r="B524" s="1"/>
      <c r="C524" s="1"/>
      <c r="D524" s="1"/>
      <c r="E524" s="1"/>
      <c r="F524" s="1"/>
      <c r="G524" s="1"/>
      <c r="H524" s="184"/>
      <c r="I524" s="184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5.75" customHeight="1" x14ac:dyDescent="0.25">
      <c r="A525" s="1"/>
      <c r="B525" s="1"/>
      <c r="C525" s="1"/>
      <c r="D525" s="1"/>
      <c r="E525" s="1"/>
      <c r="F525" s="1"/>
      <c r="G525" s="1"/>
      <c r="H525" s="184"/>
      <c r="I525" s="184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5.75" customHeight="1" x14ac:dyDescent="0.25">
      <c r="A526" s="1"/>
      <c r="B526" s="1"/>
      <c r="C526" s="1"/>
      <c r="D526" s="1"/>
      <c r="E526" s="1"/>
      <c r="F526" s="1"/>
      <c r="G526" s="1"/>
      <c r="H526" s="184"/>
      <c r="I526" s="184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5.75" customHeight="1" x14ac:dyDescent="0.25">
      <c r="A527" s="1"/>
      <c r="B527" s="1"/>
      <c r="C527" s="1"/>
      <c r="D527" s="1"/>
      <c r="E527" s="1"/>
      <c r="F527" s="1"/>
      <c r="G527" s="1"/>
      <c r="H527" s="184"/>
      <c r="I527" s="184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5.75" customHeight="1" x14ac:dyDescent="0.25">
      <c r="A528" s="1"/>
      <c r="B528" s="1"/>
      <c r="C528" s="1"/>
      <c r="D528" s="1"/>
      <c r="E528" s="1"/>
      <c r="F528" s="1"/>
      <c r="G528" s="1"/>
      <c r="H528" s="184"/>
      <c r="I528" s="184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5.75" customHeight="1" x14ac:dyDescent="0.25">
      <c r="A529" s="1"/>
      <c r="B529" s="1"/>
      <c r="C529" s="1"/>
      <c r="D529" s="1"/>
      <c r="E529" s="1"/>
      <c r="F529" s="1"/>
      <c r="G529" s="1"/>
      <c r="H529" s="184"/>
      <c r="I529" s="184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5.75" customHeight="1" x14ac:dyDescent="0.25">
      <c r="A530" s="1"/>
      <c r="B530" s="1"/>
      <c r="C530" s="1"/>
      <c r="D530" s="1"/>
      <c r="E530" s="1"/>
      <c r="F530" s="1"/>
      <c r="G530" s="1"/>
      <c r="H530" s="184"/>
      <c r="I530" s="184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5.75" customHeight="1" x14ac:dyDescent="0.25">
      <c r="A531" s="1"/>
      <c r="B531" s="1"/>
      <c r="C531" s="1"/>
      <c r="D531" s="1"/>
      <c r="E531" s="1"/>
      <c r="F531" s="1"/>
      <c r="G531" s="1"/>
      <c r="H531" s="184"/>
      <c r="I531" s="184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5.75" customHeight="1" x14ac:dyDescent="0.25">
      <c r="A532" s="1"/>
      <c r="B532" s="1"/>
      <c r="C532" s="1"/>
      <c r="D532" s="1"/>
      <c r="E532" s="1"/>
      <c r="F532" s="1"/>
      <c r="G532" s="1"/>
      <c r="H532" s="184"/>
      <c r="I532" s="184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5.75" customHeight="1" x14ac:dyDescent="0.25">
      <c r="A533" s="1"/>
      <c r="B533" s="1"/>
      <c r="C533" s="1"/>
      <c r="D533" s="1"/>
      <c r="E533" s="1"/>
      <c r="F533" s="1"/>
      <c r="G533" s="1"/>
      <c r="H533" s="184"/>
      <c r="I533" s="184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5.75" customHeight="1" x14ac:dyDescent="0.25">
      <c r="A534" s="1"/>
      <c r="B534" s="1"/>
      <c r="C534" s="1"/>
      <c r="D534" s="1"/>
      <c r="E534" s="1"/>
      <c r="F534" s="1"/>
      <c r="G534" s="1"/>
      <c r="H534" s="184"/>
      <c r="I534" s="184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5.75" customHeight="1" x14ac:dyDescent="0.25">
      <c r="A535" s="1"/>
      <c r="B535" s="1"/>
      <c r="C535" s="1"/>
      <c r="D535" s="1"/>
      <c r="E535" s="1"/>
      <c r="F535" s="1"/>
      <c r="G535" s="1"/>
      <c r="H535" s="184"/>
      <c r="I535" s="184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5.75" customHeight="1" x14ac:dyDescent="0.25">
      <c r="A536" s="1"/>
      <c r="B536" s="1"/>
      <c r="C536" s="1"/>
      <c r="D536" s="1"/>
      <c r="E536" s="1"/>
      <c r="F536" s="1"/>
      <c r="G536" s="1"/>
      <c r="H536" s="184"/>
      <c r="I536" s="184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5.75" customHeight="1" x14ac:dyDescent="0.25">
      <c r="A537" s="1"/>
      <c r="B537" s="1"/>
      <c r="C537" s="1"/>
      <c r="D537" s="1"/>
      <c r="E537" s="1"/>
      <c r="F537" s="1"/>
      <c r="G537" s="1"/>
      <c r="H537" s="184"/>
      <c r="I537" s="184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5.75" customHeight="1" x14ac:dyDescent="0.25">
      <c r="A538" s="1"/>
      <c r="B538" s="1"/>
      <c r="C538" s="1"/>
      <c r="D538" s="1"/>
      <c r="E538" s="1"/>
      <c r="F538" s="1"/>
      <c r="G538" s="1"/>
      <c r="H538" s="184"/>
      <c r="I538" s="184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5.75" customHeight="1" x14ac:dyDescent="0.25">
      <c r="A539" s="1"/>
      <c r="B539" s="1"/>
      <c r="C539" s="1"/>
      <c r="D539" s="1"/>
      <c r="E539" s="1"/>
      <c r="F539" s="1"/>
      <c r="G539" s="1"/>
      <c r="H539" s="184"/>
      <c r="I539" s="184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5.75" customHeight="1" x14ac:dyDescent="0.25">
      <c r="A540" s="1"/>
      <c r="B540" s="1"/>
      <c r="C540" s="1"/>
      <c r="D540" s="1"/>
      <c r="E540" s="1"/>
      <c r="F540" s="1"/>
      <c r="G540" s="1"/>
      <c r="H540" s="184"/>
      <c r="I540" s="184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5.75" customHeight="1" x14ac:dyDescent="0.25">
      <c r="A541" s="1"/>
      <c r="B541" s="1"/>
      <c r="C541" s="1"/>
      <c r="D541" s="1"/>
      <c r="E541" s="1"/>
      <c r="F541" s="1"/>
      <c r="G541" s="1"/>
      <c r="H541" s="184"/>
      <c r="I541" s="184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5.75" customHeight="1" x14ac:dyDescent="0.25">
      <c r="A542" s="1"/>
      <c r="B542" s="1"/>
      <c r="C542" s="1"/>
      <c r="D542" s="1"/>
      <c r="E542" s="1"/>
      <c r="F542" s="1"/>
      <c r="G542" s="1"/>
      <c r="H542" s="184"/>
      <c r="I542" s="184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5.75" customHeight="1" x14ac:dyDescent="0.25">
      <c r="A543" s="1"/>
      <c r="B543" s="1"/>
      <c r="C543" s="1"/>
      <c r="D543" s="1"/>
      <c r="E543" s="1"/>
      <c r="F543" s="1"/>
      <c r="G543" s="1"/>
      <c r="H543" s="184"/>
      <c r="I543" s="184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5.75" customHeight="1" x14ac:dyDescent="0.25">
      <c r="A544" s="1"/>
      <c r="B544" s="1"/>
      <c r="C544" s="1"/>
      <c r="D544" s="1"/>
      <c r="E544" s="1"/>
      <c r="F544" s="1"/>
      <c r="G544" s="1"/>
      <c r="H544" s="184"/>
      <c r="I544" s="184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5.75" customHeight="1" x14ac:dyDescent="0.25">
      <c r="A545" s="1"/>
      <c r="B545" s="1"/>
      <c r="C545" s="1"/>
      <c r="D545" s="1"/>
      <c r="E545" s="1"/>
      <c r="F545" s="1"/>
      <c r="G545" s="1"/>
      <c r="H545" s="184"/>
      <c r="I545" s="184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5.75" customHeight="1" x14ac:dyDescent="0.25">
      <c r="A546" s="1"/>
      <c r="B546" s="1"/>
      <c r="C546" s="1"/>
      <c r="D546" s="1"/>
      <c r="E546" s="1"/>
      <c r="F546" s="1"/>
      <c r="G546" s="1"/>
      <c r="H546" s="184"/>
      <c r="I546" s="184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5.75" customHeight="1" x14ac:dyDescent="0.25">
      <c r="A547" s="1"/>
      <c r="B547" s="1"/>
      <c r="C547" s="1"/>
      <c r="D547" s="1"/>
      <c r="E547" s="1"/>
      <c r="F547" s="1"/>
      <c r="G547" s="1"/>
      <c r="H547" s="184"/>
      <c r="I547" s="184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5.75" customHeight="1" x14ac:dyDescent="0.25">
      <c r="A548" s="1"/>
      <c r="B548" s="1"/>
      <c r="C548" s="1"/>
      <c r="D548" s="1"/>
      <c r="E548" s="1"/>
      <c r="F548" s="1"/>
      <c r="G548" s="1"/>
      <c r="H548" s="184"/>
      <c r="I548" s="184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5.75" customHeight="1" x14ac:dyDescent="0.25">
      <c r="A549" s="1"/>
      <c r="B549" s="1"/>
      <c r="C549" s="1"/>
      <c r="D549" s="1"/>
      <c r="E549" s="1"/>
      <c r="F549" s="1"/>
      <c r="G549" s="1"/>
      <c r="H549" s="184"/>
      <c r="I549" s="184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5.75" customHeight="1" x14ac:dyDescent="0.25">
      <c r="A550" s="1"/>
      <c r="B550" s="1"/>
      <c r="C550" s="1"/>
      <c r="D550" s="1"/>
      <c r="E550" s="1"/>
      <c r="F550" s="1"/>
      <c r="G550" s="1"/>
      <c r="H550" s="184"/>
      <c r="I550" s="184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5.75" customHeight="1" x14ac:dyDescent="0.25">
      <c r="A551" s="1"/>
      <c r="B551" s="1"/>
      <c r="C551" s="1"/>
      <c r="D551" s="1"/>
      <c r="E551" s="1"/>
      <c r="F551" s="1"/>
      <c r="G551" s="1"/>
      <c r="H551" s="184"/>
      <c r="I551" s="184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5.75" customHeight="1" x14ac:dyDescent="0.25">
      <c r="A552" s="1"/>
      <c r="B552" s="1"/>
      <c r="C552" s="1"/>
      <c r="D552" s="1"/>
      <c r="E552" s="1"/>
      <c r="F552" s="1"/>
      <c r="G552" s="1"/>
      <c r="H552" s="184"/>
      <c r="I552" s="184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5.75" customHeight="1" x14ac:dyDescent="0.25">
      <c r="A553" s="1"/>
      <c r="B553" s="1"/>
      <c r="C553" s="1"/>
      <c r="D553" s="1"/>
      <c r="E553" s="1"/>
      <c r="F553" s="1"/>
      <c r="G553" s="1"/>
      <c r="H553" s="184"/>
      <c r="I553" s="184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5.75" customHeight="1" x14ac:dyDescent="0.25">
      <c r="A554" s="1"/>
      <c r="B554" s="1"/>
      <c r="C554" s="1"/>
      <c r="D554" s="1"/>
      <c r="E554" s="1"/>
      <c r="F554" s="1"/>
      <c r="G554" s="1"/>
      <c r="H554" s="184"/>
      <c r="I554" s="184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5.75" customHeight="1" x14ac:dyDescent="0.25">
      <c r="A555" s="1"/>
      <c r="B555" s="1"/>
      <c r="C555" s="1"/>
      <c r="D555" s="1"/>
      <c r="E555" s="1"/>
      <c r="F555" s="1"/>
      <c r="G555" s="1"/>
      <c r="H555" s="184"/>
      <c r="I555" s="184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5.75" customHeight="1" x14ac:dyDescent="0.25">
      <c r="A556" s="1"/>
      <c r="B556" s="1"/>
      <c r="C556" s="1"/>
      <c r="D556" s="1"/>
      <c r="E556" s="1"/>
      <c r="F556" s="1"/>
      <c r="G556" s="1"/>
      <c r="H556" s="184"/>
      <c r="I556" s="184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5.75" customHeight="1" x14ac:dyDescent="0.25">
      <c r="A557" s="1"/>
      <c r="B557" s="1"/>
      <c r="C557" s="1"/>
      <c r="D557" s="1"/>
      <c r="E557" s="1"/>
      <c r="F557" s="1"/>
      <c r="G557" s="1"/>
      <c r="H557" s="184"/>
      <c r="I557" s="184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5.75" customHeight="1" x14ac:dyDescent="0.25">
      <c r="A558" s="1"/>
      <c r="B558" s="1"/>
      <c r="C558" s="1"/>
      <c r="D558" s="1"/>
      <c r="E558" s="1"/>
      <c r="F558" s="1"/>
      <c r="G558" s="1"/>
      <c r="H558" s="184"/>
      <c r="I558" s="184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5.75" customHeight="1" x14ac:dyDescent="0.25">
      <c r="A559" s="1"/>
      <c r="B559" s="1"/>
      <c r="C559" s="1"/>
      <c r="D559" s="1"/>
      <c r="E559" s="1"/>
      <c r="F559" s="1"/>
      <c r="G559" s="1"/>
      <c r="H559" s="184"/>
      <c r="I559" s="184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5.75" customHeight="1" x14ac:dyDescent="0.25">
      <c r="A560" s="1"/>
      <c r="B560" s="1"/>
      <c r="C560" s="1"/>
      <c r="D560" s="1"/>
      <c r="E560" s="1"/>
      <c r="F560" s="1"/>
      <c r="G560" s="1"/>
      <c r="H560" s="184"/>
      <c r="I560" s="184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5.75" customHeight="1" x14ac:dyDescent="0.25">
      <c r="A561" s="1"/>
      <c r="B561" s="1"/>
      <c r="C561" s="1"/>
      <c r="D561" s="1"/>
      <c r="E561" s="1"/>
      <c r="F561" s="1"/>
      <c r="G561" s="1"/>
      <c r="H561" s="184"/>
      <c r="I561" s="184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5.75" customHeight="1" x14ac:dyDescent="0.25">
      <c r="A562" s="1"/>
      <c r="B562" s="1"/>
      <c r="C562" s="1"/>
      <c r="D562" s="1"/>
      <c r="E562" s="1"/>
      <c r="F562" s="1"/>
      <c r="G562" s="1"/>
      <c r="H562" s="184"/>
      <c r="I562" s="184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5.75" customHeight="1" x14ac:dyDescent="0.25">
      <c r="A563" s="1"/>
      <c r="B563" s="1"/>
      <c r="C563" s="1"/>
      <c r="D563" s="1"/>
      <c r="E563" s="1"/>
      <c r="F563" s="1"/>
      <c r="G563" s="1"/>
      <c r="H563" s="184"/>
      <c r="I563" s="184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5.75" customHeight="1" x14ac:dyDescent="0.25">
      <c r="A564" s="1"/>
      <c r="B564" s="1"/>
      <c r="C564" s="1"/>
      <c r="D564" s="1"/>
      <c r="E564" s="1"/>
      <c r="F564" s="1"/>
      <c r="G564" s="1"/>
      <c r="H564" s="184"/>
      <c r="I564" s="184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5.75" customHeight="1" x14ac:dyDescent="0.25">
      <c r="A565" s="1"/>
      <c r="B565" s="1"/>
      <c r="C565" s="1"/>
      <c r="D565" s="1"/>
      <c r="E565" s="1"/>
      <c r="F565" s="1"/>
      <c r="G565" s="1"/>
      <c r="H565" s="184"/>
      <c r="I565" s="184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5.75" customHeight="1" x14ac:dyDescent="0.25">
      <c r="A566" s="1"/>
      <c r="B566" s="1"/>
      <c r="C566" s="1"/>
      <c r="D566" s="1"/>
      <c r="E566" s="1"/>
      <c r="F566" s="1"/>
      <c r="G566" s="1"/>
      <c r="H566" s="184"/>
      <c r="I566" s="184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5.75" customHeight="1" x14ac:dyDescent="0.25">
      <c r="A567" s="1"/>
      <c r="B567" s="1"/>
      <c r="C567" s="1"/>
      <c r="D567" s="1"/>
      <c r="E567" s="1"/>
      <c r="F567" s="1"/>
      <c r="G567" s="1"/>
      <c r="H567" s="184"/>
      <c r="I567" s="184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5.75" customHeight="1" x14ac:dyDescent="0.25">
      <c r="A568" s="1"/>
      <c r="B568" s="1"/>
      <c r="C568" s="1"/>
      <c r="D568" s="1"/>
      <c r="E568" s="1"/>
      <c r="F568" s="1"/>
      <c r="G568" s="1"/>
      <c r="H568" s="184"/>
      <c r="I568" s="184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5.75" customHeight="1" x14ac:dyDescent="0.25">
      <c r="A569" s="1"/>
      <c r="B569" s="1"/>
      <c r="C569" s="1"/>
      <c r="D569" s="1"/>
      <c r="E569" s="1"/>
      <c r="F569" s="1"/>
      <c r="G569" s="1"/>
      <c r="H569" s="184"/>
      <c r="I569" s="184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5.75" customHeight="1" x14ac:dyDescent="0.25">
      <c r="A570" s="1"/>
      <c r="B570" s="1"/>
      <c r="C570" s="1"/>
      <c r="D570" s="1"/>
      <c r="E570" s="1"/>
      <c r="F570" s="1"/>
      <c r="G570" s="1"/>
      <c r="H570" s="184"/>
      <c r="I570" s="184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5.75" customHeight="1" x14ac:dyDescent="0.25">
      <c r="A571" s="1"/>
      <c r="B571" s="1"/>
      <c r="C571" s="1"/>
      <c r="D571" s="1"/>
      <c r="E571" s="1"/>
      <c r="F571" s="1"/>
      <c r="G571" s="1"/>
      <c r="H571" s="184"/>
      <c r="I571" s="184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5.75" customHeight="1" x14ac:dyDescent="0.25">
      <c r="A572" s="1"/>
      <c r="B572" s="1"/>
      <c r="C572" s="1"/>
      <c r="D572" s="1"/>
      <c r="E572" s="1"/>
      <c r="F572" s="1"/>
      <c r="G572" s="1"/>
      <c r="H572" s="184"/>
      <c r="I572" s="184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5.75" customHeight="1" x14ac:dyDescent="0.25">
      <c r="A573" s="1"/>
      <c r="B573" s="1"/>
      <c r="C573" s="1"/>
      <c r="D573" s="1"/>
      <c r="E573" s="1"/>
      <c r="F573" s="1"/>
      <c r="G573" s="1"/>
      <c r="H573" s="184"/>
      <c r="I573" s="184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5.75" customHeight="1" x14ac:dyDescent="0.25">
      <c r="A574" s="1"/>
      <c r="B574" s="1"/>
      <c r="C574" s="1"/>
      <c r="D574" s="1"/>
      <c r="E574" s="1"/>
      <c r="F574" s="1"/>
      <c r="G574" s="1"/>
      <c r="H574" s="184"/>
      <c r="I574" s="184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5.75" customHeight="1" x14ac:dyDescent="0.25">
      <c r="A575" s="1"/>
      <c r="B575" s="1"/>
      <c r="C575" s="1"/>
      <c r="D575" s="1"/>
      <c r="E575" s="1"/>
      <c r="F575" s="1"/>
      <c r="G575" s="1"/>
      <c r="H575" s="184"/>
      <c r="I575" s="184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5.75" customHeight="1" x14ac:dyDescent="0.25">
      <c r="A576" s="1"/>
      <c r="B576" s="1"/>
      <c r="C576" s="1"/>
      <c r="D576" s="1"/>
      <c r="E576" s="1"/>
      <c r="F576" s="1"/>
      <c r="G576" s="1"/>
      <c r="H576" s="184"/>
      <c r="I576" s="184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5.75" customHeight="1" x14ac:dyDescent="0.25">
      <c r="A577" s="1"/>
      <c r="B577" s="1"/>
      <c r="C577" s="1"/>
      <c r="D577" s="1"/>
      <c r="E577" s="1"/>
      <c r="F577" s="1"/>
      <c r="G577" s="1"/>
      <c r="H577" s="184"/>
      <c r="I577" s="184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5.75" customHeight="1" x14ac:dyDescent="0.25">
      <c r="A578" s="1"/>
      <c r="B578" s="1"/>
      <c r="C578" s="1"/>
      <c r="D578" s="1"/>
      <c r="E578" s="1"/>
      <c r="F578" s="1"/>
      <c r="G578" s="1"/>
      <c r="H578" s="184"/>
      <c r="I578" s="184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5.75" customHeight="1" x14ac:dyDescent="0.25">
      <c r="A579" s="1"/>
      <c r="B579" s="1"/>
      <c r="C579" s="1"/>
      <c r="D579" s="1"/>
      <c r="E579" s="1"/>
      <c r="F579" s="1"/>
      <c r="G579" s="1"/>
      <c r="H579" s="184"/>
      <c r="I579" s="184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5.75" customHeight="1" x14ac:dyDescent="0.25">
      <c r="A580" s="1"/>
      <c r="B580" s="1"/>
      <c r="C580" s="1"/>
      <c r="D580" s="1"/>
      <c r="E580" s="1"/>
      <c r="F580" s="1"/>
      <c r="G580" s="1"/>
      <c r="H580" s="184"/>
      <c r="I580" s="184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5.75" customHeight="1" x14ac:dyDescent="0.25">
      <c r="A581" s="1"/>
      <c r="B581" s="1"/>
      <c r="C581" s="1"/>
      <c r="D581" s="1"/>
      <c r="E581" s="1"/>
      <c r="F581" s="1"/>
      <c r="G581" s="1"/>
      <c r="H581" s="184"/>
      <c r="I581" s="184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5.75" customHeight="1" x14ac:dyDescent="0.25">
      <c r="A582" s="1"/>
      <c r="B582" s="1"/>
      <c r="C582" s="1"/>
      <c r="D582" s="1"/>
      <c r="E582" s="1"/>
      <c r="F582" s="1"/>
      <c r="G582" s="1"/>
      <c r="H582" s="184"/>
      <c r="I582" s="184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5.75" customHeight="1" x14ac:dyDescent="0.25">
      <c r="A583" s="1"/>
      <c r="B583" s="1"/>
      <c r="C583" s="1"/>
      <c r="D583" s="1"/>
      <c r="E583" s="1"/>
      <c r="F583" s="1"/>
      <c r="G583" s="1"/>
      <c r="H583" s="184"/>
      <c r="I583" s="184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5.75" customHeight="1" x14ac:dyDescent="0.25">
      <c r="A584" s="1"/>
      <c r="B584" s="1"/>
      <c r="C584" s="1"/>
      <c r="D584" s="1"/>
      <c r="E584" s="1"/>
      <c r="F584" s="1"/>
      <c r="G584" s="1"/>
      <c r="H584" s="184"/>
      <c r="I584" s="184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5.75" customHeight="1" x14ac:dyDescent="0.25">
      <c r="A585" s="1"/>
      <c r="B585" s="1"/>
      <c r="C585" s="1"/>
      <c r="D585" s="1"/>
      <c r="E585" s="1"/>
      <c r="F585" s="1"/>
      <c r="G585" s="1"/>
      <c r="H585" s="184"/>
      <c r="I585" s="184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5.75" customHeight="1" x14ac:dyDescent="0.25">
      <c r="A586" s="1"/>
      <c r="B586" s="1"/>
      <c r="C586" s="1"/>
      <c r="D586" s="1"/>
      <c r="E586" s="1"/>
      <c r="F586" s="1"/>
      <c r="G586" s="1"/>
      <c r="H586" s="184"/>
      <c r="I586" s="184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5.75" customHeight="1" x14ac:dyDescent="0.25">
      <c r="A587" s="1"/>
      <c r="B587" s="1"/>
      <c r="C587" s="1"/>
      <c r="D587" s="1"/>
      <c r="E587" s="1"/>
      <c r="F587" s="1"/>
      <c r="G587" s="1"/>
      <c r="H587" s="184"/>
      <c r="I587" s="184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5.75" customHeight="1" x14ac:dyDescent="0.25">
      <c r="A588" s="1"/>
      <c r="B588" s="1"/>
      <c r="C588" s="1"/>
      <c r="D588" s="1"/>
      <c r="E588" s="1"/>
      <c r="F588" s="1"/>
      <c r="G588" s="1"/>
      <c r="H588" s="184"/>
      <c r="I588" s="184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5.75" customHeight="1" x14ac:dyDescent="0.25">
      <c r="A589" s="1"/>
      <c r="B589" s="1"/>
      <c r="C589" s="1"/>
      <c r="D589" s="1"/>
      <c r="E589" s="1"/>
      <c r="F589" s="1"/>
      <c r="G589" s="1"/>
      <c r="H589" s="184"/>
      <c r="I589" s="184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5.75" customHeight="1" x14ac:dyDescent="0.25">
      <c r="A590" s="1"/>
      <c r="B590" s="1"/>
      <c r="C590" s="1"/>
      <c r="D590" s="1"/>
      <c r="E590" s="1"/>
      <c r="F590" s="1"/>
      <c r="G590" s="1"/>
      <c r="H590" s="184"/>
      <c r="I590" s="184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5.75" customHeight="1" x14ac:dyDescent="0.25">
      <c r="A591" s="1"/>
      <c r="B591" s="1"/>
      <c r="C591" s="1"/>
      <c r="D591" s="1"/>
      <c r="E591" s="1"/>
      <c r="F591" s="1"/>
      <c r="G591" s="1"/>
      <c r="H591" s="184"/>
      <c r="I591" s="184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5.75" customHeight="1" x14ac:dyDescent="0.25">
      <c r="A592" s="1"/>
      <c r="B592" s="1"/>
      <c r="C592" s="1"/>
      <c r="D592" s="1"/>
      <c r="E592" s="1"/>
      <c r="F592" s="1"/>
      <c r="G592" s="1"/>
      <c r="H592" s="184"/>
      <c r="I592" s="184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5.75" customHeight="1" x14ac:dyDescent="0.25">
      <c r="A593" s="1"/>
      <c r="B593" s="1"/>
      <c r="C593" s="1"/>
      <c r="D593" s="1"/>
      <c r="E593" s="1"/>
      <c r="F593" s="1"/>
      <c r="G593" s="1"/>
      <c r="H593" s="184"/>
      <c r="I593" s="184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5.75" customHeight="1" x14ac:dyDescent="0.25">
      <c r="A594" s="1"/>
      <c r="B594" s="1"/>
      <c r="C594" s="1"/>
      <c r="D594" s="1"/>
      <c r="E594" s="1"/>
      <c r="F594" s="1"/>
      <c r="G594" s="1"/>
      <c r="H594" s="184"/>
      <c r="I594" s="184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5.75" customHeight="1" x14ac:dyDescent="0.25">
      <c r="A595" s="1"/>
      <c r="B595" s="1"/>
      <c r="C595" s="1"/>
      <c r="D595" s="1"/>
      <c r="E595" s="1"/>
      <c r="F595" s="1"/>
      <c r="G595" s="1"/>
      <c r="H595" s="184"/>
      <c r="I595" s="184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5.75" customHeight="1" x14ac:dyDescent="0.25">
      <c r="A596" s="1"/>
      <c r="B596" s="1"/>
      <c r="C596" s="1"/>
      <c r="D596" s="1"/>
      <c r="E596" s="1"/>
      <c r="F596" s="1"/>
      <c r="G596" s="1"/>
      <c r="H596" s="184"/>
      <c r="I596" s="184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5.75" customHeight="1" x14ac:dyDescent="0.25">
      <c r="A597" s="1"/>
      <c r="B597" s="1"/>
      <c r="C597" s="1"/>
      <c r="D597" s="1"/>
      <c r="E597" s="1"/>
      <c r="F597" s="1"/>
      <c r="G597" s="1"/>
      <c r="H597" s="184"/>
      <c r="I597" s="184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5.75" customHeight="1" x14ac:dyDescent="0.25">
      <c r="A598" s="1"/>
      <c r="B598" s="1"/>
      <c r="C598" s="1"/>
      <c r="D598" s="1"/>
      <c r="E598" s="1"/>
      <c r="F598" s="1"/>
      <c r="G598" s="1"/>
      <c r="H598" s="184"/>
      <c r="I598" s="184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5.75" customHeight="1" x14ac:dyDescent="0.25">
      <c r="A599" s="1"/>
      <c r="B599" s="1"/>
      <c r="C599" s="1"/>
      <c r="D599" s="1"/>
      <c r="E599" s="1"/>
      <c r="F599" s="1"/>
      <c r="G599" s="1"/>
      <c r="H599" s="184"/>
      <c r="I599" s="184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5.75" customHeight="1" x14ac:dyDescent="0.25">
      <c r="A600" s="1"/>
      <c r="B600" s="1"/>
      <c r="C600" s="1"/>
      <c r="D600" s="1"/>
      <c r="E600" s="1"/>
      <c r="F600" s="1"/>
      <c r="G600" s="1"/>
      <c r="H600" s="184"/>
      <c r="I600" s="184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5.75" customHeight="1" x14ac:dyDescent="0.25">
      <c r="A601" s="1"/>
      <c r="B601" s="1"/>
      <c r="C601" s="1"/>
      <c r="D601" s="1"/>
      <c r="E601" s="1"/>
      <c r="F601" s="1"/>
      <c r="G601" s="1"/>
      <c r="H601" s="184"/>
      <c r="I601" s="184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5.75" customHeight="1" x14ac:dyDescent="0.25">
      <c r="A602" s="1"/>
      <c r="B602" s="1"/>
      <c r="C602" s="1"/>
      <c r="D602" s="1"/>
      <c r="E602" s="1"/>
      <c r="F602" s="1"/>
      <c r="G602" s="1"/>
      <c r="H602" s="184"/>
      <c r="I602" s="184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5.75" customHeight="1" x14ac:dyDescent="0.25">
      <c r="A603" s="1"/>
      <c r="B603" s="1"/>
      <c r="C603" s="1"/>
      <c r="D603" s="1"/>
      <c r="E603" s="1"/>
      <c r="F603" s="1"/>
      <c r="G603" s="1"/>
      <c r="H603" s="184"/>
      <c r="I603" s="184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5.75" customHeight="1" x14ac:dyDescent="0.25">
      <c r="A604" s="1"/>
      <c r="B604" s="1"/>
      <c r="C604" s="1"/>
      <c r="D604" s="1"/>
      <c r="E604" s="1"/>
      <c r="F604" s="1"/>
      <c r="G604" s="1"/>
      <c r="H604" s="184"/>
      <c r="I604" s="184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5.75" customHeight="1" x14ac:dyDescent="0.25">
      <c r="A605" s="1"/>
      <c r="B605" s="1"/>
      <c r="C605" s="1"/>
      <c r="D605" s="1"/>
      <c r="E605" s="1"/>
      <c r="F605" s="1"/>
      <c r="G605" s="1"/>
      <c r="H605" s="184"/>
      <c r="I605" s="184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5.75" customHeight="1" x14ac:dyDescent="0.25">
      <c r="A606" s="1"/>
      <c r="B606" s="1"/>
      <c r="C606" s="1"/>
      <c r="D606" s="1"/>
      <c r="E606" s="1"/>
      <c r="F606" s="1"/>
      <c r="G606" s="1"/>
      <c r="H606" s="184"/>
      <c r="I606" s="184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5.75" customHeight="1" x14ac:dyDescent="0.25">
      <c r="A607" s="1"/>
      <c r="B607" s="1"/>
      <c r="C607" s="1"/>
      <c r="D607" s="1"/>
      <c r="E607" s="1"/>
      <c r="F607" s="1"/>
      <c r="G607" s="1"/>
      <c r="H607" s="184"/>
      <c r="I607" s="184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5.75" customHeight="1" x14ac:dyDescent="0.25">
      <c r="A608" s="1"/>
      <c r="B608" s="1"/>
      <c r="C608" s="1"/>
      <c r="D608" s="1"/>
      <c r="E608" s="1"/>
      <c r="F608" s="1"/>
      <c r="G608" s="1"/>
      <c r="H608" s="184"/>
      <c r="I608" s="184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5.75" customHeight="1" x14ac:dyDescent="0.25">
      <c r="A609" s="1"/>
      <c r="B609" s="1"/>
      <c r="C609" s="1"/>
      <c r="D609" s="1"/>
      <c r="E609" s="1"/>
      <c r="F609" s="1"/>
      <c r="G609" s="1"/>
      <c r="H609" s="184"/>
      <c r="I609" s="184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5.75" customHeight="1" x14ac:dyDescent="0.25">
      <c r="A610" s="1"/>
      <c r="B610" s="1"/>
      <c r="C610" s="1"/>
      <c r="D610" s="1"/>
      <c r="E610" s="1"/>
      <c r="F610" s="1"/>
      <c r="G610" s="1"/>
      <c r="H610" s="184"/>
      <c r="I610" s="184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5.75" customHeight="1" x14ac:dyDescent="0.25">
      <c r="A611" s="1"/>
      <c r="B611" s="1"/>
      <c r="C611" s="1"/>
      <c r="D611" s="1"/>
      <c r="E611" s="1"/>
      <c r="F611" s="1"/>
      <c r="G611" s="1"/>
      <c r="H611" s="184"/>
      <c r="I611" s="184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5.75" customHeight="1" x14ac:dyDescent="0.25">
      <c r="A612" s="1"/>
      <c r="B612" s="1"/>
      <c r="C612" s="1"/>
      <c r="D612" s="1"/>
      <c r="E612" s="1"/>
      <c r="F612" s="1"/>
      <c r="G612" s="1"/>
      <c r="H612" s="184"/>
      <c r="I612" s="184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5.75" customHeight="1" x14ac:dyDescent="0.25">
      <c r="A613" s="1"/>
      <c r="B613" s="1"/>
      <c r="C613" s="1"/>
      <c r="D613" s="1"/>
      <c r="E613" s="1"/>
      <c r="F613" s="1"/>
      <c r="G613" s="1"/>
      <c r="H613" s="184"/>
      <c r="I613" s="184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5.75" customHeight="1" x14ac:dyDescent="0.25">
      <c r="A614" s="1"/>
      <c r="B614" s="1"/>
      <c r="C614" s="1"/>
      <c r="D614" s="1"/>
      <c r="E614" s="1"/>
      <c r="F614" s="1"/>
      <c r="G614" s="1"/>
      <c r="H614" s="184"/>
      <c r="I614" s="184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5.75" customHeight="1" x14ac:dyDescent="0.25">
      <c r="A615" s="1"/>
      <c r="B615" s="1"/>
      <c r="C615" s="1"/>
      <c r="D615" s="1"/>
      <c r="E615" s="1"/>
      <c r="F615" s="1"/>
      <c r="G615" s="1"/>
      <c r="H615" s="184"/>
      <c r="I615" s="184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5.75" customHeight="1" x14ac:dyDescent="0.25">
      <c r="A616" s="1"/>
      <c r="B616" s="1"/>
      <c r="C616" s="1"/>
      <c r="D616" s="1"/>
      <c r="E616" s="1"/>
      <c r="F616" s="1"/>
      <c r="G616" s="1"/>
      <c r="H616" s="184"/>
      <c r="I616" s="184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5.75" customHeight="1" x14ac:dyDescent="0.25">
      <c r="A617" s="1"/>
      <c r="B617" s="1"/>
      <c r="C617" s="1"/>
      <c r="D617" s="1"/>
      <c r="E617" s="1"/>
      <c r="F617" s="1"/>
      <c r="G617" s="1"/>
      <c r="H617" s="184"/>
      <c r="I617" s="184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5.75" customHeight="1" x14ac:dyDescent="0.25">
      <c r="A618" s="1"/>
      <c r="B618" s="1"/>
      <c r="C618" s="1"/>
      <c r="D618" s="1"/>
      <c r="E618" s="1"/>
      <c r="F618" s="1"/>
      <c r="G618" s="1"/>
      <c r="H618" s="184"/>
      <c r="I618" s="184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5.75" customHeight="1" x14ac:dyDescent="0.25">
      <c r="A619" s="1"/>
      <c r="B619" s="1"/>
      <c r="C619" s="1"/>
      <c r="D619" s="1"/>
      <c r="E619" s="1"/>
      <c r="F619" s="1"/>
      <c r="G619" s="1"/>
      <c r="H619" s="184"/>
      <c r="I619" s="184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5.75" customHeight="1" x14ac:dyDescent="0.25">
      <c r="A620" s="1"/>
      <c r="B620" s="1"/>
      <c r="C620" s="1"/>
      <c r="D620" s="1"/>
      <c r="E620" s="1"/>
      <c r="F620" s="1"/>
      <c r="G620" s="1"/>
      <c r="H620" s="184"/>
      <c r="I620" s="184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5.75" customHeight="1" x14ac:dyDescent="0.25">
      <c r="A621" s="1"/>
      <c r="B621" s="1"/>
      <c r="C621" s="1"/>
      <c r="D621" s="1"/>
      <c r="E621" s="1"/>
      <c r="F621" s="1"/>
      <c r="G621" s="1"/>
      <c r="H621" s="184"/>
      <c r="I621" s="184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5.75" customHeight="1" x14ac:dyDescent="0.25">
      <c r="A622" s="1"/>
      <c r="B622" s="1"/>
      <c r="C622" s="1"/>
      <c r="D622" s="1"/>
      <c r="E622" s="1"/>
      <c r="F622" s="1"/>
      <c r="G622" s="1"/>
      <c r="H622" s="184"/>
      <c r="I622" s="184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5.75" customHeight="1" x14ac:dyDescent="0.25">
      <c r="A623" s="1"/>
      <c r="B623" s="1"/>
      <c r="C623" s="1"/>
      <c r="D623" s="1"/>
      <c r="E623" s="1"/>
      <c r="F623" s="1"/>
      <c r="G623" s="1"/>
      <c r="H623" s="184"/>
      <c r="I623" s="184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5.75" customHeight="1" x14ac:dyDescent="0.25">
      <c r="A624" s="1"/>
      <c r="B624" s="1"/>
      <c r="C624" s="1"/>
      <c r="D624" s="1"/>
      <c r="E624" s="1"/>
      <c r="F624" s="1"/>
      <c r="G624" s="1"/>
      <c r="H624" s="184"/>
      <c r="I624" s="184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5.75" customHeight="1" x14ac:dyDescent="0.25">
      <c r="A625" s="1"/>
      <c r="B625" s="1"/>
      <c r="C625" s="1"/>
      <c r="D625" s="1"/>
      <c r="E625" s="1"/>
      <c r="F625" s="1"/>
      <c r="G625" s="1"/>
      <c r="H625" s="184"/>
      <c r="I625" s="184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5.75" customHeight="1" x14ac:dyDescent="0.25">
      <c r="A626" s="1"/>
      <c r="B626" s="1"/>
      <c r="C626" s="1"/>
      <c r="D626" s="1"/>
      <c r="E626" s="1"/>
      <c r="F626" s="1"/>
      <c r="G626" s="1"/>
      <c r="H626" s="184"/>
      <c r="I626" s="184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5.75" customHeight="1" x14ac:dyDescent="0.25">
      <c r="A627" s="1"/>
      <c r="B627" s="1"/>
      <c r="C627" s="1"/>
      <c r="D627" s="1"/>
      <c r="E627" s="1"/>
      <c r="F627" s="1"/>
      <c r="G627" s="1"/>
      <c r="H627" s="184"/>
      <c r="I627" s="184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5.75" customHeight="1" x14ac:dyDescent="0.25">
      <c r="A628" s="1"/>
      <c r="B628" s="1"/>
      <c r="C628" s="1"/>
      <c r="D628" s="1"/>
      <c r="E628" s="1"/>
      <c r="F628" s="1"/>
      <c r="G628" s="1"/>
      <c r="H628" s="184"/>
      <c r="I628" s="184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5.75" customHeight="1" x14ac:dyDescent="0.25">
      <c r="A629" s="1"/>
      <c r="B629" s="1"/>
      <c r="C629" s="1"/>
      <c r="D629" s="1"/>
      <c r="E629" s="1"/>
      <c r="F629" s="1"/>
      <c r="G629" s="1"/>
      <c r="H629" s="184"/>
      <c r="I629" s="184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5.75" customHeight="1" x14ac:dyDescent="0.25">
      <c r="A630" s="1"/>
      <c r="B630" s="1"/>
      <c r="C630" s="1"/>
      <c r="D630" s="1"/>
      <c r="E630" s="1"/>
      <c r="F630" s="1"/>
      <c r="G630" s="1"/>
      <c r="H630" s="184"/>
      <c r="I630" s="184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5.75" customHeight="1" x14ac:dyDescent="0.25">
      <c r="A631" s="1"/>
      <c r="B631" s="1"/>
      <c r="C631" s="1"/>
      <c r="D631" s="1"/>
      <c r="E631" s="1"/>
      <c r="F631" s="1"/>
      <c r="G631" s="1"/>
      <c r="H631" s="184"/>
      <c r="I631" s="184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5.75" customHeight="1" x14ac:dyDescent="0.25">
      <c r="A632" s="1"/>
      <c r="B632" s="1"/>
      <c r="C632" s="1"/>
      <c r="D632" s="1"/>
      <c r="E632" s="1"/>
      <c r="F632" s="1"/>
      <c r="G632" s="1"/>
      <c r="H632" s="184"/>
      <c r="I632" s="184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5.75" customHeight="1" x14ac:dyDescent="0.25">
      <c r="A633" s="1"/>
      <c r="B633" s="1"/>
      <c r="C633" s="1"/>
      <c r="D633" s="1"/>
      <c r="E633" s="1"/>
      <c r="F633" s="1"/>
      <c r="G633" s="1"/>
      <c r="H633" s="184"/>
      <c r="I633" s="184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5.75" customHeight="1" x14ac:dyDescent="0.25">
      <c r="A634" s="1"/>
      <c r="B634" s="1"/>
      <c r="C634" s="1"/>
      <c r="D634" s="1"/>
      <c r="E634" s="1"/>
      <c r="F634" s="1"/>
      <c r="G634" s="1"/>
      <c r="H634" s="184"/>
      <c r="I634" s="184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5.75" customHeight="1" x14ac:dyDescent="0.25">
      <c r="A635" s="1"/>
      <c r="B635" s="1"/>
      <c r="C635" s="1"/>
      <c r="D635" s="1"/>
      <c r="E635" s="1"/>
      <c r="F635" s="1"/>
      <c r="G635" s="1"/>
      <c r="H635" s="184"/>
      <c r="I635" s="184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5.75" customHeight="1" x14ac:dyDescent="0.25">
      <c r="A636" s="1"/>
      <c r="B636" s="1"/>
      <c r="C636" s="1"/>
      <c r="D636" s="1"/>
      <c r="E636" s="1"/>
      <c r="F636" s="1"/>
      <c r="G636" s="1"/>
      <c r="H636" s="184"/>
      <c r="I636" s="184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5.75" customHeight="1" x14ac:dyDescent="0.25">
      <c r="A637" s="1"/>
      <c r="B637" s="1"/>
      <c r="C637" s="1"/>
      <c r="D637" s="1"/>
      <c r="E637" s="1"/>
      <c r="F637" s="1"/>
      <c r="G637" s="1"/>
      <c r="H637" s="184"/>
      <c r="I637" s="184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5.75" customHeight="1" x14ac:dyDescent="0.25">
      <c r="A638" s="1"/>
      <c r="B638" s="1"/>
      <c r="C638" s="1"/>
      <c r="D638" s="1"/>
      <c r="E638" s="1"/>
      <c r="F638" s="1"/>
      <c r="G638" s="1"/>
      <c r="H638" s="184"/>
      <c r="I638" s="184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5.75" customHeight="1" x14ac:dyDescent="0.25">
      <c r="A639" s="1"/>
      <c r="B639" s="1"/>
      <c r="C639" s="1"/>
      <c r="D639" s="1"/>
      <c r="E639" s="1"/>
      <c r="F639" s="1"/>
      <c r="G639" s="1"/>
      <c r="H639" s="184"/>
      <c r="I639" s="184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5.75" customHeight="1" x14ac:dyDescent="0.25">
      <c r="A640" s="1"/>
      <c r="B640" s="1"/>
      <c r="C640" s="1"/>
      <c r="D640" s="1"/>
      <c r="E640" s="1"/>
      <c r="F640" s="1"/>
      <c r="G640" s="1"/>
      <c r="H640" s="184"/>
      <c r="I640" s="184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5.75" customHeight="1" x14ac:dyDescent="0.25">
      <c r="A641" s="1"/>
      <c r="B641" s="1"/>
      <c r="C641" s="1"/>
      <c r="D641" s="1"/>
      <c r="E641" s="1"/>
      <c r="F641" s="1"/>
      <c r="G641" s="1"/>
      <c r="H641" s="184"/>
      <c r="I641" s="184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5.75" customHeight="1" x14ac:dyDescent="0.25">
      <c r="A642" s="1"/>
      <c r="B642" s="1"/>
      <c r="C642" s="1"/>
      <c r="D642" s="1"/>
      <c r="E642" s="1"/>
      <c r="F642" s="1"/>
      <c r="G642" s="1"/>
      <c r="H642" s="184"/>
      <c r="I642" s="184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5.75" customHeight="1" x14ac:dyDescent="0.25">
      <c r="A643" s="1"/>
      <c r="B643" s="1"/>
      <c r="C643" s="1"/>
      <c r="D643" s="1"/>
      <c r="E643" s="1"/>
      <c r="F643" s="1"/>
      <c r="G643" s="1"/>
      <c r="H643" s="184"/>
      <c r="I643" s="184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5.75" customHeight="1" x14ac:dyDescent="0.25">
      <c r="A644" s="1"/>
      <c r="B644" s="1"/>
      <c r="C644" s="1"/>
      <c r="D644" s="1"/>
      <c r="E644" s="1"/>
      <c r="F644" s="1"/>
      <c r="G644" s="1"/>
      <c r="H644" s="184"/>
      <c r="I644" s="184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5.75" customHeight="1" x14ac:dyDescent="0.25">
      <c r="A645" s="1"/>
      <c r="B645" s="1"/>
      <c r="C645" s="1"/>
      <c r="D645" s="1"/>
      <c r="E645" s="1"/>
      <c r="F645" s="1"/>
      <c r="G645" s="1"/>
      <c r="H645" s="184"/>
      <c r="I645" s="184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5.75" customHeight="1" x14ac:dyDescent="0.25">
      <c r="A646" s="1"/>
      <c r="B646" s="1"/>
      <c r="C646" s="1"/>
      <c r="D646" s="1"/>
      <c r="E646" s="1"/>
      <c r="F646" s="1"/>
      <c r="G646" s="1"/>
      <c r="H646" s="184"/>
      <c r="I646" s="184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5.75" customHeight="1" x14ac:dyDescent="0.25">
      <c r="A647" s="1"/>
      <c r="B647" s="1"/>
      <c r="C647" s="1"/>
      <c r="D647" s="1"/>
      <c r="E647" s="1"/>
      <c r="F647" s="1"/>
      <c r="G647" s="1"/>
      <c r="H647" s="184"/>
      <c r="I647" s="184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5.75" customHeight="1" x14ac:dyDescent="0.25">
      <c r="A648" s="1"/>
      <c r="B648" s="1"/>
      <c r="C648" s="1"/>
      <c r="D648" s="1"/>
      <c r="E648" s="1"/>
      <c r="F648" s="1"/>
      <c r="G648" s="1"/>
      <c r="H648" s="184"/>
      <c r="I648" s="184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5.75" customHeight="1" x14ac:dyDescent="0.25">
      <c r="A649" s="1"/>
      <c r="B649" s="1"/>
      <c r="C649" s="1"/>
      <c r="D649" s="1"/>
      <c r="E649" s="1"/>
      <c r="F649" s="1"/>
      <c r="G649" s="1"/>
      <c r="H649" s="184"/>
      <c r="I649" s="184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5.75" customHeight="1" x14ac:dyDescent="0.25">
      <c r="A650" s="1"/>
      <c r="B650" s="1"/>
      <c r="C650" s="1"/>
      <c r="D650" s="1"/>
      <c r="E650" s="1"/>
      <c r="F650" s="1"/>
      <c r="G650" s="1"/>
      <c r="H650" s="184"/>
      <c r="I650" s="184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5.75" customHeight="1" x14ac:dyDescent="0.25">
      <c r="A651" s="1"/>
      <c r="B651" s="1"/>
      <c r="C651" s="1"/>
      <c r="D651" s="1"/>
      <c r="E651" s="1"/>
      <c r="F651" s="1"/>
      <c r="G651" s="1"/>
      <c r="H651" s="184"/>
      <c r="I651" s="184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5.75" customHeight="1" x14ac:dyDescent="0.25">
      <c r="A652" s="1"/>
      <c r="B652" s="1"/>
      <c r="C652" s="1"/>
      <c r="D652" s="1"/>
      <c r="E652" s="1"/>
      <c r="F652" s="1"/>
      <c r="G652" s="1"/>
      <c r="H652" s="184"/>
      <c r="I652" s="184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5.75" customHeight="1" x14ac:dyDescent="0.25">
      <c r="A653" s="1"/>
      <c r="B653" s="1"/>
      <c r="C653" s="1"/>
      <c r="D653" s="1"/>
      <c r="E653" s="1"/>
      <c r="F653" s="1"/>
      <c r="G653" s="1"/>
      <c r="H653" s="184"/>
      <c r="I653" s="184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5.75" customHeight="1" x14ac:dyDescent="0.25">
      <c r="A654" s="1"/>
      <c r="B654" s="1"/>
      <c r="C654" s="1"/>
      <c r="D654" s="1"/>
      <c r="E654" s="1"/>
      <c r="F654" s="1"/>
      <c r="G654" s="1"/>
      <c r="H654" s="184"/>
      <c r="I654" s="184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5.75" customHeight="1" x14ac:dyDescent="0.25">
      <c r="A655" s="1"/>
      <c r="B655" s="1"/>
      <c r="C655" s="1"/>
      <c r="D655" s="1"/>
      <c r="E655" s="1"/>
      <c r="F655" s="1"/>
      <c r="G655" s="1"/>
      <c r="H655" s="184"/>
      <c r="I655" s="184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5.75" customHeight="1" x14ac:dyDescent="0.25">
      <c r="A656" s="1"/>
      <c r="B656" s="1"/>
      <c r="C656" s="1"/>
      <c r="D656" s="1"/>
      <c r="E656" s="1"/>
      <c r="F656" s="1"/>
      <c r="G656" s="1"/>
      <c r="H656" s="184"/>
      <c r="I656" s="184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5.75" customHeight="1" x14ac:dyDescent="0.25">
      <c r="A657" s="1"/>
      <c r="B657" s="1"/>
      <c r="C657" s="1"/>
      <c r="D657" s="1"/>
      <c r="E657" s="1"/>
      <c r="F657" s="1"/>
      <c r="G657" s="1"/>
      <c r="H657" s="184"/>
      <c r="I657" s="184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5.75" customHeight="1" x14ac:dyDescent="0.25">
      <c r="A658" s="1"/>
      <c r="B658" s="1"/>
      <c r="C658" s="1"/>
      <c r="D658" s="1"/>
      <c r="E658" s="1"/>
      <c r="F658" s="1"/>
      <c r="G658" s="1"/>
      <c r="H658" s="184"/>
      <c r="I658" s="184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5.75" customHeight="1" x14ac:dyDescent="0.25">
      <c r="A659" s="1"/>
      <c r="B659" s="1"/>
      <c r="C659" s="1"/>
      <c r="D659" s="1"/>
      <c r="E659" s="1"/>
      <c r="F659" s="1"/>
      <c r="G659" s="1"/>
      <c r="H659" s="184"/>
      <c r="I659" s="184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5.75" customHeight="1" x14ac:dyDescent="0.25">
      <c r="A660" s="1"/>
      <c r="B660" s="1"/>
      <c r="C660" s="1"/>
      <c r="D660" s="1"/>
      <c r="E660" s="1"/>
      <c r="F660" s="1"/>
      <c r="G660" s="1"/>
      <c r="H660" s="184"/>
      <c r="I660" s="184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5.75" customHeight="1" x14ac:dyDescent="0.25">
      <c r="A661" s="1"/>
      <c r="B661" s="1"/>
      <c r="C661" s="1"/>
      <c r="D661" s="1"/>
      <c r="E661" s="1"/>
      <c r="F661" s="1"/>
      <c r="G661" s="1"/>
      <c r="H661" s="184"/>
      <c r="I661" s="184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5.75" customHeight="1" x14ac:dyDescent="0.25">
      <c r="A662" s="1"/>
      <c r="B662" s="1"/>
      <c r="C662" s="1"/>
      <c r="D662" s="1"/>
      <c r="E662" s="1"/>
      <c r="F662" s="1"/>
      <c r="G662" s="1"/>
      <c r="H662" s="184"/>
      <c r="I662" s="184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5.75" customHeight="1" x14ac:dyDescent="0.25">
      <c r="A663" s="1"/>
      <c r="B663" s="1"/>
      <c r="C663" s="1"/>
      <c r="D663" s="1"/>
      <c r="E663" s="1"/>
      <c r="F663" s="1"/>
      <c r="G663" s="1"/>
      <c r="H663" s="184"/>
      <c r="I663" s="184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5.75" customHeight="1" x14ac:dyDescent="0.25">
      <c r="A664" s="1"/>
      <c r="B664" s="1"/>
      <c r="C664" s="1"/>
      <c r="D664" s="1"/>
      <c r="E664" s="1"/>
      <c r="F664" s="1"/>
      <c r="G664" s="1"/>
      <c r="H664" s="184"/>
      <c r="I664" s="184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5.75" customHeight="1" x14ac:dyDescent="0.25">
      <c r="A665" s="1"/>
      <c r="B665" s="1"/>
      <c r="C665" s="1"/>
      <c r="D665" s="1"/>
      <c r="E665" s="1"/>
      <c r="F665" s="1"/>
      <c r="G665" s="1"/>
      <c r="H665" s="184"/>
      <c r="I665" s="184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5.75" customHeight="1" x14ac:dyDescent="0.25">
      <c r="A666" s="1"/>
      <c r="B666" s="1"/>
      <c r="C666" s="1"/>
      <c r="D666" s="1"/>
      <c r="E666" s="1"/>
      <c r="F666" s="1"/>
      <c r="G666" s="1"/>
      <c r="H666" s="184"/>
      <c r="I666" s="184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5.75" customHeight="1" x14ac:dyDescent="0.25">
      <c r="A667" s="1"/>
      <c r="B667" s="1"/>
      <c r="C667" s="1"/>
      <c r="D667" s="1"/>
      <c r="E667" s="1"/>
      <c r="F667" s="1"/>
      <c r="G667" s="1"/>
      <c r="H667" s="184"/>
      <c r="I667" s="184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5.75" customHeight="1" x14ac:dyDescent="0.25">
      <c r="A668" s="1"/>
      <c r="B668" s="1"/>
      <c r="C668" s="1"/>
      <c r="D668" s="1"/>
      <c r="E668" s="1"/>
      <c r="F668" s="1"/>
      <c r="G668" s="1"/>
      <c r="H668" s="184"/>
      <c r="I668" s="184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5.75" customHeight="1" x14ac:dyDescent="0.25">
      <c r="A669" s="1"/>
      <c r="B669" s="1"/>
      <c r="C669" s="1"/>
      <c r="D669" s="1"/>
      <c r="E669" s="1"/>
      <c r="F669" s="1"/>
      <c r="G669" s="1"/>
      <c r="H669" s="184"/>
      <c r="I669" s="184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5.75" customHeight="1" x14ac:dyDescent="0.25">
      <c r="A670" s="1"/>
      <c r="B670" s="1"/>
      <c r="C670" s="1"/>
      <c r="D670" s="1"/>
      <c r="E670" s="1"/>
      <c r="F670" s="1"/>
      <c r="G670" s="1"/>
      <c r="H670" s="184"/>
      <c r="I670" s="184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5.75" customHeight="1" x14ac:dyDescent="0.25">
      <c r="A671" s="1"/>
      <c r="B671" s="1"/>
      <c r="C671" s="1"/>
      <c r="D671" s="1"/>
      <c r="E671" s="1"/>
      <c r="F671" s="1"/>
      <c r="G671" s="1"/>
      <c r="H671" s="184"/>
      <c r="I671" s="184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5.75" customHeight="1" x14ac:dyDescent="0.25">
      <c r="A672" s="1"/>
      <c r="B672" s="1"/>
      <c r="C672" s="1"/>
      <c r="D672" s="1"/>
      <c r="E672" s="1"/>
      <c r="F672" s="1"/>
      <c r="G672" s="1"/>
      <c r="H672" s="184"/>
      <c r="I672" s="184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5.75" customHeight="1" x14ac:dyDescent="0.25">
      <c r="A673" s="1"/>
      <c r="B673" s="1"/>
      <c r="C673" s="1"/>
      <c r="D673" s="1"/>
      <c r="E673" s="1"/>
      <c r="F673" s="1"/>
      <c r="G673" s="1"/>
      <c r="H673" s="184"/>
      <c r="I673" s="184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5.75" customHeight="1" x14ac:dyDescent="0.25">
      <c r="A674" s="1"/>
      <c r="B674" s="1"/>
      <c r="C674" s="1"/>
      <c r="D674" s="1"/>
      <c r="E674" s="1"/>
      <c r="F674" s="1"/>
      <c r="G674" s="1"/>
      <c r="H674" s="184"/>
      <c r="I674" s="184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5.75" customHeight="1" x14ac:dyDescent="0.25">
      <c r="A675" s="1"/>
      <c r="B675" s="1"/>
      <c r="C675" s="1"/>
      <c r="D675" s="1"/>
      <c r="E675" s="1"/>
      <c r="F675" s="1"/>
      <c r="G675" s="1"/>
      <c r="H675" s="184"/>
      <c r="I675" s="184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5.75" customHeight="1" x14ac:dyDescent="0.25">
      <c r="A676" s="1"/>
      <c r="B676" s="1"/>
      <c r="C676" s="1"/>
      <c r="D676" s="1"/>
      <c r="E676" s="1"/>
      <c r="F676" s="1"/>
      <c r="G676" s="1"/>
      <c r="H676" s="184"/>
      <c r="I676" s="184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5.75" customHeight="1" x14ac:dyDescent="0.25">
      <c r="A677" s="1"/>
      <c r="B677" s="1"/>
      <c r="C677" s="1"/>
      <c r="D677" s="1"/>
      <c r="E677" s="1"/>
      <c r="F677" s="1"/>
      <c r="G677" s="1"/>
      <c r="H677" s="184"/>
      <c r="I677" s="184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5.75" customHeight="1" x14ac:dyDescent="0.25">
      <c r="A678" s="1"/>
      <c r="B678" s="1"/>
      <c r="C678" s="1"/>
      <c r="D678" s="1"/>
      <c r="E678" s="1"/>
      <c r="F678" s="1"/>
      <c r="G678" s="1"/>
      <c r="H678" s="184"/>
      <c r="I678" s="184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5.75" customHeight="1" x14ac:dyDescent="0.25">
      <c r="A679" s="1"/>
      <c r="B679" s="1"/>
      <c r="C679" s="1"/>
      <c r="D679" s="1"/>
      <c r="E679" s="1"/>
      <c r="F679" s="1"/>
      <c r="G679" s="1"/>
      <c r="H679" s="184"/>
      <c r="I679" s="184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5.75" customHeight="1" x14ac:dyDescent="0.25">
      <c r="A680" s="1"/>
      <c r="B680" s="1"/>
      <c r="C680" s="1"/>
      <c r="D680" s="1"/>
      <c r="E680" s="1"/>
      <c r="F680" s="1"/>
      <c r="G680" s="1"/>
      <c r="H680" s="184"/>
      <c r="I680" s="184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5.75" customHeight="1" x14ac:dyDescent="0.25">
      <c r="A681" s="1"/>
      <c r="B681" s="1"/>
      <c r="C681" s="1"/>
      <c r="D681" s="1"/>
      <c r="E681" s="1"/>
      <c r="F681" s="1"/>
      <c r="G681" s="1"/>
      <c r="H681" s="184"/>
      <c r="I681" s="184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5.75" customHeight="1" x14ac:dyDescent="0.25">
      <c r="A682" s="1"/>
      <c r="B682" s="1"/>
      <c r="C682" s="1"/>
      <c r="D682" s="1"/>
      <c r="E682" s="1"/>
      <c r="F682" s="1"/>
      <c r="G682" s="1"/>
      <c r="H682" s="184"/>
      <c r="I682" s="184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5.75" customHeight="1" x14ac:dyDescent="0.25">
      <c r="A683" s="1"/>
      <c r="B683" s="1"/>
      <c r="C683" s="1"/>
      <c r="D683" s="1"/>
      <c r="E683" s="1"/>
      <c r="F683" s="1"/>
      <c r="G683" s="1"/>
      <c r="H683" s="184"/>
      <c r="I683" s="184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5.75" customHeight="1" x14ac:dyDescent="0.25">
      <c r="A684" s="1"/>
      <c r="B684" s="1"/>
      <c r="C684" s="1"/>
      <c r="D684" s="1"/>
      <c r="E684" s="1"/>
      <c r="F684" s="1"/>
      <c r="G684" s="1"/>
      <c r="H684" s="184"/>
      <c r="I684" s="184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5.75" customHeight="1" x14ac:dyDescent="0.25">
      <c r="A685" s="1"/>
      <c r="B685" s="1"/>
      <c r="C685" s="1"/>
      <c r="D685" s="1"/>
      <c r="E685" s="1"/>
      <c r="F685" s="1"/>
      <c r="G685" s="1"/>
      <c r="H685" s="184"/>
      <c r="I685" s="184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5.75" customHeight="1" x14ac:dyDescent="0.25">
      <c r="A686" s="1"/>
      <c r="B686" s="1"/>
      <c r="C686" s="1"/>
      <c r="D686" s="1"/>
      <c r="E686" s="1"/>
      <c r="F686" s="1"/>
      <c r="G686" s="1"/>
      <c r="H686" s="184"/>
      <c r="I686" s="184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5.75" customHeight="1" x14ac:dyDescent="0.25">
      <c r="A687" s="1"/>
      <c r="B687" s="1"/>
      <c r="C687" s="1"/>
      <c r="D687" s="1"/>
      <c r="E687" s="1"/>
      <c r="F687" s="1"/>
      <c r="G687" s="1"/>
      <c r="H687" s="184"/>
      <c r="I687" s="184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5.75" customHeight="1" x14ac:dyDescent="0.25">
      <c r="A688" s="1"/>
      <c r="B688" s="1"/>
      <c r="C688" s="1"/>
      <c r="D688" s="1"/>
      <c r="E688" s="1"/>
      <c r="F688" s="1"/>
      <c r="G688" s="1"/>
      <c r="H688" s="184"/>
      <c r="I688" s="184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5.75" customHeight="1" x14ac:dyDescent="0.25">
      <c r="A689" s="1"/>
      <c r="B689" s="1"/>
      <c r="C689" s="1"/>
      <c r="D689" s="1"/>
      <c r="E689" s="1"/>
      <c r="F689" s="1"/>
      <c r="G689" s="1"/>
      <c r="H689" s="184"/>
      <c r="I689" s="184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5.75" customHeight="1" x14ac:dyDescent="0.25">
      <c r="A690" s="1"/>
      <c r="B690" s="1"/>
      <c r="C690" s="1"/>
      <c r="D690" s="1"/>
      <c r="E690" s="1"/>
      <c r="F690" s="1"/>
      <c r="G690" s="1"/>
      <c r="H690" s="184"/>
      <c r="I690" s="184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5.75" customHeight="1" x14ac:dyDescent="0.25">
      <c r="A691" s="1"/>
      <c r="B691" s="1"/>
      <c r="C691" s="1"/>
      <c r="D691" s="1"/>
      <c r="E691" s="1"/>
      <c r="F691" s="1"/>
      <c r="G691" s="1"/>
      <c r="H691" s="184"/>
      <c r="I691" s="184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5.75" customHeight="1" x14ac:dyDescent="0.25">
      <c r="A692" s="1"/>
      <c r="B692" s="1"/>
      <c r="C692" s="1"/>
      <c r="D692" s="1"/>
      <c r="E692" s="1"/>
      <c r="F692" s="1"/>
      <c r="G692" s="1"/>
      <c r="H692" s="184"/>
      <c r="I692" s="184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5.75" customHeight="1" x14ac:dyDescent="0.25">
      <c r="A693" s="1"/>
      <c r="B693" s="1"/>
      <c r="C693" s="1"/>
      <c r="D693" s="1"/>
      <c r="E693" s="1"/>
      <c r="F693" s="1"/>
      <c r="G693" s="1"/>
      <c r="H693" s="184"/>
      <c r="I693" s="184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5.75" customHeight="1" x14ac:dyDescent="0.25">
      <c r="A694" s="1"/>
      <c r="B694" s="1"/>
      <c r="C694" s="1"/>
      <c r="D694" s="1"/>
      <c r="E694" s="1"/>
      <c r="F694" s="1"/>
      <c r="G694" s="1"/>
      <c r="H694" s="184"/>
      <c r="I694" s="184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5.75" customHeight="1" x14ac:dyDescent="0.25">
      <c r="A695" s="1"/>
      <c r="B695" s="1"/>
      <c r="C695" s="1"/>
      <c r="D695" s="1"/>
      <c r="E695" s="1"/>
      <c r="F695" s="1"/>
      <c r="G695" s="1"/>
      <c r="H695" s="184"/>
      <c r="I695" s="184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5.75" customHeight="1" x14ac:dyDescent="0.25">
      <c r="A696" s="1"/>
      <c r="B696" s="1"/>
      <c r="C696" s="1"/>
      <c r="D696" s="1"/>
      <c r="E696" s="1"/>
      <c r="F696" s="1"/>
      <c r="G696" s="1"/>
      <c r="H696" s="184"/>
      <c r="I696" s="184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5.75" customHeight="1" x14ac:dyDescent="0.25">
      <c r="A697" s="1"/>
      <c r="B697" s="1"/>
      <c r="C697" s="1"/>
      <c r="D697" s="1"/>
      <c r="E697" s="1"/>
      <c r="F697" s="1"/>
      <c r="G697" s="1"/>
      <c r="H697" s="184"/>
      <c r="I697" s="184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5.75" customHeight="1" x14ac:dyDescent="0.25">
      <c r="A698" s="1"/>
      <c r="B698" s="1"/>
      <c r="C698" s="1"/>
      <c r="D698" s="1"/>
      <c r="E698" s="1"/>
      <c r="F698" s="1"/>
      <c r="G698" s="1"/>
      <c r="H698" s="184"/>
      <c r="I698" s="184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5.75" customHeight="1" x14ac:dyDescent="0.25">
      <c r="A699" s="1"/>
      <c r="B699" s="1"/>
      <c r="C699" s="1"/>
      <c r="D699" s="1"/>
      <c r="E699" s="1"/>
      <c r="F699" s="1"/>
      <c r="G699" s="1"/>
      <c r="H699" s="184"/>
      <c r="I699" s="184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5.75" customHeight="1" x14ac:dyDescent="0.25">
      <c r="A700" s="1"/>
      <c r="B700" s="1"/>
      <c r="C700" s="1"/>
      <c r="D700" s="1"/>
      <c r="E700" s="1"/>
      <c r="F700" s="1"/>
      <c r="G700" s="1"/>
      <c r="H700" s="184"/>
      <c r="I700" s="184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5.75" customHeight="1" x14ac:dyDescent="0.25">
      <c r="A701" s="1"/>
      <c r="B701" s="1"/>
      <c r="C701" s="1"/>
      <c r="D701" s="1"/>
      <c r="E701" s="1"/>
      <c r="F701" s="1"/>
      <c r="G701" s="1"/>
      <c r="H701" s="184"/>
      <c r="I701" s="184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5.75" customHeight="1" x14ac:dyDescent="0.25">
      <c r="A702" s="1"/>
      <c r="B702" s="1"/>
      <c r="C702" s="1"/>
      <c r="D702" s="1"/>
      <c r="E702" s="1"/>
      <c r="F702" s="1"/>
      <c r="G702" s="1"/>
      <c r="H702" s="184"/>
      <c r="I702" s="184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5.75" customHeight="1" x14ac:dyDescent="0.25">
      <c r="A703" s="1"/>
      <c r="B703" s="1"/>
      <c r="C703" s="1"/>
      <c r="D703" s="1"/>
      <c r="E703" s="1"/>
      <c r="F703" s="1"/>
      <c r="G703" s="1"/>
      <c r="H703" s="184"/>
      <c r="I703" s="184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5.75" customHeight="1" x14ac:dyDescent="0.25">
      <c r="A704" s="1"/>
      <c r="B704" s="1"/>
      <c r="C704" s="1"/>
      <c r="D704" s="1"/>
      <c r="E704" s="1"/>
      <c r="F704" s="1"/>
      <c r="G704" s="1"/>
      <c r="H704" s="184"/>
      <c r="I704" s="184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5.75" customHeight="1" x14ac:dyDescent="0.25">
      <c r="A705" s="1"/>
      <c r="B705" s="1"/>
      <c r="C705" s="1"/>
      <c r="D705" s="1"/>
      <c r="E705" s="1"/>
      <c r="F705" s="1"/>
      <c r="G705" s="1"/>
      <c r="H705" s="184"/>
      <c r="I705" s="184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5.75" customHeight="1" x14ac:dyDescent="0.25">
      <c r="A706" s="1"/>
      <c r="B706" s="1"/>
      <c r="C706" s="1"/>
      <c r="D706" s="1"/>
      <c r="E706" s="1"/>
      <c r="F706" s="1"/>
      <c r="G706" s="1"/>
      <c r="H706" s="184"/>
      <c r="I706" s="184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5.75" customHeight="1" x14ac:dyDescent="0.25">
      <c r="A707" s="1"/>
      <c r="B707" s="1"/>
      <c r="C707" s="1"/>
      <c r="D707" s="1"/>
      <c r="E707" s="1"/>
      <c r="F707" s="1"/>
      <c r="G707" s="1"/>
      <c r="H707" s="184"/>
      <c r="I707" s="184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5.75" customHeight="1" x14ac:dyDescent="0.25">
      <c r="A708" s="1"/>
      <c r="B708" s="1"/>
      <c r="C708" s="1"/>
      <c r="D708" s="1"/>
      <c r="E708" s="1"/>
      <c r="F708" s="1"/>
      <c r="G708" s="1"/>
      <c r="H708" s="184"/>
      <c r="I708" s="184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5.75" customHeight="1" x14ac:dyDescent="0.25">
      <c r="A709" s="1"/>
      <c r="B709" s="1"/>
      <c r="C709" s="1"/>
      <c r="D709" s="1"/>
      <c r="E709" s="1"/>
      <c r="F709" s="1"/>
      <c r="G709" s="1"/>
      <c r="H709" s="184"/>
      <c r="I709" s="184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5.75" customHeight="1" x14ac:dyDescent="0.25">
      <c r="A710" s="1"/>
      <c r="B710" s="1"/>
      <c r="C710" s="1"/>
      <c r="D710" s="1"/>
      <c r="E710" s="1"/>
      <c r="F710" s="1"/>
      <c r="G710" s="1"/>
      <c r="H710" s="184"/>
      <c r="I710" s="184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5.75" customHeight="1" x14ac:dyDescent="0.25">
      <c r="A711" s="1"/>
      <c r="B711" s="1"/>
      <c r="C711" s="1"/>
      <c r="D711" s="1"/>
      <c r="E711" s="1"/>
      <c r="F711" s="1"/>
      <c r="G711" s="1"/>
      <c r="H711" s="184"/>
      <c r="I711" s="184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5.75" customHeight="1" x14ac:dyDescent="0.25">
      <c r="A712" s="1"/>
      <c r="B712" s="1"/>
      <c r="C712" s="1"/>
      <c r="D712" s="1"/>
      <c r="E712" s="1"/>
      <c r="F712" s="1"/>
      <c r="G712" s="1"/>
      <c r="H712" s="184"/>
      <c r="I712" s="184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5.75" customHeight="1" x14ac:dyDescent="0.25">
      <c r="A713" s="1"/>
      <c r="B713" s="1"/>
      <c r="C713" s="1"/>
      <c r="D713" s="1"/>
      <c r="E713" s="1"/>
      <c r="F713" s="1"/>
      <c r="G713" s="1"/>
      <c r="H713" s="184"/>
      <c r="I713" s="184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5.75" customHeight="1" x14ac:dyDescent="0.25">
      <c r="A714" s="1"/>
      <c r="B714" s="1"/>
      <c r="C714" s="1"/>
      <c r="D714" s="1"/>
      <c r="E714" s="1"/>
      <c r="F714" s="1"/>
      <c r="G714" s="1"/>
      <c r="H714" s="184"/>
      <c r="I714" s="184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5.75" customHeight="1" x14ac:dyDescent="0.25">
      <c r="A715" s="1"/>
      <c r="B715" s="1"/>
      <c r="C715" s="1"/>
      <c r="D715" s="1"/>
      <c r="E715" s="1"/>
      <c r="F715" s="1"/>
      <c r="G715" s="1"/>
      <c r="H715" s="184"/>
      <c r="I715" s="184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5.75" customHeight="1" x14ac:dyDescent="0.25">
      <c r="A716" s="1"/>
      <c r="B716" s="1"/>
      <c r="C716" s="1"/>
      <c r="D716" s="1"/>
      <c r="E716" s="1"/>
      <c r="F716" s="1"/>
      <c r="G716" s="1"/>
      <c r="H716" s="184"/>
      <c r="I716" s="184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5.75" customHeight="1" x14ac:dyDescent="0.25">
      <c r="A717" s="1"/>
      <c r="B717" s="1"/>
      <c r="C717" s="1"/>
      <c r="D717" s="1"/>
      <c r="E717" s="1"/>
      <c r="F717" s="1"/>
      <c r="G717" s="1"/>
      <c r="H717" s="184"/>
      <c r="I717" s="184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5.75" customHeight="1" x14ac:dyDescent="0.25">
      <c r="A718" s="1"/>
      <c r="B718" s="1"/>
      <c r="C718" s="1"/>
      <c r="D718" s="1"/>
      <c r="E718" s="1"/>
      <c r="F718" s="1"/>
      <c r="G718" s="1"/>
      <c r="H718" s="184"/>
      <c r="I718" s="184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5.75" customHeight="1" x14ac:dyDescent="0.25">
      <c r="A719" s="1"/>
      <c r="B719" s="1"/>
      <c r="C719" s="1"/>
      <c r="D719" s="1"/>
      <c r="E719" s="1"/>
      <c r="F719" s="1"/>
      <c r="G719" s="1"/>
      <c r="H719" s="184"/>
      <c r="I719" s="184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5.75" customHeight="1" x14ac:dyDescent="0.25">
      <c r="A720" s="1"/>
      <c r="B720" s="1"/>
      <c r="C720" s="1"/>
      <c r="D720" s="1"/>
      <c r="E720" s="1"/>
      <c r="F720" s="1"/>
      <c r="G720" s="1"/>
      <c r="H720" s="184"/>
      <c r="I720" s="184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5.75" customHeight="1" x14ac:dyDescent="0.25">
      <c r="A721" s="1"/>
      <c r="B721" s="1"/>
      <c r="C721" s="1"/>
      <c r="D721" s="1"/>
      <c r="E721" s="1"/>
      <c r="F721" s="1"/>
      <c r="G721" s="1"/>
      <c r="H721" s="184"/>
      <c r="I721" s="184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5.75" customHeight="1" x14ac:dyDescent="0.25">
      <c r="A722" s="1"/>
      <c r="B722" s="1"/>
      <c r="C722" s="1"/>
      <c r="D722" s="1"/>
      <c r="E722" s="1"/>
      <c r="F722" s="1"/>
      <c r="G722" s="1"/>
      <c r="H722" s="184"/>
      <c r="I722" s="184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5.75" customHeight="1" x14ac:dyDescent="0.25">
      <c r="A723" s="1"/>
      <c r="B723" s="1"/>
      <c r="C723" s="1"/>
      <c r="D723" s="1"/>
      <c r="E723" s="1"/>
      <c r="F723" s="1"/>
      <c r="G723" s="1"/>
      <c r="H723" s="184"/>
      <c r="I723" s="184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5.75" customHeight="1" x14ac:dyDescent="0.25">
      <c r="A724" s="1"/>
      <c r="B724" s="1"/>
      <c r="C724" s="1"/>
      <c r="D724" s="1"/>
      <c r="E724" s="1"/>
      <c r="F724" s="1"/>
      <c r="G724" s="1"/>
      <c r="H724" s="184"/>
      <c r="I724" s="184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5.75" customHeight="1" x14ac:dyDescent="0.25">
      <c r="A725" s="1"/>
      <c r="B725" s="1"/>
      <c r="C725" s="1"/>
      <c r="D725" s="1"/>
      <c r="E725" s="1"/>
      <c r="F725" s="1"/>
      <c r="G725" s="1"/>
      <c r="H725" s="184"/>
      <c r="I725" s="184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5.75" customHeight="1" x14ac:dyDescent="0.25">
      <c r="A726" s="1"/>
      <c r="B726" s="1"/>
      <c r="C726" s="1"/>
      <c r="D726" s="1"/>
      <c r="E726" s="1"/>
      <c r="F726" s="1"/>
      <c r="G726" s="1"/>
      <c r="H726" s="184"/>
      <c r="I726" s="184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5.75" customHeight="1" x14ac:dyDescent="0.25">
      <c r="A727" s="1"/>
      <c r="B727" s="1"/>
      <c r="C727" s="1"/>
      <c r="D727" s="1"/>
      <c r="E727" s="1"/>
      <c r="F727" s="1"/>
      <c r="G727" s="1"/>
      <c r="H727" s="184"/>
      <c r="I727" s="184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5.75" customHeight="1" x14ac:dyDescent="0.25">
      <c r="A728" s="1"/>
      <c r="B728" s="1"/>
      <c r="C728" s="1"/>
      <c r="D728" s="1"/>
      <c r="E728" s="1"/>
      <c r="F728" s="1"/>
      <c r="G728" s="1"/>
      <c r="H728" s="184"/>
      <c r="I728" s="184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5.75" customHeight="1" x14ac:dyDescent="0.25">
      <c r="A729" s="1"/>
      <c r="B729" s="1"/>
      <c r="C729" s="1"/>
      <c r="D729" s="1"/>
      <c r="E729" s="1"/>
      <c r="F729" s="1"/>
      <c r="G729" s="1"/>
      <c r="H729" s="184"/>
      <c r="I729" s="184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5.75" customHeight="1" x14ac:dyDescent="0.25">
      <c r="A730" s="1"/>
      <c r="B730" s="1"/>
      <c r="C730" s="1"/>
      <c r="D730" s="1"/>
      <c r="E730" s="1"/>
      <c r="F730" s="1"/>
      <c r="G730" s="1"/>
      <c r="H730" s="184"/>
      <c r="I730" s="184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5.75" customHeight="1" x14ac:dyDescent="0.25">
      <c r="A731" s="1"/>
      <c r="B731" s="1"/>
      <c r="C731" s="1"/>
      <c r="D731" s="1"/>
      <c r="E731" s="1"/>
      <c r="F731" s="1"/>
      <c r="G731" s="1"/>
      <c r="H731" s="184"/>
      <c r="I731" s="184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5.75" customHeight="1" x14ac:dyDescent="0.25">
      <c r="A732" s="1"/>
      <c r="B732" s="1"/>
      <c r="C732" s="1"/>
      <c r="D732" s="1"/>
      <c r="E732" s="1"/>
      <c r="F732" s="1"/>
      <c r="G732" s="1"/>
      <c r="H732" s="184"/>
      <c r="I732" s="184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5.75" customHeight="1" x14ac:dyDescent="0.25">
      <c r="A733" s="1"/>
      <c r="B733" s="1"/>
      <c r="C733" s="1"/>
      <c r="D733" s="1"/>
      <c r="E733" s="1"/>
      <c r="F733" s="1"/>
      <c r="G733" s="1"/>
      <c r="H733" s="184"/>
      <c r="I733" s="184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5.75" customHeight="1" x14ac:dyDescent="0.25">
      <c r="A734" s="1"/>
      <c r="B734" s="1"/>
      <c r="C734" s="1"/>
      <c r="D734" s="1"/>
      <c r="E734" s="1"/>
      <c r="F734" s="1"/>
      <c r="G734" s="1"/>
      <c r="H734" s="184"/>
      <c r="I734" s="184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5.75" customHeight="1" x14ac:dyDescent="0.25">
      <c r="A735" s="1"/>
      <c r="B735" s="1"/>
      <c r="C735" s="1"/>
      <c r="D735" s="1"/>
      <c r="E735" s="1"/>
      <c r="F735" s="1"/>
      <c r="G735" s="1"/>
      <c r="H735" s="184"/>
      <c r="I735" s="184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5.75" customHeight="1" x14ac:dyDescent="0.25">
      <c r="A736" s="1"/>
      <c r="B736" s="1"/>
      <c r="C736" s="1"/>
      <c r="D736" s="1"/>
      <c r="E736" s="1"/>
      <c r="F736" s="1"/>
      <c r="G736" s="1"/>
      <c r="H736" s="184"/>
      <c r="I736" s="184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5.75" customHeight="1" x14ac:dyDescent="0.25">
      <c r="A737" s="1"/>
      <c r="B737" s="1"/>
      <c r="C737" s="1"/>
      <c r="D737" s="1"/>
      <c r="E737" s="1"/>
      <c r="F737" s="1"/>
      <c r="G737" s="1"/>
      <c r="H737" s="184"/>
      <c r="I737" s="184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5.75" customHeight="1" x14ac:dyDescent="0.25">
      <c r="A738" s="1"/>
      <c r="B738" s="1"/>
      <c r="C738" s="1"/>
      <c r="D738" s="1"/>
      <c r="E738" s="1"/>
      <c r="F738" s="1"/>
      <c r="G738" s="1"/>
      <c r="H738" s="184"/>
      <c r="I738" s="184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5.75" customHeight="1" x14ac:dyDescent="0.25">
      <c r="A739" s="1"/>
      <c r="B739" s="1"/>
      <c r="C739" s="1"/>
      <c r="D739" s="1"/>
      <c r="E739" s="1"/>
      <c r="F739" s="1"/>
      <c r="G739" s="1"/>
      <c r="H739" s="184"/>
      <c r="I739" s="184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5.75" customHeight="1" x14ac:dyDescent="0.25">
      <c r="A740" s="1"/>
      <c r="B740" s="1"/>
      <c r="C740" s="1"/>
      <c r="D740" s="1"/>
      <c r="E740" s="1"/>
      <c r="F740" s="1"/>
      <c r="G740" s="1"/>
      <c r="H740" s="184"/>
      <c r="I740" s="184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5.75" customHeight="1" x14ac:dyDescent="0.25">
      <c r="A741" s="1"/>
      <c r="B741" s="1"/>
      <c r="C741" s="1"/>
      <c r="D741" s="1"/>
      <c r="E741" s="1"/>
      <c r="F741" s="1"/>
      <c r="G741" s="1"/>
      <c r="H741" s="184"/>
      <c r="I741" s="184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5.75" customHeight="1" x14ac:dyDescent="0.25">
      <c r="A742" s="1"/>
      <c r="B742" s="1"/>
      <c r="C742" s="1"/>
      <c r="D742" s="1"/>
      <c r="E742" s="1"/>
      <c r="F742" s="1"/>
      <c r="G742" s="1"/>
      <c r="H742" s="184"/>
      <c r="I742" s="184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5.75" customHeight="1" x14ac:dyDescent="0.25">
      <c r="A743" s="1"/>
      <c r="B743" s="1"/>
      <c r="C743" s="1"/>
      <c r="D743" s="1"/>
      <c r="E743" s="1"/>
      <c r="F743" s="1"/>
      <c r="G743" s="1"/>
      <c r="H743" s="184"/>
      <c r="I743" s="184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5.75" customHeight="1" x14ac:dyDescent="0.25">
      <c r="A744" s="1"/>
      <c r="B744" s="1"/>
      <c r="C744" s="1"/>
      <c r="D744" s="1"/>
      <c r="E744" s="1"/>
      <c r="F744" s="1"/>
      <c r="G744" s="1"/>
      <c r="H744" s="184"/>
      <c r="I744" s="184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5.75" customHeight="1" x14ac:dyDescent="0.25">
      <c r="A745" s="1"/>
      <c r="B745" s="1"/>
      <c r="C745" s="1"/>
      <c r="D745" s="1"/>
      <c r="E745" s="1"/>
      <c r="F745" s="1"/>
      <c r="G745" s="1"/>
      <c r="H745" s="184"/>
      <c r="I745" s="184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5.75" customHeight="1" x14ac:dyDescent="0.25">
      <c r="A746" s="1"/>
      <c r="B746" s="1"/>
      <c r="C746" s="1"/>
      <c r="D746" s="1"/>
      <c r="E746" s="1"/>
      <c r="F746" s="1"/>
      <c r="G746" s="1"/>
      <c r="H746" s="184"/>
      <c r="I746" s="184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5.75" customHeight="1" x14ac:dyDescent="0.25">
      <c r="A747" s="1"/>
      <c r="B747" s="1"/>
      <c r="C747" s="1"/>
      <c r="D747" s="1"/>
      <c r="E747" s="1"/>
      <c r="F747" s="1"/>
      <c r="G747" s="1"/>
      <c r="H747" s="184"/>
      <c r="I747" s="184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5.75" customHeight="1" x14ac:dyDescent="0.25">
      <c r="A748" s="1"/>
      <c r="B748" s="1"/>
      <c r="C748" s="1"/>
      <c r="D748" s="1"/>
      <c r="E748" s="1"/>
      <c r="F748" s="1"/>
      <c r="G748" s="1"/>
      <c r="H748" s="184"/>
      <c r="I748" s="184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5.75" customHeight="1" x14ac:dyDescent="0.25">
      <c r="A749" s="1"/>
      <c r="B749" s="1"/>
      <c r="C749" s="1"/>
      <c r="D749" s="1"/>
      <c r="E749" s="1"/>
      <c r="F749" s="1"/>
      <c r="G749" s="1"/>
      <c r="H749" s="184"/>
      <c r="I749" s="184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5.75" customHeight="1" x14ac:dyDescent="0.25">
      <c r="A750" s="1"/>
      <c r="B750" s="1"/>
      <c r="C750" s="1"/>
      <c r="D750" s="1"/>
      <c r="E750" s="1"/>
      <c r="F750" s="1"/>
      <c r="G750" s="1"/>
      <c r="H750" s="184"/>
      <c r="I750" s="184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5.75" customHeight="1" x14ac:dyDescent="0.25">
      <c r="A751" s="1"/>
      <c r="B751" s="1"/>
      <c r="C751" s="1"/>
      <c r="D751" s="1"/>
      <c r="E751" s="1"/>
      <c r="F751" s="1"/>
      <c r="G751" s="1"/>
      <c r="H751" s="184"/>
      <c r="I751" s="184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5.75" customHeight="1" x14ac:dyDescent="0.25">
      <c r="A752" s="1"/>
      <c r="B752" s="1"/>
      <c r="C752" s="1"/>
      <c r="D752" s="1"/>
      <c r="E752" s="1"/>
      <c r="F752" s="1"/>
      <c r="G752" s="1"/>
      <c r="H752" s="184"/>
      <c r="I752" s="184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5.75" customHeight="1" x14ac:dyDescent="0.25">
      <c r="A753" s="1"/>
      <c r="B753" s="1"/>
      <c r="C753" s="1"/>
      <c r="D753" s="1"/>
      <c r="E753" s="1"/>
      <c r="F753" s="1"/>
      <c r="G753" s="1"/>
      <c r="H753" s="184"/>
      <c r="I753" s="184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5.75" customHeight="1" x14ac:dyDescent="0.25">
      <c r="A754" s="1"/>
      <c r="B754" s="1"/>
      <c r="C754" s="1"/>
      <c r="D754" s="1"/>
      <c r="E754" s="1"/>
      <c r="F754" s="1"/>
      <c r="G754" s="1"/>
      <c r="H754" s="184"/>
      <c r="I754" s="184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5.75" customHeight="1" x14ac:dyDescent="0.25">
      <c r="A755" s="1"/>
      <c r="B755" s="1"/>
      <c r="C755" s="1"/>
      <c r="D755" s="1"/>
      <c r="E755" s="1"/>
      <c r="F755" s="1"/>
      <c r="G755" s="1"/>
      <c r="H755" s="184"/>
      <c r="I755" s="184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5.75" customHeight="1" x14ac:dyDescent="0.25">
      <c r="A756" s="1"/>
      <c r="B756" s="1"/>
      <c r="C756" s="1"/>
      <c r="D756" s="1"/>
      <c r="E756" s="1"/>
      <c r="F756" s="1"/>
      <c r="G756" s="1"/>
      <c r="H756" s="184"/>
      <c r="I756" s="184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5.75" customHeight="1" x14ac:dyDescent="0.25">
      <c r="A757" s="1"/>
      <c r="B757" s="1"/>
      <c r="C757" s="1"/>
      <c r="D757" s="1"/>
      <c r="E757" s="1"/>
      <c r="F757" s="1"/>
      <c r="G757" s="1"/>
      <c r="H757" s="184"/>
      <c r="I757" s="184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5.75" customHeight="1" x14ac:dyDescent="0.25">
      <c r="A758" s="1"/>
      <c r="B758" s="1"/>
      <c r="C758" s="1"/>
      <c r="D758" s="1"/>
      <c r="E758" s="1"/>
      <c r="F758" s="1"/>
      <c r="G758" s="1"/>
      <c r="H758" s="184"/>
      <c r="I758" s="184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5.75" customHeight="1" x14ac:dyDescent="0.25">
      <c r="A759" s="1"/>
      <c r="B759" s="1"/>
      <c r="C759" s="1"/>
      <c r="D759" s="1"/>
      <c r="E759" s="1"/>
      <c r="F759" s="1"/>
      <c r="G759" s="1"/>
      <c r="H759" s="184"/>
      <c r="I759" s="184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5.75" customHeight="1" x14ac:dyDescent="0.25">
      <c r="A760" s="1"/>
      <c r="B760" s="1"/>
      <c r="C760" s="1"/>
      <c r="D760" s="1"/>
      <c r="E760" s="1"/>
      <c r="F760" s="1"/>
      <c r="G760" s="1"/>
      <c r="H760" s="184"/>
      <c r="I760" s="184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5.75" customHeight="1" x14ac:dyDescent="0.25">
      <c r="A761" s="1"/>
      <c r="B761" s="1"/>
      <c r="C761" s="1"/>
      <c r="D761" s="1"/>
      <c r="E761" s="1"/>
      <c r="F761" s="1"/>
      <c r="G761" s="1"/>
      <c r="H761" s="184"/>
      <c r="I761" s="184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5.75" customHeight="1" x14ac:dyDescent="0.25">
      <c r="A762" s="1"/>
      <c r="B762" s="1"/>
      <c r="C762" s="1"/>
      <c r="D762" s="1"/>
      <c r="E762" s="1"/>
      <c r="F762" s="1"/>
      <c r="G762" s="1"/>
      <c r="H762" s="184"/>
      <c r="I762" s="184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5.75" customHeight="1" x14ac:dyDescent="0.25">
      <c r="A763" s="1"/>
      <c r="B763" s="1"/>
      <c r="C763" s="1"/>
      <c r="D763" s="1"/>
      <c r="E763" s="1"/>
      <c r="F763" s="1"/>
      <c r="G763" s="1"/>
      <c r="H763" s="184"/>
      <c r="I763" s="184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5.75" customHeight="1" x14ac:dyDescent="0.25">
      <c r="A764" s="1"/>
      <c r="B764" s="1"/>
      <c r="C764" s="1"/>
      <c r="D764" s="1"/>
      <c r="E764" s="1"/>
      <c r="F764" s="1"/>
      <c r="G764" s="1"/>
      <c r="H764" s="184"/>
      <c r="I764" s="184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5.75" customHeight="1" x14ac:dyDescent="0.25">
      <c r="A765" s="1"/>
      <c r="B765" s="1"/>
      <c r="C765" s="1"/>
      <c r="D765" s="1"/>
      <c r="E765" s="1"/>
      <c r="F765" s="1"/>
      <c r="G765" s="1"/>
      <c r="H765" s="184"/>
      <c r="I765" s="184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5.75" customHeight="1" x14ac:dyDescent="0.25">
      <c r="A766" s="1"/>
      <c r="B766" s="1"/>
      <c r="C766" s="1"/>
      <c r="D766" s="1"/>
      <c r="E766" s="1"/>
      <c r="F766" s="1"/>
      <c r="G766" s="1"/>
      <c r="H766" s="184"/>
      <c r="I766" s="184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5.75" customHeight="1" x14ac:dyDescent="0.25">
      <c r="A767" s="1"/>
      <c r="B767" s="1"/>
      <c r="C767" s="1"/>
      <c r="D767" s="1"/>
      <c r="E767" s="1"/>
      <c r="F767" s="1"/>
      <c r="G767" s="1"/>
      <c r="H767" s="184"/>
      <c r="I767" s="184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5.75" customHeight="1" x14ac:dyDescent="0.25">
      <c r="A768" s="1"/>
      <c r="B768" s="1"/>
      <c r="C768" s="1"/>
      <c r="D768" s="1"/>
      <c r="E768" s="1"/>
      <c r="F768" s="1"/>
      <c r="G768" s="1"/>
      <c r="H768" s="184"/>
      <c r="I768" s="184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5.75" customHeight="1" x14ac:dyDescent="0.25">
      <c r="A769" s="1"/>
      <c r="B769" s="1"/>
      <c r="C769" s="1"/>
      <c r="D769" s="1"/>
      <c r="E769" s="1"/>
      <c r="F769" s="1"/>
      <c r="G769" s="1"/>
      <c r="H769" s="184"/>
      <c r="I769" s="184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5.75" customHeight="1" x14ac:dyDescent="0.25">
      <c r="A770" s="1"/>
      <c r="B770" s="1"/>
      <c r="C770" s="1"/>
      <c r="D770" s="1"/>
      <c r="E770" s="1"/>
      <c r="F770" s="1"/>
      <c r="G770" s="1"/>
      <c r="H770" s="184"/>
      <c r="I770" s="184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5.75" customHeight="1" x14ac:dyDescent="0.25">
      <c r="A771" s="1"/>
      <c r="B771" s="1"/>
      <c r="C771" s="1"/>
      <c r="D771" s="1"/>
      <c r="E771" s="1"/>
      <c r="F771" s="1"/>
      <c r="G771" s="1"/>
      <c r="H771" s="184"/>
      <c r="I771" s="184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5.75" customHeight="1" x14ac:dyDescent="0.25">
      <c r="A772" s="1"/>
      <c r="B772" s="1"/>
      <c r="C772" s="1"/>
      <c r="D772" s="1"/>
      <c r="E772" s="1"/>
      <c r="F772" s="1"/>
      <c r="G772" s="1"/>
      <c r="H772" s="184"/>
      <c r="I772" s="184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5.75" customHeight="1" x14ac:dyDescent="0.25">
      <c r="A773" s="1"/>
      <c r="B773" s="1"/>
      <c r="C773" s="1"/>
      <c r="D773" s="1"/>
      <c r="E773" s="1"/>
      <c r="F773" s="1"/>
      <c r="G773" s="1"/>
      <c r="H773" s="184"/>
      <c r="I773" s="184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5.75" customHeight="1" x14ac:dyDescent="0.25">
      <c r="A774" s="1"/>
      <c r="B774" s="1"/>
      <c r="C774" s="1"/>
      <c r="D774" s="1"/>
      <c r="E774" s="1"/>
      <c r="F774" s="1"/>
      <c r="G774" s="1"/>
      <c r="H774" s="184"/>
      <c r="I774" s="184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5.75" customHeight="1" x14ac:dyDescent="0.25">
      <c r="A775" s="1"/>
      <c r="B775" s="1"/>
      <c r="C775" s="1"/>
      <c r="D775" s="1"/>
      <c r="E775" s="1"/>
      <c r="F775" s="1"/>
      <c r="G775" s="1"/>
      <c r="H775" s="184"/>
      <c r="I775" s="184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5.75" customHeight="1" x14ac:dyDescent="0.25">
      <c r="A776" s="1"/>
      <c r="B776" s="1"/>
      <c r="C776" s="1"/>
      <c r="D776" s="1"/>
      <c r="E776" s="1"/>
      <c r="F776" s="1"/>
      <c r="G776" s="1"/>
      <c r="H776" s="184"/>
      <c r="I776" s="184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5.75" customHeight="1" x14ac:dyDescent="0.25">
      <c r="A777" s="1"/>
      <c r="B777" s="1"/>
      <c r="C777" s="1"/>
      <c r="D777" s="1"/>
      <c r="E777" s="1"/>
      <c r="F777" s="1"/>
      <c r="G777" s="1"/>
      <c r="H777" s="184"/>
      <c r="I777" s="184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5.75" customHeight="1" x14ac:dyDescent="0.25">
      <c r="A778" s="1"/>
      <c r="B778" s="1"/>
      <c r="C778" s="1"/>
      <c r="D778" s="1"/>
      <c r="E778" s="1"/>
      <c r="F778" s="1"/>
      <c r="G778" s="1"/>
      <c r="H778" s="184"/>
      <c r="I778" s="184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5.75" customHeight="1" x14ac:dyDescent="0.25">
      <c r="A779" s="1"/>
      <c r="B779" s="1"/>
      <c r="C779" s="1"/>
      <c r="D779" s="1"/>
      <c r="E779" s="1"/>
      <c r="F779" s="1"/>
      <c r="G779" s="1"/>
      <c r="H779" s="184"/>
      <c r="I779" s="184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5.75" customHeight="1" x14ac:dyDescent="0.25">
      <c r="A780" s="1"/>
      <c r="B780" s="1"/>
      <c r="C780" s="1"/>
      <c r="D780" s="1"/>
      <c r="E780" s="1"/>
      <c r="F780" s="1"/>
      <c r="G780" s="1"/>
      <c r="H780" s="184"/>
      <c r="I780" s="184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5.75" customHeight="1" x14ac:dyDescent="0.25">
      <c r="A781" s="1"/>
      <c r="B781" s="1"/>
      <c r="C781" s="1"/>
      <c r="D781" s="1"/>
      <c r="E781" s="1"/>
      <c r="F781" s="1"/>
      <c r="G781" s="1"/>
      <c r="H781" s="184"/>
      <c r="I781" s="184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5.75" customHeight="1" x14ac:dyDescent="0.25">
      <c r="A782" s="1"/>
      <c r="B782" s="1"/>
      <c r="C782" s="1"/>
      <c r="D782" s="1"/>
      <c r="E782" s="1"/>
      <c r="F782" s="1"/>
      <c r="G782" s="1"/>
      <c r="H782" s="184"/>
      <c r="I782" s="184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5.75" customHeight="1" x14ac:dyDescent="0.25">
      <c r="A783" s="1"/>
      <c r="B783" s="1"/>
      <c r="C783" s="1"/>
      <c r="D783" s="1"/>
      <c r="E783" s="1"/>
      <c r="F783" s="1"/>
      <c r="G783" s="1"/>
      <c r="H783" s="184"/>
      <c r="I783" s="184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5.75" customHeight="1" x14ac:dyDescent="0.25">
      <c r="A784" s="1"/>
      <c r="B784" s="1"/>
      <c r="C784" s="1"/>
      <c r="D784" s="1"/>
      <c r="E784" s="1"/>
      <c r="F784" s="1"/>
      <c r="G784" s="1"/>
      <c r="H784" s="184"/>
      <c r="I784" s="184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5.75" customHeight="1" x14ac:dyDescent="0.25">
      <c r="A785" s="1"/>
      <c r="B785" s="1"/>
      <c r="C785" s="1"/>
      <c r="D785" s="1"/>
      <c r="E785" s="1"/>
      <c r="F785" s="1"/>
      <c r="G785" s="1"/>
      <c r="H785" s="184"/>
      <c r="I785" s="184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5.75" customHeight="1" x14ac:dyDescent="0.25">
      <c r="A786" s="1"/>
      <c r="B786" s="1"/>
      <c r="C786" s="1"/>
      <c r="D786" s="1"/>
      <c r="E786" s="1"/>
      <c r="F786" s="1"/>
      <c r="G786" s="1"/>
      <c r="H786" s="184"/>
      <c r="I786" s="184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5.75" customHeight="1" x14ac:dyDescent="0.25">
      <c r="A787" s="1"/>
      <c r="B787" s="1"/>
      <c r="C787" s="1"/>
      <c r="D787" s="1"/>
      <c r="E787" s="1"/>
      <c r="F787" s="1"/>
      <c r="G787" s="1"/>
      <c r="H787" s="184"/>
      <c r="I787" s="184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5.75" customHeight="1" x14ac:dyDescent="0.25">
      <c r="A788" s="1"/>
      <c r="B788" s="1"/>
      <c r="C788" s="1"/>
      <c r="D788" s="1"/>
      <c r="E788" s="1"/>
      <c r="F788" s="1"/>
      <c r="G788" s="1"/>
      <c r="H788" s="184"/>
      <c r="I788" s="184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5.75" customHeight="1" x14ac:dyDescent="0.25">
      <c r="A789" s="1"/>
      <c r="B789" s="1"/>
      <c r="C789" s="1"/>
      <c r="D789" s="1"/>
      <c r="E789" s="1"/>
      <c r="F789" s="1"/>
      <c r="G789" s="1"/>
      <c r="H789" s="184"/>
      <c r="I789" s="184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5.75" customHeight="1" x14ac:dyDescent="0.25">
      <c r="A790" s="1"/>
      <c r="B790" s="1"/>
      <c r="C790" s="1"/>
      <c r="D790" s="1"/>
      <c r="E790" s="1"/>
      <c r="F790" s="1"/>
      <c r="G790" s="1"/>
      <c r="H790" s="184"/>
      <c r="I790" s="184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5.75" customHeight="1" x14ac:dyDescent="0.25">
      <c r="A791" s="1"/>
      <c r="B791" s="1"/>
      <c r="C791" s="1"/>
      <c r="D791" s="1"/>
      <c r="E791" s="1"/>
      <c r="F791" s="1"/>
      <c r="G791" s="1"/>
      <c r="H791" s="184"/>
      <c r="I791" s="184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5.75" customHeight="1" x14ac:dyDescent="0.25">
      <c r="A792" s="1"/>
      <c r="B792" s="1"/>
      <c r="C792" s="1"/>
      <c r="D792" s="1"/>
      <c r="E792" s="1"/>
      <c r="F792" s="1"/>
      <c r="G792" s="1"/>
      <c r="H792" s="184"/>
      <c r="I792" s="184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5.75" customHeight="1" x14ac:dyDescent="0.25">
      <c r="A793" s="1"/>
      <c r="B793" s="1"/>
      <c r="C793" s="1"/>
      <c r="D793" s="1"/>
      <c r="E793" s="1"/>
      <c r="F793" s="1"/>
      <c r="G793" s="1"/>
      <c r="H793" s="184"/>
      <c r="I793" s="184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5.75" customHeight="1" x14ac:dyDescent="0.25">
      <c r="A794" s="1"/>
      <c r="B794" s="1"/>
      <c r="C794" s="1"/>
      <c r="D794" s="1"/>
      <c r="E794" s="1"/>
      <c r="F794" s="1"/>
      <c r="G794" s="1"/>
      <c r="H794" s="184"/>
      <c r="I794" s="184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5.75" customHeight="1" x14ac:dyDescent="0.25">
      <c r="A795" s="1"/>
      <c r="B795" s="1"/>
      <c r="C795" s="1"/>
      <c r="D795" s="1"/>
      <c r="E795" s="1"/>
      <c r="F795" s="1"/>
      <c r="G795" s="1"/>
      <c r="H795" s="184"/>
      <c r="I795" s="184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5.75" customHeight="1" x14ac:dyDescent="0.25">
      <c r="A796" s="1"/>
      <c r="B796" s="1"/>
      <c r="C796" s="1"/>
      <c r="D796" s="1"/>
      <c r="E796" s="1"/>
      <c r="F796" s="1"/>
      <c r="G796" s="1"/>
      <c r="H796" s="184"/>
      <c r="I796" s="184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5.75" customHeight="1" x14ac:dyDescent="0.25">
      <c r="A797" s="1"/>
      <c r="B797" s="1"/>
      <c r="C797" s="1"/>
      <c r="D797" s="1"/>
      <c r="E797" s="1"/>
      <c r="F797" s="1"/>
      <c r="G797" s="1"/>
      <c r="H797" s="184"/>
      <c r="I797" s="184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5.75" customHeight="1" x14ac:dyDescent="0.25">
      <c r="A798" s="1"/>
      <c r="B798" s="1"/>
      <c r="C798" s="1"/>
      <c r="D798" s="1"/>
      <c r="E798" s="1"/>
      <c r="F798" s="1"/>
      <c r="G798" s="1"/>
      <c r="H798" s="184"/>
      <c r="I798" s="184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5.75" customHeight="1" x14ac:dyDescent="0.25">
      <c r="A799" s="1"/>
      <c r="B799" s="1"/>
      <c r="C799" s="1"/>
      <c r="D799" s="1"/>
      <c r="E799" s="1"/>
      <c r="F799" s="1"/>
      <c r="G799" s="1"/>
      <c r="H799" s="184"/>
      <c r="I799" s="184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5.75" customHeight="1" x14ac:dyDescent="0.25">
      <c r="A800" s="1"/>
      <c r="B800" s="1"/>
      <c r="C800" s="1"/>
      <c r="D800" s="1"/>
      <c r="E800" s="1"/>
      <c r="F800" s="1"/>
      <c r="G800" s="1"/>
      <c r="H800" s="184"/>
      <c r="I800" s="184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5.75" customHeight="1" x14ac:dyDescent="0.25">
      <c r="A801" s="1"/>
      <c r="B801" s="1"/>
      <c r="C801" s="1"/>
      <c r="D801" s="1"/>
      <c r="E801" s="1"/>
      <c r="F801" s="1"/>
      <c r="G801" s="1"/>
      <c r="H801" s="184"/>
      <c r="I801" s="184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5.75" customHeight="1" x14ac:dyDescent="0.25">
      <c r="A802" s="1"/>
      <c r="B802" s="1"/>
      <c r="C802" s="1"/>
      <c r="D802" s="1"/>
      <c r="E802" s="1"/>
      <c r="F802" s="1"/>
      <c r="G802" s="1"/>
      <c r="H802" s="184"/>
      <c r="I802" s="184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5.75" customHeight="1" x14ac:dyDescent="0.25">
      <c r="A803" s="1"/>
      <c r="B803" s="1"/>
      <c r="C803" s="1"/>
      <c r="D803" s="1"/>
      <c r="E803" s="1"/>
      <c r="F803" s="1"/>
      <c r="G803" s="1"/>
      <c r="H803" s="184"/>
      <c r="I803" s="184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5.75" customHeight="1" x14ac:dyDescent="0.25">
      <c r="A804" s="1"/>
      <c r="B804" s="1"/>
      <c r="C804" s="1"/>
      <c r="D804" s="1"/>
      <c r="E804" s="1"/>
      <c r="F804" s="1"/>
      <c r="G804" s="1"/>
      <c r="H804" s="184"/>
      <c r="I804" s="184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5.75" customHeight="1" x14ac:dyDescent="0.25">
      <c r="A805" s="1"/>
      <c r="B805" s="1"/>
      <c r="C805" s="1"/>
      <c r="D805" s="1"/>
      <c r="E805" s="1"/>
      <c r="F805" s="1"/>
      <c r="G805" s="1"/>
      <c r="H805" s="184"/>
      <c r="I805" s="184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5.75" customHeight="1" x14ac:dyDescent="0.25">
      <c r="A806" s="1"/>
      <c r="B806" s="1"/>
      <c r="C806" s="1"/>
      <c r="D806" s="1"/>
      <c r="E806" s="1"/>
      <c r="F806" s="1"/>
      <c r="G806" s="1"/>
      <c r="H806" s="184"/>
      <c r="I806" s="184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5.75" customHeight="1" x14ac:dyDescent="0.25">
      <c r="A807" s="1"/>
      <c r="B807" s="1"/>
      <c r="C807" s="1"/>
      <c r="D807" s="1"/>
      <c r="E807" s="1"/>
      <c r="F807" s="1"/>
      <c r="G807" s="1"/>
      <c r="H807" s="184"/>
      <c r="I807" s="184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5.75" customHeight="1" x14ac:dyDescent="0.25">
      <c r="A808" s="1"/>
      <c r="B808" s="1"/>
      <c r="C808" s="1"/>
      <c r="D808" s="1"/>
      <c r="E808" s="1"/>
      <c r="F808" s="1"/>
      <c r="G808" s="1"/>
      <c r="H808" s="184"/>
      <c r="I808" s="184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5.75" customHeight="1" x14ac:dyDescent="0.25">
      <c r="A809" s="1"/>
      <c r="B809" s="1"/>
      <c r="C809" s="1"/>
      <c r="D809" s="1"/>
      <c r="E809" s="1"/>
      <c r="F809" s="1"/>
      <c r="G809" s="1"/>
      <c r="H809" s="184"/>
      <c r="I809" s="184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5.75" customHeight="1" x14ac:dyDescent="0.25">
      <c r="A810" s="1"/>
      <c r="B810" s="1"/>
      <c r="C810" s="1"/>
      <c r="D810" s="1"/>
      <c r="E810" s="1"/>
      <c r="F810" s="1"/>
      <c r="G810" s="1"/>
      <c r="H810" s="184"/>
      <c r="I810" s="184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5.75" customHeight="1" x14ac:dyDescent="0.25">
      <c r="A811" s="1"/>
      <c r="B811" s="1"/>
      <c r="C811" s="1"/>
      <c r="D811" s="1"/>
      <c r="E811" s="1"/>
      <c r="F811" s="1"/>
      <c r="G811" s="1"/>
      <c r="H811" s="184"/>
      <c r="I811" s="184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5.75" customHeight="1" x14ac:dyDescent="0.25">
      <c r="A812" s="1"/>
      <c r="B812" s="1"/>
      <c r="C812" s="1"/>
      <c r="D812" s="1"/>
      <c r="E812" s="1"/>
      <c r="F812" s="1"/>
      <c r="G812" s="1"/>
      <c r="H812" s="184"/>
      <c r="I812" s="184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5.75" customHeight="1" x14ac:dyDescent="0.25">
      <c r="A813" s="1"/>
      <c r="B813" s="1"/>
      <c r="C813" s="1"/>
      <c r="D813" s="1"/>
      <c r="E813" s="1"/>
      <c r="F813" s="1"/>
      <c r="G813" s="1"/>
      <c r="H813" s="184"/>
      <c r="I813" s="184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5.75" customHeight="1" x14ac:dyDescent="0.25">
      <c r="A814" s="1"/>
      <c r="B814" s="1"/>
      <c r="C814" s="1"/>
      <c r="D814" s="1"/>
      <c r="E814" s="1"/>
      <c r="F814" s="1"/>
      <c r="G814" s="1"/>
      <c r="H814" s="184"/>
      <c r="I814" s="184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5.75" customHeight="1" x14ac:dyDescent="0.25">
      <c r="A815" s="1"/>
      <c r="B815" s="1"/>
      <c r="C815" s="1"/>
      <c r="D815" s="1"/>
      <c r="E815" s="1"/>
      <c r="F815" s="1"/>
      <c r="G815" s="1"/>
      <c r="H815" s="184"/>
      <c r="I815" s="184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5.75" customHeight="1" x14ac:dyDescent="0.25">
      <c r="A816" s="1"/>
      <c r="B816" s="1"/>
      <c r="C816" s="1"/>
      <c r="D816" s="1"/>
      <c r="E816" s="1"/>
      <c r="F816" s="1"/>
      <c r="G816" s="1"/>
      <c r="H816" s="184"/>
      <c r="I816" s="184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5.75" customHeight="1" x14ac:dyDescent="0.25">
      <c r="A817" s="1"/>
      <c r="B817" s="1"/>
      <c r="C817" s="1"/>
      <c r="D817" s="1"/>
      <c r="E817" s="1"/>
      <c r="F817" s="1"/>
      <c r="G817" s="1"/>
      <c r="H817" s="184"/>
      <c r="I817" s="184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5.75" customHeight="1" x14ac:dyDescent="0.25">
      <c r="A818" s="1"/>
      <c r="B818" s="1"/>
      <c r="C818" s="1"/>
      <c r="D818" s="1"/>
      <c r="E818" s="1"/>
      <c r="F818" s="1"/>
      <c r="G818" s="1"/>
      <c r="H818" s="184"/>
      <c r="I818" s="184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5.75" customHeight="1" x14ac:dyDescent="0.25">
      <c r="A819" s="1"/>
      <c r="B819" s="1"/>
      <c r="C819" s="1"/>
      <c r="D819" s="1"/>
      <c r="E819" s="1"/>
      <c r="F819" s="1"/>
      <c r="G819" s="1"/>
      <c r="H819" s="184"/>
      <c r="I819" s="184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5.75" customHeight="1" x14ac:dyDescent="0.25">
      <c r="A820" s="1"/>
      <c r="B820" s="1"/>
      <c r="C820" s="1"/>
      <c r="D820" s="1"/>
      <c r="E820" s="1"/>
      <c r="F820" s="1"/>
      <c r="G820" s="1"/>
      <c r="H820" s="184"/>
      <c r="I820" s="184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5.75" customHeight="1" x14ac:dyDescent="0.25">
      <c r="A821" s="1"/>
      <c r="B821" s="1"/>
      <c r="C821" s="1"/>
      <c r="D821" s="1"/>
      <c r="E821" s="1"/>
      <c r="F821" s="1"/>
      <c r="G821" s="1"/>
      <c r="H821" s="184"/>
      <c r="I821" s="184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5.75" customHeight="1" x14ac:dyDescent="0.25">
      <c r="A822" s="1"/>
      <c r="B822" s="1"/>
      <c r="C822" s="1"/>
      <c r="D822" s="1"/>
      <c r="E822" s="1"/>
      <c r="F822" s="1"/>
      <c r="G822" s="1"/>
      <c r="H822" s="184"/>
      <c r="I822" s="184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5.75" customHeight="1" x14ac:dyDescent="0.25">
      <c r="A823" s="1"/>
      <c r="B823" s="1"/>
      <c r="C823" s="1"/>
      <c r="D823" s="1"/>
      <c r="E823" s="1"/>
      <c r="F823" s="1"/>
      <c r="G823" s="1"/>
      <c r="H823" s="184"/>
      <c r="I823" s="184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5.75" customHeight="1" x14ac:dyDescent="0.25">
      <c r="A824" s="1"/>
      <c r="B824" s="1"/>
      <c r="C824" s="1"/>
      <c r="D824" s="1"/>
      <c r="E824" s="1"/>
      <c r="F824" s="1"/>
      <c r="G824" s="1"/>
      <c r="H824" s="184"/>
      <c r="I824" s="184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5.75" customHeight="1" x14ac:dyDescent="0.25">
      <c r="A825" s="1"/>
      <c r="B825" s="1"/>
      <c r="C825" s="1"/>
      <c r="D825" s="1"/>
      <c r="E825" s="1"/>
      <c r="F825" s="1"/>
      <c r="G825" s="1"/>
      <c r="H825" s="184"/>
      <c r="I825" s="184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5.75" customHeight="1" x14ac:dyDescent="0.25">
      <c r="A826" s="1"/>
      <c r="B826" s="1"/>
      <c r="C826" s="1"/>
      <c r="D826" s="1"/>
      <c r="E826" s="1"/>
      <c r="F826" s="1"/>
      <c r="G826" s="1"/>
      <c r="H826" s="184"/>
      <c r="I826" s="184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5.75" customHeight="1" x14ac:dyDescent="0.25">
      <c r="A827" s="1"/>
      <c r="B827" s="1"/>
      <c r="C827" s="1"/>
      <c r="D827" s="1"/>
      <c r="E827" s="1"/>
      <c r="F827" s="1"/>
      <c r="G827" s="1"/>
      <c r="H827" s="184"/>
      <c r="I827" s="184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5.75" customHeight="1" x14ac:dyDescent="0.25">
      <c r="A828" s="1"/>
      <c r="B828" s="1"/>
      <c r="C828" s="1"/>
      <c r="D828" s="1"/>
      <c r="E828" s="1"/>
      <c r="F828" s="1"/>
      <c r="G828" s="1"/>
      <c r="H828" s="184"/>
      <c r="I828" s="184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5.75" customHeight="1" x14ac:dyDescent="0.25">
      <c r="A829" s="1"/>
      <c r="B829" s="1"/>
      <c r="C829" s="1"/>
      <c r="D829" s="1"/>
      <c r="E829" s="1"/>
      <c r="F829" s="1"/>
      <c r="G829" s="1"/>
      <c r="H829" s="184"/>
      <c r="I829" s="184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5.75" customHeight="1" x14ac:dyDescent="0.25">
      <c r="A830" s="1"/>
      <c r="B830" s="1"/>
      <c r="C830" s="1"/>
      <c r="D830" s="1"/>
      <c r="E830" s="1"/>
      <c r="F830" s="1"/>
      <c r="G830" s="1"/>
      <c r="H830" s="184"/>
      <c r="I830" s="184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5.75" customHeight="1" x14ac:dyDescent="0.25">
      <c r="A831" s="1"/>
      <c r="B831" s="1"/>
      <c r="C831" s="1"/>
      <c r="D831" s="1"/>
      <c r="E831" s="1"/>
      <c r="F831" s="1"/>
      <c r="G831" s="1"/>
      <c r="H831" s="184"/>
      <c r="I831" s="184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5.75" customHeight="1" x14ac:dyDescent="0.25">
      <c r="A832" s="1"/>
      <c r="B832" s="1"/>
      <c r="C832" s="1"/>
      <c r="D832" s="1"/>
      <c r="E832" s="1"/>
      <c r="F832" s="1"/>
      <c r="G832" s="1"/>
      <c r="H832" s="184"/>
      <c r="I832" s="184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5.75" customHeight="1" x14ac:dyDescent="0.25">
      <c r="A833" s="1"/>
      <c r="B833" s="1"/>
      <c r="C833" s="1"/>
      <c r="D833" s="1"/>
      <c r="E833" s="1"/>
      <c r="F833" s="1"/>
      <c r="G833" s="1"/>
      <c r="H833" s="184"/>
      <c r="I833" s="184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5.75" customHeight="1" x14ac:dyDescent="0.25">
      <c r="A834" s="1"/>
      <c r="B834" s="1"/>
      <c r="C834" s="1"/>
      <c r="D834" s="1"/>
      <c r="E834" s="1"/>
      <c r="F834" s="1"/>
      <c r="G834" s="1"/>
      <c r="H834" s="184"/>
      <c r="I834" s="184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5.75" customHeight="1" x14ac:dyDescent="0.25">
      <c r="A835" s="1"/>
      <c r="B835" s="1"/>
      <c r="C835" s="1"/>
      <c r="D835" s="1"/>
      <c r="E835" s="1"/>
      <c r="F835" s="1"/>
      <c r="G835" s="1"/>
      <c r="H835" s="184"/>
      <c r="I835" s="184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5.75" customHeight="1" x14ac:dyDescent="0.25">
      <c r="A836" s="1"/>
      <c r="B836" s="1"/>
      <c r="C836" s="1"/>
      <c r="D836" s="1"/>
      <c r="E836" s="1"/>
      <c r="F836" s="1"/>
      <c r="G836" s="1"/>
      <c r="H836" s="184"/>
      <c r="I836" s="184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5.75" customHeight="1" x14ac:dyDescent="0.25">
      <c r="A837" s="1"/>
      <c r="B837" s="1"/>
      <c r="C837" s="1"/>
      <c r="D837" s="1"/>
      <c r="E837" s="1"/>
      <c r="F837" s="1"/>
      <c r="G837" s="1"/>
      <c r="H837" s="184"/>
      <c r="I837" s="184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5.75" customHeight="1" x14ac:dyDescent="0.25">
      <c r="A838" s="1"/>
      <c r="B838" s="1"/>
      <c r="C838" s="1"/>
      <c r="D838" s="1"/>
      <c r="E838" s="1"/>
      <c r="F838" s="1"/>
      <c r="G838" s="1"/>
      <c r="H838" s="184"/>
      <c r="I838" s="184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5.75" customHeight="1" x14ac:dyDescent="0.25">
      <c r="A839" s="1"/>
      <c r="B839" s="1"/>
      <c r="C839" s="1"/>
      <c r="D839" s="1"/>
      <c r="E839" s="1"/>
      <c r="F839" s="1"/>
      <c r="G839" s="1"/>
      <c r="H839" s="184"/>
      <c r="I839" s="184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5.75" customHeight="1" x14ac:dyDescent="0.25">
      <c r="A840" s="1"/>
      <c r="B840" s="1"/>
      <c r="C840" s="1"/>
      <c r="D840" s="1"/>
      <c r="E840" s="1"/>
      <c r="F840" s="1"/>
      <c r="G840" s="1"/>
      <c r="H840" s="184"/>
      <c r="I840" s="184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5.75" customHeight="1" x14ac:dyDescent="0.25">
      <c r="A841" s="1"/>
      <c r="B841" s="1"/>
      <c r="C841" s="1"/>
      <c r="D841" s="1"/>
      <c r="E841" s="1"/>
      <c r="F841" s="1"/>
      <c r="G841" s="1"/>
      <c r="H841" s="184"/>
      <c r="I841" s="184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5.75" customHeight="1" x14ac:dyDescent="0.25">
      <c r="A842" s="1"/>
      <c r="B842" s="1"/>
      <c r="C842" s="1"/>
      <c r="D842" s="1"/>
      <c r="E842" s="1"/>
      <c r="F842" s="1"/>
      <c r="G842" s="1"/>
      <c r="H842" s="184"/>
      <c r="I842" s="184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5.75" customHeight="1" x14ac:dyDescent="0.25">
      <c r="A843" s="1"/>
      <c r="B843" s="1"/>
      <c r="C843" s="1"/>
      <c r="D843" s="1"/>
      <c r="E843" s="1"/>
      <c r="F843" s="1"/>
      <c r="G843" s="1"/>
      <c r="H843" s="184"/>
      <c r="I843" s="184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5.75" customHeight="1" x14ac:dyDescent="0.25">
      <c r="A844" s="1"/>
      <c r="B844" s="1"/>
      <c r="C844" s="1"/>
      <c r="D844" s="1"/>
      <c r="E844" s="1"/>
      <c r="F844" s="1"/>
      <c r="G844" s="1"/>
      <c r="H844" s="184"/>
      <c r="I844" s="184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5.75" customHeight="1" x14ac:dyDescent="0.25">
      <c r="A845" s="1"/>
      <c r="B845" s="1"/>
      <c r="C845" s="1"/>
      <c r="D845" s="1"/>
      <c r="E845" s="1"/>
      <c r="F845" s="1"/>
      <c r="G845" s="1"/>
      <c r="H845" s="184"/>
      <c r="I845" s="184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5.75" customHeight="1" x14ac:dyDescent="0.25">
      <c r="A846" s="1"/>
      <c r="B846" s="1"/>
      <c r="C846" s="1"/>
      <c r="D846" s="1"/>
      <c r="E846" s="1"/>
      <c r="F846" s="1"/>
      <c r="G846" s="1"/>
      <c r="H846" s="184"/>
      <c r="I846" s="184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5.75" customHeight="1" x14ac:dyDescent="0.25">
      <c r="A847" s="1"/>
      <c r="B847" s="1"/>
      <c r="C847" s="1"/>
      <c r="D847" s="1"/>
      <c r="E847" s="1"/>
      <c r="F847" s="1"/>
      <c r="G847" s="1"/>
      <c r="H847" s="184"/>
      <c r="I847" s="184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5.75" customHeight="1" x14ac:dyDescent="0.25">
      <c r="A848" s="1"/>
      <c r="B848" s="1"/>
      <c r="C848" s="1"/>
      <c r="D848" s="1"/>
      <c r="E848" s="1"/>
      <c r="F848" s="1"/>
      <c r="G848" s="1"/>
      <c r="H848" s="184"/>
      <c r="I848" s="184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5.75" customHeight="1" x14ac:dyDescent="0.25">
      <c r="A849" s="1"/>
      <c r="B849" s="1"/>
      <c r="C849" s="1"/>
      <c r="D849" s="1"/>
      <c r="E849" s="1"/>
      <c r="F849" s="1"/>
      <c r="G849" s="1"/>
      <c r="H849" s="184"/>
      <c r="I849" s="184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5.75" customHeight="1" x14ac:dyDescent="0.25">
      <c r="A850" s="1"/>
      <c r="B850" s="1"/>
      <c r="C850" s="1"/>
      <c r="D850" s="1"/>
      <c r="E850" s="1"/>
      <c r="F850" s="1"/>
      <c r="G850" s="1"/>
      <c r="H850" s="184"/>
      <c r="I850" s="184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5.75" customHeight="1" x14ac:dyDescent="0.25">
      <c r="A851" s="1"/>
      <c r="B851" s="1"/>
      <c r="C851" s="1"/>
      <c r="D851" s="1"/>
      <c r="E851" s="1"/>
      <c r="F851" s="1"/>
      <c r="G851" s="1"/>
      <c r="H851" s="184"/>
      <c r="I851" s="184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5.75" customHeight="1" x14ac:dyDescent="0.25">
      <c r="A852" s="1"/>
      <c r="B852" s="1"/>
      <c r="C852" s="1"/>
      <c r="D852" s="1"/>
      <c r="E852" s="1"/>
      <c r="F852" s="1"/>
      <c r="G852" s="1"/>
      <c r="H852" s="184"/>
      <c r="I852" s="184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5.75" customHeight="1" x14ac:dyDescent="0.25">
      <c r="A853" s="1"/>
      <c r="B853" s="1"/>
      <c r="C853" s="1"/>
      <c r="D853" s="1"/>
      <c r="E853" s="1"/>
      <c r="F853" s="1"/>
      <c r="G853" s="1"/>
      <c r="H853" s="184"/>
      <c r="I853" s="184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5.75" customHeight="1" x14ac:dyDescent="0.25">
      <c r="A854" s="1"/>
      <c r="B854" s="1"/>
      <c r="C854" s="1"/>
      <c r="D854" s="1"/>
      <c r="E854" s="1"/>
      <c r="F854" s="1"/>
      <c r="G854" s="1"/>
      <c r="H854" s="184"/>
      <c r="I854" s="184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5.75" customHeight="1" x14ac:dyDescent="0.25">
      <c r="A855" s="1"/>
      <c r="B855" s="1"/>
      <c r="C855" s="1"/>
      <c r="D855" s="1"/>
      <c r="E855" s="1"/>
      <c r="F855" s="1"/>
      <c r="G855" s="1"/>
      <c r="H855" s="184"/>
      <c r="I855" s="184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5.75" customHeight="1" x14ac:dyDescent="0.25">
      <c r="A856" s="1"/>
      <c r="B856" s="1"/>
      <c r="C856" s="1"/>
      <c r="D856" s="1"/>
      <c r="E856" s="1"/>
      <c r="F856" s="1"/>
      <c r="G856" s="1"/>
      <c r="H856" s="184"/>
      <c r="I856" s="184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5.75" customHeight="1" x14ac:dyDescent="0.25">
      <c r="A857" s="1"/>
      <c r="B857" s="1"/>
      <c r="C857" s="1"/>
      <c r="D857" s="1"/>
      <c r="E857" s="1"/>
      <c r="F857" s="1"/>
      <c r="G857" s="1"/>
      <c r="H857" s="184"/>
      <c r="I857" s="184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5.75" customHeight="1" x14ac:dyDescent="0.25">
      <c r="A858" s="1"/>
      <c r="B858" s="1"/>
      <c r="C858" s="1"/>
      <c r="D858" s="1"/>
      <c r="E858" s="1"/>
      <c r="F858" s="1"/>
      <c r="G858" s="1"/>
      <c r="H858" s="184"/>
      <c r="I858" s="184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5.75" customHeight="1" x14ac:dyDescent="0.25">
      <c r="A859" s="1"/>
      <c r="B859" s="1"/>
      <c r="C859" s="1"/>
      <c r="D859" s="1"/>
      <c r="E859" s="1"/>
      <c r="F859" s="1"/>
      <c r="G859" s="1"/>
      <c r="H859" s="184"/>
      <c r="I859" s="184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5.75" customHeight="1" x14ac:dyDescent="0.25">
      <c r="A860" s="1"/>
      <c r="B860" s="1"/>
      <c r="C860" s="1"/>
      <c r="D860" s="1"/>
      <c r="E860" s="1"/>
      <c r="F860" s="1"/>
      <c r="G860" s="1"/>
      <c r="H860" s="184"/>
      <c r="I860" s="184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5.75" customHeight="1" x14ac:dyDescent="0.25">
      <c r="A861" s="1"/>
      <c r="B861" s="1"/>
      <c r="C861" s="1"/>
      <c r="D861" s="1"/>
      <c r="E861" s="1"/>
      <c r="F861" s="1"/>
      <c r="G861" s="1"/>
      <c r="H861" s="184"/>
      <c r="I861" s="184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5.75" customHeight="1" x14ac:dyDescent="0.25">
      <c r="A862" s="1"/>
      <c r="B862" s="1"/>
      <c r="C862" s="1"/>
      <c r="D862" s="1"/>
      <c r="E862" s="1"/>
      <c r="F862" s="1"/>
      <c r="G862" s="1"/>
      <c r="H862" s="184"/>
      <c r="I862" s="184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5.75" customHeight="1" x14ac:dyDescent="0.25">
      <c r="A863" s="1"/>
      <c r="B863" s="1"/>
      <c r="C863" s="1"/>
      <c r="D863" s="1"/>
      <c r="E863" s="1"/>
      <c r="F863" s="1"/>
      <c r="G863" s="1"/>
      <c r="H863" s="184"/>
      <c r="I863" s="184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5.75" customHeight="1" x14ac:dyDescent="0.25">
      <c r="A864" s="1"/>
      <c r="B864" s="1"/>
      <c r="C864" s="1"/>
      <c r="D864" s="1"/>
      <c r="E864" s="1"/>
      <c r="F864" s="1"/>
      <c r="G864" s="1"/>
      <c r="H864" s="184"/>
      <c r="I864" s="184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5.75" customHeight="1" x14ac:dyDescent="0.25">
      <c r="A865" s="1"/>
      <c r="B865" s="1"/>
      <c r="C865" s="1"/>
      <c r="D865" s="1"/>
      <c r="E865" s="1"/>
      <c r="F865" s="1"/>
      <c r="G865" s="1"/>
      <c r="H865" s="184"/>
      <c r="I865" s="184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5.75" customHeight="1" x14ac:dyDescent="0.25">
      <c r="A866" s="1"/>
      <c r="B866" s="1"/>
      <c r="C866" s="1"/>
      <c r="D866" s="1"/>
      <c r="E866" s="1"/>
      <c r="F866" s="1"/>
      <c r="G866" s="1"/>
      <c r="H866" s="184"/>
      <c r="I866" s="184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5.75" customHeight="1" x14ac:dyDescent="0.25">
      <c r="A867" s="1"/>
      <c r="B867" s="1"/>
      <c r="C867" s="1"/>
      <c r="D867" s="1"/>
      <c r="E867" s="1"/>
      <c r="F867" s="1"/>
      <c r="G867" s="1"/>
      <c r="H867" s="184"/>
      <c r="I867" s="184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5.75" customHeight="1" x14ac:dyDescent="0.25">
      <c r="A868" s="1"/>
      <c r="B868" s="1"/>
      <c r="C868" s="1"/>
      <c r="D868" s="1"/>
      <c r="E868" s="1"/>
      <c r="F868" s="1"/>
      <c r="G868" s="1"/>
      <c r="H868" s="184"/>
      <c r="I868" s="184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5.75" customHeight="1" x14ac:dyDescent="0.25">
      <c r="A869" s="1"/>
      <c r="B869" s="1"/>
      <c r="C869" s="1"/>
      <c r="D869" s="1"/>
      <c r="E869" s="1"/>
      <c r="F869" s="1"/>
      <c r="G869" s="1"/>
      <c r="H869" s="184"/>
      <c r="I869" s="184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5.75" customHeight="1" x14ac:dyDescent="0.25">
      <c r="A870" s="1"/>
      <c r="B870" s="1"/>
      <c r="C870" s="1"/>
      <c r="D870" s="1"/>
      <c r="E870" s="1"/>
      <c r="F870" s="1"/>
      <c r="G870" s="1"/>
      <c r="H870" s="184"/>
      <c r="I870" s="184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5.75" customHeight="1" x14ac:dyDescent="0.25">
      <c r="A871" s="1"/>
      <c r="B871" s="1"/>
      <c r="C871" s="1"/>
      <c r="D871" s="1"/>
      <c r="E871" s="1"/>
      <c r="F871" s="1"/>
      <c r="G871" s="1"/>
      <c r="H871" s="184"/>
      <c r="I871" s="184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5.75" customHeight="1" x14ac:dyDescent="0.25">
      <c r="A872" s="1"/>
      <c r="B872" s="1"/>
      <c r="C872" s="1"/>
      <c r="D872" s="1"/>
      <c r="E872" s="1"/>
      <c r="F872" s="1"/>
      <c r="G872" s="1"/>
      <c r="H872" s="184"/>
      <c r="I872" s="184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5.75" customHeight="1" x14ac:dyDescent="0.25">
      <c r="A873" s="1"/>
      <c r="B873" s="1"/>
      <c r="C873" s="1"/>
      <c r="D873" s="1"/>
      <c r="E873" s="1"/>
      <c r="F873" s="1"/>
      <c r="G873" s="1"/>
      <c r="H873" s="184"/>
      <c r="I873" s="184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5.75" customHeight="1" x14ac:dyDescent="0.25">
      <c r="A874" s="1"/>
      <c r="B874" s="1"/>
      <c r="C874" s="1"/>
      <c r="D874" s="1"/>
      <c r="E874" s="1"/>
      <c r="F874" s="1"/>
      <c r="G874" s="1"/>
      <c r="H874" s="184"/>
      <c r="I874" s="184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5.75" customHeight="1" x14ac:dyDescent="0.25">
      <c r="A875" s="1"/>
      <c r="B875" s="1"/>
      <c r="C875" s="1"/>
      <c r="D875" s="1"/>
      <c r="E875" s="1"/>
      <c r="F875" s="1"/>
      <c r="G875" s="1"/>
      <c r="H875" s="184"/>
      <c r="I875" s="184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5.75" customHeight="1" x14ac:dyDescent="0.25">
      <c r="A876" s="1"/>
      <c r="B876" s="1"/>
      <c r="C876" s="1"/>
      <c r="D876" s="1"/>
      <c r="E876" s="1"/>
      <c r="F876" s="1"/>
      <c r="G876" s="1"/>
      <c r="H876" s="184"/>
      <c r="I876" s="184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5.75" customHeight="1" x14ac:dyDescent="0.25">
      <c r="A877" s="1"/>
      <c r="B877" s="1"/>
      <c r="C877" s="1"/>
      <c r="D877" s="1"/>
      <c r="E877" s="1"/>
      <c r="F877" s="1"/>
      <c r="G877" s="1"/>
      <c r="H877" s="184"/>
      <c r="I877" s="184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5.75" customHeight="1" x14ac:dyDescent="0.25">
      <c r="A878" s="1"/>
      <c r="B878" s="1"/>
      <c r="C878" s="1"/>
      <c r="D878" s="1"/>
      <c r="E878" s="1"/>
      <c r="F878" s="1"/>
      <c r="G878" s="1"/>
      <c r="H878" s="184"/>
      <c r="I878" s="184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5.75" customHeight="1" x14ac:dyDescent="0.25">
      <c r="A879" s="1"/>
      <c r="B879" s="1"/>
      <c r="C879" s="1"/>
      <c r="D879" s="1"/>
      <c r="E879" s="1"/>
      <c r="F879" s="1"/>
      <c r="G879" s="1"/>
      <c r="H879" s="184"/>
      <c r="I879" s="184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5.75" customHeight="1" x14ac:dyDescent="0.25">
      <c r="A880" s="1"/>
      <c r="B880" s="1"/>
      <c r="C880" s="1"/>
      <c r="D880" s="1"/>
      <c r="E880" s="1"/>
      <c r="F880" s="1"/>
      <c r="G880" s="1"/>
      <c r="H880" s="184"/>
      <c r="I880" s="184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5.75" customHeight="1" x14ac:dyDescent="0.25">
      <c r="A881" s="1"/>
      <c r="B881" s="1"/>
      <c r="C881" s="1"/>
      <c r="D881" s="1"/>
      <c r="E881" s="1"/>
      <c r="F881" s="1"/>
      <c r="G881" s="1"/>
      <c r="H881" s="184"/>
      <c r="I881" s="184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5.75" customHeight="1" x14ac:dyDescent="0.25">
      <c r="A882" s="1"/>
      <c r="B882" s="1"/>
      <c r="C882" s="1"/>
      <c r="D882" s="1"/>
      <c r="E882" s="1"/>
      <c r="F882" s="1"/>
      <c r="G882" s="1"/>
      <c r="H882" s="184"/>
      <c r="I882" s="184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5.75" customHeight="1" x14ac:dyDescent="0.25">
      <c r="A883" s="1"/>
      <c r="B883" s="1"/>
      <c r="C883" s="1"/>
      <c r="D883" s="1"/>
      <c r="E883" s="1"/>
      <c r="F883" s="1"/>
      <c r="G883" s="1"/>
      <c r="H883" s="184"/>
      <c r="I883" s="184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5.75" customHeight="1" x14ac:dyDescent="0.25">
      <c r="A884" s="1"/>
      <c r="B884" s="1"/>
      <c r="C884" s="1"/>
      <c r="D884" s="1"/>
      <c r="E884" s="1"/>
      <c r="F884" s="1"/>
      <c r="G884" s="1"/>
      <c r="H884" s="184"/>
      <c r="I884" s="184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5.75" customHeight="1" x14ac:dyDescent="0.25">
      <c r="A885" s="1"/>
      <c r="B885" s="1"/>
      <c r="C885" s="1"/>
      <c r="D885" s="1"/>
      <c r="E885" s="1"/>
      <c r="F885" s="1"/>
      <c r="G885" s="1"/>
      <c r="H885" s="184"/>
      <c r="I885" s="184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5.75" customHeight="1" x14ac:dyDescent="0.25">
      <c r="A886" s="1"/>
      <c r="B886" s="1"/>
      <c r="C886" s="1"/>
      <c r="D886" s="1"/>
      <c r="E886" s="1"/>
      <c r="F886" s="1"/>
      <c r="G886" s="1"/>
      <c r="H886" s="184"/>
      <c r="I886" s="184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5.75" customHeight="1" x14ac:dyDescent="0.25">
      <c r="A887" s="1"/>
      <c r="B887" s="1"/>
      <c r="C887" s="1"/>
      <c r="D887" s="1"/>
      <c r="E887" s="1"/>
      <c r="F887" s="1"/>
      <c r="G887" s="1"/>
      <c r="H887" s="184"/>
      <c r="I887" s="184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5.75" customHeight="1" x14ac:dyDescent="0.25">
      <c r="A888" s="1"/>
      <c r="B888" s="1"/>
      <c r="C888" s="1"/>
      <c r="D888" s="1"/>
      <c r="E888" s="1"/>
      <c r="F888" s="1"/>
      <c r="G888" s="1"/>
      <c r="H888" s="184"/>
      <c r="I888" s="184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5.75" customHeight="1" x14ac:dyDescent="0.25">
      <c r="A889" s="1"/>
      <c r="B889" s="1"/>
      <c r="C889" s="1"/>
      <c r="D889" s="1"/>
      <c r="E889" s="1"/>
      <c r="F889" s="1"/>
      <c r="G889" s="1"/>
      <c r="H889" s="184"/>
      <c r="I889" s="184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5.75" customHeight="1" x14ac:dyDescent="0.25">
      <c r="A890" s="1"/>
      <c r="B890" s="1"/>
      <c r="C890" s="1"/>
      <c r="D890" s="1"/>
      <c r="E890" s="1"/>
      <c r="F890" s="1"/>
      <c r="G890" s="1"/>
      <c r="H890" s="184"/>
      <c r="I890" s="184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5.75" customHeight="1" x14ac:dyDescent="0.25">
      <c r="A891" s="1"/>
      <c r="B891" s="1"/>
      <c r="C891" s="1"/>
      <c r="D891" s="1"/>
      <c r="E891" s="1"/>
      <c r="F891" s="1"/>
      <c r="G891" s="1"/>
      <c r="H891" s="184"/>
      <c r="I891" s="184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5.75" customHeight="1" x14ac:dyDescent="0.25">
      <c r="A892" s="1"/>
      <c r="B892" s="1"/>
      <c r="C892" s="1"/>
      <c r="D892" s="1"/>
      <c r="E892" s="1"/>
      <c r="F892" s="1"/>
      <c r="G892" s="1"/>
      <c r="H892" s="184"/>
      <c r="I892" s="184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5.75" customHeight="1" x14ac:dyDescent="0.25">
      <c r="A893" s="1"/>
      <c r="B893" s="1"/>
      <c r="C893" s="1"/>
      <c r="D893" s="1"/>
      <c r="E893" s="1"/>
      <c r="F893" s="1"/>
      <c r="G893" s="1"/>
      <c r="H893" s="184"/>
      <c r="I893" s="184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5.75" customHeight="1" x14ac:dyDescent="0.25">
      <c r="A894" s="1"/>
      <c r="B894" s="1"/>
      <c r="C894" s="1"/>
      <c r="D894" s="1"/>
      <c r="E894" s="1"/>
      <c r="F894" s="1"/>
      <c r="G894" s="1"/>
      <c r="H894" s="184"/>
      <c r="I894" s="184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5.75" customHeight="1" x14ac:dyDescent="0.25">
      <c r="A895" s="1"/>
      <c r="B895" s="1"/>
      <c r="C895" s="1"/>
      <c r="D895" s="1"/>
      <c r="E895" s="1"/>
      <c r="F895" s="1"/>
      <c r="G895" s="1"/>
      <c r="H895" s="184"/>
      <c r="I895" s="184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5.75" customHeight="1" x14ac:dyDescent="0.25">
      <c r="A896" s="1"/>
      <c r="B896" s="1"/>
      <c r="C896" s="1"/>
      <c r="D896" s="1"/>
      <c r="E896" s="1"/>
      <c r="F896" s="1"/>
      <c r="G896" s="1"/>
      <c r="H896" s="184"/>
      <c r="I896" s="184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5.75" customHeight="1" x14ac:dyDescent="0.25">
      <c r="A897" s="1"/>
      <c r="B897" s="1"/>
      <c r="C897" s="1"/>
      <c r="D897" s="1"/>
      <c r="E897" s="1"/>
      <c r="F897" s="1"/>
      <c r="G897" s="1"/>
      <c r="H897" s="184"/>
      <c r="I897" s="184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5.75" customHeight="1" x14ac:dyDescent="0.25">
      <c r="A898" s="1"/>
      <c r="B898" s="1"/>
      <c r="C898" s="1"/>
      <c r="D898" s="1"/>
      <c r="E898" s="1"/>
      <c r="F898" s="1"/>
      <c r="G898" s="1"/>
      <c r="H898" s="184"/>
      <c r="I898" s="184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5.75" customHeight="1" x14ac:dyDescent="0.25">
      <c r="A899" s="1"/>
      <c r="B899" s="1"/>
      <c r="C899" s="1"/>
      <c r="D899" s="1"/>
      <c r="E899" s="1"/>
      <c r="F899" s="1"/>
      <c r="G899" s="1"/>
      <c r="H899" s="184"/>
      <c r="I899" s="184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5.75" customHeight="1" x14ac:dyDescent="0.25">
      <c r="A900" s="1"/>
      <c r="B900" s="1"/>
      <c r="C900" s="1"/>
      <c r="D900" s="1"/>
      <c r="E900" s="1"/>
      <c r="F900" s="1"/>
      <c r="G900" s="1"/>
      <c r="H900" s="184"/>
      <c r="I900" s="184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5.75" customHeight="1" x14ac:dyDescent="0.25">
      <c r="A901" s="1"/>
      <c r="B901" s="1"/>
      <c r="C901" s="1"/>
      <c r="D901" s="1"/>
      <c r="E901" s="1"/>
      <c r="F901" s="1"/>
      <c r="G901" s="1"/>
      <c r="H901" s="184"/>
      <c r="I901" s="184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5.75" customHeight="1" x14ac:dyDescent="0.25">
      <c r="A902" s="1"/>
      <c r="B902" s="1"/>
      <c r="C902" s="1"/>
      <c r="D902" s="1"/>
      <c r="E902" s="1"/>
      <c r="F902" s="1"/>
      <c r="G902" s="1"/>
      <c r="H902" s="184"/>
      <c r="I902" s="184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5.75" customHeight="1" x14ac:dyDescent="0.25">
      <c r="A903" s="1"/>
      <c r="B903" s="1"/>
      <c r="C903" s="1"/>
      <c r="D903" s="1"/>
      <c r="E903" s="1"/>
      <c r="F903" s="1"/>
      <c r="G903" s="1"/>
      <c r="H903" s="184"/>
      <c r="I903" s="184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5.75" customHeight="1" x14ac:dyDescent="0.25">
      <c r="A904" s="1"/>
      <c r="B904" s="1"/>
      <c r="C904" s="1"/>
      <c r="D904" s="1"/>
      <c r="E904" s="1"/>
      <c r="F904" s="1"/>
      <c r="G904" s="1"/>
      <c r="H904" s="184"/>
      <c r="I904" s="184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5.75" customHeight="1" x14ac:dyDescent="0.25">
      <c r="A905" s="1"/>
      <c r="B905" s="1"/>
      <c r="C905" s="1"/>
      <c r="D905" s="1"/>
      <c r="E905" s="1"/>
      <c r="F905" s="1"/>
      <c r="G905" s="1"/>
      <c r="H905" s="184"/>
      <c r="I905" s="184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5.75" customHeight="1" x14ac:dyDescent="0.25">
      <c r="A906" s="1"/>
      <c r="B906" s="1"/>
      <c r="C906" s="1"/>
      <c r="D906" s="1"/>
      <c r="E906" s="1"/>
      <c r="F906" s="1"/>
      <c r="G906" s="1"/>
      <c r="H906" s="184"/>
      <c r="I906" s="184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5.75" customHeight="1" x14ac:dyDescent="0.25">
      <c r="A907" s="1"/>
      <c r="B907" s="1"/>
      <c r="C907" s="1"/>
      <c r="D907" s="1"/>
      <c r="E907" s="1"/>
      <c r="F907" s="1"/>
      <c r="G907" s="1"/>
      <c r="H907" s="184"/>
      <c r="I907" s="184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5.75" customHeight="1" x14ac:dyDescent="0.25">
      <c r="A908" s="1"/>
      <c r="B908" s="1"/>
      <c r="C908" s="1"/>
      <c r="D908" s="1"/>
      <c r="E908" s="1"/>
      <c r="F908" s="1"/>
      <c r="G908" s="1"/>
      <c r="H908" s="184"/>
      <c r="I908" s="184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5.75" customHeight="1" x14ac:dyDescent="0.25">
      <c r="A909" s="1"/>
      <c r="B909" s="1"/>
      <c r="C909" s="1"/>
      <c r="D909" s="1"/>
      <c r="E909" s="1"/>
      <c r="F909" s="1"/>
      <c r="G909" s="1"/>
      <c r="H909" s="184"/>
      <c r="I909" s="184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5.75" customHeight="1" x14ac:dyDescent="0.25">
      <c r="A910" s="1"/>
      <c r="B910" s="1"/>
      <c r="C910" s="1"/>
      <c r="D910" s="1"/>
      <c r="E910" s="1"/>
      <c r="F910" s="1"/>
      <c r="G910" s="1"/>
      <c r="H910" s="184"/>
      <c r="I910" s="184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5.75" customHeight="1" x14ac:dyDescent="0.25">
      <c r="A911" s="1"/>
      <c r="B911" s="1"/>
      <c r="C911" s="1"/>
      <c r="D911" s="1"/>
      <c r="E911" s="1"/>
      <c r="F911" s="1"/>
      <c r="G911" s="1"/>
      <c r="H911" s="184"/>
      <c r="I911" s="184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5.75" customHeight="1" x14ac:dyDescent="0.25">
      <c r="A912" s="1"/>
      <c r="B912" s="1"/>
      <c r="C912" s="1"/>
      <c r="D912" s="1"/>
      <c r="E912" s="1"/>
      <c r="F912" s="1"/>
      <c r="G912" s="1"/>
      <c r="H912" s="184"/>
      <c r="I912" s="184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5.75" customHeight="1" x14ac:dyDescent="0.25">
      <c r="A913" s="1"/>
      <c r="B913" s="1"/>
      <c r="C913" s="1"/>
      <c r="D913" s="1"/>
      <c r="E913" s="1"/>
      <c r="F913" s="1"/>
      <c r="G913" s="1"/>
      <c r="H913" s="184"/>
      <c r="I913" s="184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5.75" customHeight="1" x14ac:dyDescent="0.25">
      <c r="A914" s="1"/>
      <c r="B914" s="1"/>
      <c r="C914" s="1"/>
      <c r="D914" s="1"/>
      <c r="E914" s="1"/>
      <c r="F914" s="1"/>
      <c r="G914" s="1"/>
      <c r="H914" s="184"/>
      <c r="I914" s="184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5.75" customHeight="1" x14ac:dyDescent="0.25">
      <c r="A915" s="1"/>
      <c r="B915" s="1"/>
      <c r="C915" s="1"/>
      <c r="D915" s="1"/>
      <c r="E915" s="1"/>
      <c r="F915" s="1"/>
      <c r="G915" s="1"/>
      <c r="H915" s="184"/>
      <c r="I915" s="184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5.75" customHeight="1" x14ac:dyDescent="0.25">
      <c r="A916" s="1"/>
      <c r="B916" s="1"/>
      <c r="C916" s="1"/>
      <c r="D916" s="1"/>
      <c r="E916" s="1"/>
      <c r="F916" s="1"/>
      <c r="G916" s="1"/>
      <c r="H916" s="184"/>
      <c r="I916" s="184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5.75" customHeight="1" x14ac:dyDescent="0.25">
      <c r="A917" s="1"/>
      <c r="B917" s="1"/>
      <c r="C917" s="1"/>
      <c r="D917" s="1"/>
      <c r="E917" s="1"/>
      <c r="F917" s="1"/>
      <c r="G917" s="1"/>
      <c r="H917" s="184"/>
      <c r="I917" s="184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5.75" customHeight="1" x14ac:dyDescent="0.25">
      <c r="A918" s="1"/>
      <c r="B918" s="1"/>
      <c r="C918" s="1"/>
      <c r="D918" s="1"/>
      <c r="E918" s="1"/>
      <c r="F918" s="1"/>
      <c r="G918" s="1"/>
      <c r="H918" s="184"/>
      <c r="I918" s="184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5.75" customHeight="1" x14ac:dyDescent="0.25">
      <c r="A919" s="1"/>
      <c r="B919" s="1"/>
      <c r="C919" s="1"/>
      <c r="D919" s="1"/>
      <c r="E919" s="1"/>
      <c r="F919" s="1"/>
      <c r="G919" s="1"/>
      <c r="H919" s="184"/>
      <c r="I919" s="184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5.75" customHeight="1" x14ac:dyDescent="0.25">
      <c r="A920" s="1"/>
      <c r="B920" s="1"/>
      <c r="C920" s="1"/>
      <c r="D920" s="1"/>
      <c r="E920" s="1"/>
      <c r="F920" s="1"/>
      <c r="G920" s="1"/>
      <c r="H920" s="184"/>
      <c r="I920" s="184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5.75" customHeight="1" x14ac:dyDescent="0.25">
      <c r="A921" s="1"/>
      <c r="B921" s="1"/>
      <c r="C921" s="1"/>
      <c r="D921" s="1"/>
      <c r="E921" s="1"/>
      <c r="F921" s="1"/>
      <c r="G921" s="1"/>
      <c r="H921" s="184"/>
      <c r="I921" s="184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5.75" customHeight="1" x14ac:dyDescent="0.25">
      <c r="A922" s="1"/>
      <c r="B922" s="1"/>
      <c r="C922" s="1"/>
      <c r="D922" s="1"/>
      <c r="E922" s="1"/>
      <c r="F922" s="1"/>
      <c r="G922" s="1"/>
      <c r="H922" s="184"/>
      <c r="I922" s="184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5.75" customHeight="1" x14ac:dyDescent="0.25">
      <c r="A923" s="1"/>
      <c r="B923" s="1"/>
      <c r="C923" s="1"/>
      <c r="D923" s="1"/>
      <c r="E923" s="1"/>
      <c r="F923" s="1"/>
      <c r="G923" s="1"/>
      <c r="H923" s="184"/>
      <c r="I923" s="184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5.75" customHeight="1" x14ac:dyDescent="0.25">
      <c r="A924" s="1"/>
      <c r="B924" s="1"/>
      <c r="C924" s="1"/>
      <c r="D924" s="1"/>
      <c r="E924" s="1"/>
      <c r="F924" s="1"/>
      <c r="G924" s="1"/>
      <c r="H924" s="184"/>
      <c r="I924" s="184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5.75" customHeight="1" x14ac:dyDescent="0.25">
      <c r="A925" s="1"/>
      <c r="B925" s="1"/>
      <c r="C925" s="1"/>
      <c r="D925" s="1"/>
      <c r="E925" s="1"/>
      <c r="F925" s="1"/>
      <c r="G925" s="1"/>
      <c r="H925" s="184"/>
      <c r="I925" s="184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5.75" customHeight="1" x14ac:dyDescent="0.25">
      <c r="A926" s="1"/>
      <c r="B926" s="1"/>
      <c r="C926" s="1"/>
      <c r="D926" s="1"/>
      <c r="E926" s="1"/>
      <c r="F926" s="1"/>
      <c r="G926" s="1"/>
      <c r="H926" s="184"/>
      <c r="I926" s="184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5.75" customHeight="1" x14ac:dyDescent="0.25">
      <c r="A927" s="1"/>
      <c r="B927" s="1"/>
      <c r="C927" s="1"/>
      <c r="D927" s="1"/>
      <c r="E927" s="1"/>
      <c r="F927" s="1"/>
      <c r="G927" s="1"/>
      <c r="H927" s="184"/>
      <c r="I927" s="184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5.75" customHeight="1" x14ac:dyDescent="0.25">
      <c r="A928" s="1"/>
      <c r="B928" s="1"/>
      <c r="C928" s="1"/>
      <c r="D928" s="1"/>
      <c r="E928" s="1"/>
      <c r="F928" s="1"/>
      <c r="G928" s="1"/>
      <c r="H928" s="184"/>
      <c r="I928" s="184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5.75" customHeight="1" x14ac:dyDescent="0.25">
      <c r="A929" s="1"/>
      <c r="B929" s="1"/>
      <c r="C929" s="1"/>
      <c r="D929" s="1"/>
      <c r="E929" s="1"/>
      <c r="F929" s="1"/>
      <c r="G929" s="1"/>
      <c r="H929" s="184"/>
      <c r="I929" s="184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5.75" customHeight="1" x14ac:dyDescent="0.25">
      <c r="A930" s="1"/>
      <c r="B930" s="1"/>
      <c r="C930" s="1"/>
      <c r="D930" s="1"/>
      <c r="E930" s="1"/>
      <c r="F930" s="1"/>
      <c r="G930" s="1"/>
      <c r="H930" s="184"/>
      <c r="I930" s="184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5.75" customHeight="1" x14ac:dyDescent="0.25">
      <c r="A931" s="1"/>
      <c r="B931" s="1"/>
      <c r="C931" s="1"/>
      <c r="D931" s="1"/>
      <c r="E931" s="1"/>
      <c r="F931" s="1"/>
      <c r="G931" s="1"/>
      <c r="H931" s="184"/>
      <c r="I931" s="184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5.75" customHeight="1" x14ac:dyDescent="0.25">
      <c r="A932" s="1"/>
      <c r="B932" s="1"/>
      <c r="C932" s="1"/>
      <c r="D932" s="1"/>
      <c r="E932" s="1"/>
      <c r="F932" s="1"/>
      <c r="G932" s="1"/>
      <c r="H932" s="184"/>
      <c r="I932" s="184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5.75" customHeight="1" x14ac:dyDescent="0.25">
      <c r="A933" s="1"/>
      <c r="B933" s="1"/>
      <c r="C933" s="1"/>
      <c r="D933" s="1"/>
      <c r="E933" s="1"/>
      <c r="F933" s="1"/>
      <c r="G933" s="1"/>
      <c r="H933" s="184"/>
      <c r="I933" s="184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5.75" customHeight="1" x14ac:dyDescent="0.25">
      <c r="A934" s="1"/>
      <c r="B934" s="1"/>
      <c r="C934" s="1"/>
      <c r="D934" s="1"/>
      <c r="E934" s="1"/>
      <c r="F934" s="1"/>
      <c r="G934" s="1"/>
      <c r="H934" s="184"/>
      <c r="I934" s="184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5.75" customHeight="1" x14ac:dyDescent="0.25">
      <c r="A935" s="1"/>
      <c r="B935" s="1"/>
      <c r="C935" s="1"/>
      <c r="D935" s="1"/>
      <c r="E935" s="1"/>
      <c r="F935" s="1"/>
      <c r="G935" s="1"/>
      <c r="H935" s="184"/>
      <c r="I935" s="184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5.75" customHeight="1" x14ac:dyDescent="0.25">
      <c r="A936" s="1"/>
      <c r="B936" s="1"/>
      <c r="C936" s="1"/>
      <c r="D936" s="1"/>
      <c r="E936" s="1"/>
      <c r="F936" s="1"/>
      <c r="G936" s="1"/>
      <c r="H936" s="184"/>
      <c r="I936" s="184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5.75" customHeight="1" x14ac:dyDescent="0.25">
      <c r="A937" s="1"/>
      <c r="B937" s="1"/>
      <c r="C937" s="1"/>
      <c r="D937" s="1"/>
      <c r="E937" s="1"/>
      <c r="F937" s="1"/>
      <c r="G937" s="1"/>
      <c r="H937" s="184"/>
      <c r="I937" s="184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5.75" customHeight="1" x14ac:dyDescent="0.25">
      <c r="A938" s="1"/>
      <c r="B938" s="1"/>
      <c r="C938" s="1"/>
      <c r="D938" s="1"/>
      <c r="E938" s="1"/>
      <c r="F938" s="1"/>
      <c r="G938" s="1"/>
      <c r="H938" s="184"/>
      <c r="I938" s="184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5.75" customHeight="1" x14ac:dyDescent="0.25">
      <c r="A939" s="1"/>
      <c r="B939" s="1"/>
      <c r="C939" s="1"/>
      <c r="D939" s="1"/>
      <c r="E939" s="1"/>
      <c r="F939" s="1"/>
      <c r="G939" s="1"/>
      <c r="H939" s="184"/>
      <c r="I939" s="184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5.75" customHeight="1" x14ac:dyDescent="0.25">
      <c r="A940" s="1"/>
      <c r="B940" s="1"/>
      <c r="C940" s="1"/>
      <c r="D940" s="1"/>
      <c r="E940" s="1"/>
      <c r="F940" s="1"/>
      <c r="G940" s="1"/>
      <c r="H940" s="184"/>
      <c r="I940" s="184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5.75" customHeight="1" x14ac:dyDescent="0.25">
      <c r="A941" s="1"/>
      <c r="B941" s="1"/>
      <c r="C941" s="1"/>
      <c r="D941" s="1"/>
      <c r="E941" s="1"/>
      <c r="F941" s="1"/>
      <c r="G941" s="1"/>
      <c r="H941" s="184"/>
      <c r="I941" s="184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5.75" customHeight="1" x14ac:dyDescent="0.25">
      <c r="A942" s="1"/>
      <c r="B942" s="1"/>
      <c r="C942" s="1"/>
      <c r="D942" s="1"/>
      <c r="E942" s="1"/>
      <c r="F942" s="1"/>
      <c r="G942" s="1"/>
      <c r="H942" s="184"/>
      <c r="I942" s="184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5.75" customHeight="1" x14ac:dyDescent="0.25">
      <c r="A943" s="1"/>
      <c r="B943" s="1"/>
      <c r="C943" s="1"/>
      <c r="D943" s="1"/>
      <c r="E943" s="1"/>
      <c r="F943" s="1"/>
      <c r="G943" s="1"/>
      <c r="H943" s="184"/>
      <c r="I943" s="184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5.75" customHeight="1" x14ac:dyDescent="0.25">
      <c r="A944" s="1"/>
      <c r="B944" s="1"/>
      <c r="C944" s="1"/>
      <c r="D944" s="1"/>
      <c r="E944" s="1"/>
      <c r="F944" s="1"/>
      <c r="G944" s="1"/>
      <c r="H944" s="184"/>
      <c r="I944" s="184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5.75" customHeight="1" x14ac:dyDescent="0.25">
      <c r="A945" s="1"/>
      <c r="B945" s="1"/>
      <c r="C945" s="1"/>
      <c r="D945" s="1"/>
      <c r="E945" s="1"/>
      <c r="F945" s="1"/>
      <c r="G945" s="1"/>
      <c r="H945" s="184"/>
      <c r="I945" s="184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5.75" customHeight="1" x14ac:dyDescent="0.25">
      <c r="A946" s="1"/>
      <c r="B946" s="1"/>
      <c r="C946" s="1"/>
      <c r="D946" s="1"/>
      <c r="E946" s="1"/>
      <c r="F946" s="1"/>
      <c r="G946" s="1"/>
      <c r="H946" s="184"/>
      <c r="I946" s="184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5.75" customHeight="1" x14ac:dyDescent="0.25">
      <c r="A947" s="1"/>
      <c r="B947" s="1"/>
      <c r="C947" s="1"/>
      <c r="D947" s="1"/>
      <c r="E947" s="1"/>
      <c r="F947" s="1"/>
      <c r="G947" s="1"/>
      <c r="H947" s="184"/>
      <c r="I947" s="184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5.75" customHeight="1" x14ac:dyDescent="0.25">
      <c r="A948" s="1"/>
      <c r="B948" s="1"/>
      <c r="C948" s="1"/>
      <c r="D948" s="1"/>
      <c r="E948" s="1"/>
      <c r="F948" s="1"/>
      <c r="G948" s="1"/>
      <c r="H948" s="184"/>
      <c r="I948" s="184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5.75" customHeight="1" x14ac:dyDescent="0.25">
      <c r="A949" s="1"/>
      <c r="B949" s="1"/>
      <c r="C949" s="1"/>
      <c r="D949" s="1"/>
      <c r="E949" s="1"/>
      <c r="F949" s="1"/>
      <c r="G949" s="1"/>
      <c r="H949" s="184"/>
      <c r="I949" s="184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5.75" customHeight="1" x14ac:dyDescent="0.25">
      <c r="A950" s="1"/>
      <c r="B950" s="1"/>
      <c r="C950" s="1"/>
      <c r="D950" s="1"/>
      <c r="E950" s="1"/>
      <c r="F950" s="1"/>
      <c r="G950" s="1"/>
      <c r="H950" s="184"/>
      <c r="I950" s="184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5.75" customHeight="1" x14ac:dyDescent="0.25">
      <c r="A951" s="1"/>
      <c r="B951" s="1"/>
      <c r="C951" s="1"/>
      <c r="D951" s="1"/>
      <c r="E951" s="1"/>
      <c r="F951" s="1"/>
      <c r="G951" s="1"/>
      <c r="H951" s="184"/>
      <c r="I951" s="184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5.75" customHeight="1" x14ac:dyDescent="0.25">
      <c r="A952" s="1"/>
      <c r="B952" s="1"/>
      <c r="C952" s="1"/>
      <c r="D952" s="1"/>
      <c r="E952" s="1"/>
      <c r="F952" s="1"/>
      <c r="G952" s="1"/>
      <c r="H952" s="184"/>
      <c r="I952" s="184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5.75" customHeight="1" x14ac:dyDescent="0.25">
      <c r="A953" s="1"/>
      <c r="B953" s="1"/>
      <c r="C953" s="1"/>
      <c r="D953" s="1"/>
      <c r="E953" s="1"/>
      <c r="F953" s="1"/>
      <c r="G953" s="1"/>
      <c r="H953" s="184"/>
      <c r="I953" s="184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5.75" customHeight="1" x14ac:dyDescent="0.25">
      <c r="A954" s="1"/>
      <c r="B954" s="1"/>
      <c r="C954" s="1"/>
      <c r="D954" s="1"/>
      <c r="E954" s="1"/>
      <c r="F954" s="1"/>
      <c r="G954" s="1"/>
      <c r="H954" s="184"/>
      <c r="I954" s="184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5.75" customHeight="1" x14ac:dyDescent="0.25">
      <c r="A955" s="1"/>
      <c r="B955" s="1"/>
      <c r="C955" s="1"/>
      <c r="D955" s="1"/>
      <c r="E955" s="1"/>
      <c r="F955" s="1"/>
      <c r="G955" s="1"/>
      <c r="H955" s="184"/>
      <c r="I955" s="184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5.75" customHeight="1" x14ac:dyDescent="0.25">
      <c r="A956" s="1"/>
      <c r="B956" s="1"/>
      <c r="C956" s="1"/>
      <c r="D956" s="1"/>
      <c r="E956" s="1"/>
      <c r="F956" s="1"/>
      <c r="G956" s="1"/>
      <c r="H956" s="184"/>
      <c r="I956" s="184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5.75" customHeight="1" x14ac:dyDescent="0.25">
      <c r="A957" s="1"/>
      <c r="B957" s="1"/>
      <c r="C957" s="1"/>
      <c r="D957" s="1"/>
      <c r="E957" s="1"/>
      <c r="F957" s="1"/>
      <c r="G957" s="1"/>
      <c r="H957" s="184"/>
      <c r="I957" s="184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5.75" customHeight="1" x14ac:dyDescent="0.25">
      <c r="A958" s="1"/>
      <c r="B958" s="1"/>
      <c r="C958" s="1"/>
      <c r="D958" s="1"/>
      <c r="E958" s="1"/>
      <c r="F958" s="1"/>
      <c r="G958" s="1"/>
      <c r="H958" s="184"/>
      <c r="I958" s="184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5.75" customHeight="1" x14ac:dyDescent="0.25">
      <c r="A959" s="1"/>
      <c r="B959" s="1"/>
      <c r="C959" s="1"/>
      <c r="D959" s="1"/>
      <c r="E959" s="1"/>
      <c r="F959" s="1"/>
      <c r="G959" s="1"/>
      <c r="H959" s="184"/>
      <c r="I959" s="184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5.75" customHeight="1" x14ac:dyDescent="0.25">
      <c r="A960" s="1"/>
      <c r="B960" s="1"/>
      <c r="C960" s="1"/>
      <c r="D960" s="1"/>
      <c r="E960" s="1"/>
      <c r="F960" s="1"/>
      <c r="G960" s="1"/>
      <c r="H960" s="184"/>
      <c r="I960" s="184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5.75" customHeight="1" x14ac:dyDescent="0.25">
      <c r="A961" s="1"/>
      <c r="B961" s="1"/>
      <c r="C961" s="1"/>
      <c r="D961" s="1"/>
      <c r="E961" s="1"/>
      <c r="F961" s="1"/>
      <c r="G961" s="1"/>
      <c r="H961" s="184"/>
      <c r="I961" s="184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5.75" customHeight="1" x14ac:dyDescent="0.25">
      <c r="A962" s="1"/>
      <c r="B962" s="1"/>
      <c r="C962" s="1"/>
      <c r="D962" s="1"/>
      <c r="E962" s="1"/>
      <c r="F962" s="1"/>
      <c r="G962" s="1"/>
      <c r="H962" s="184"/>
      <c r="I962" s="184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5.75" customHeight="1" x14ac:dyDescent="0.25">
      <c r="A963" s="1"/>
      <c r="B963" s="1"/>
      <c r="C963" s="1"/>
      <c r="D963" s="1"/>
      <c r="E963" s="1"/>
      <c r="F963" s="1"/>
      <c r="G963" s="1"/>
      <c r="H963" s="184"/>
      <c r="I963" s="184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5.75" customHeight="1" x14ac:dyDescent="0.25">
      <c r="A964" s="1"/>
      <c r="B964" s="1"/>
      <c r="C964" s="1"/>
      <c r="D964" s="1"/>
      <c r="E964" s="1"/>
      <c r="F964" s="1"/>
      <c r="G964" s="1"/>
      <c r="H964" s="184"/>
      <c r="I964" s="184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5.75" customHeight="1" x14ac:dyDescent="0.25">
      <c r="A965" s="1"/>
      <c r="B965" s="1"/>
      <c r="C965" s="1"/>
      <c r="D965" s="1"/>
      <c r="E965" s="1"/>
      <c r="F965" s="1"/>
      <c r="G965" s="1"/>
      <c r="H965" s="184"/>
      <c r="I965" s="184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5.75" customHeight="1" x14ac:dyDescent="0.25">
      <c r="A966" s="1"/>
      <c r="B966" s="1"/>
      <c r="C966" s="1"/>
      <c r="D966" s="1"/>
      <c r="E966" s="1"/>
      <c r="F966" s="1"/>
      <c r="G966" s="1"/>
      <c r="H966" s="184"/>
      <c r="I966" s="184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5.75" customHeight="1" x14ac:dyDescent="0.25">
      <c r="A967" s="1"/>
      <c r="B967" s="1"/>
      <c r="C967" s="1"/>
      <c r="D967" s="1"/>
      <c r="E967" s="1"/>
      <c r="F967" s="1"/>
      <c r="G967" s="1"/>
      <c r="H967" s="184"/>
      <c r="I967" s="184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5.75" customHeight="1" x14ac:dyDescent="0.25">
      <c r="A968" s="1"/>
      <c r="B968" s="1"/>
      <c r="C968" s="1"/>
      <c r="D968" s="1"/>
      <c r="E968" s="1"/>
      <c r="F968" s="1"/>
      <c r="G968" s="1"/>
      <c r="H968" s="184"/>
      <c r="I968" s="184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5.75" customHeight="1" x14ac:dyDescent="0.25">
      <c r="A969" s="1"/>
      <c r="B969" s="1"/>
      <c r="C969" s="1"/>
      <c r="D969" s="1"/>
      <c r="E969" s="1"/>
      <c r="F969" s="1"/>
      <c r="G969" s="1"/>
      <c r="H969" s="184"/>
      <c r="I969" s="184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5.75" customHeight="1" x14ac:dyDescent="0.25">
      <c r="A970" s="1"/>
      <c r="B970" s="1"/>
      <c r="C970" s="1"/>
      <c r="D970" s="1"/>
      <c r="E970" s="1"/>
      <c r="F970" s="1"/>
      <c r="G970" s="1"/>
      <c r="H970" s="184"/>
      <c r="I970" s="184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5.75" customHeight="1" x14ac:dyDescent="0.25">
      <c r="A971" s="1"/>
      <c r="B971" s="1"/>
      <c r="C971" s="1"/>
      <c r="D971" s="1"/>
      <c r="E971" s="1"/>
      <c r="F971" s="1"/>
      <c r="G971" s="1"/>
      <c r="H971" s="184"/>
      <c r="I971" s="184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5.75" customHeight="1" x14ac:dyDescent="0.25">
      <c r="A972" s="1"/>
      <c r="B972" s="1"/>
      <c r="C972" s="1"/>
      <c r="D972" s="1"/>
      <c r="E972" s="1"/>
      <c r="F972" s="1"/>
      <c r="G972" s="1"/>
      <c r="H972" s="184"/>
      <c r="I972" s="184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5.75" customHeight="1" x14ac:dyDescent="0.25">
      <c r="A973" s="1"/>
      <c r="B973" s="1"/>
      <c r="C973" s="1"/>
      <c r="D973" s="1"/>
      <c r="E973" s="1"/>
      <c r="F973" s="1"/>
      <c r="G973" s="1"/>
      <c r="H973" s="184"/>
      <c r="I973" s="184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5.75" customHeight="1" x14ac:dyDescent="0.25">
      <c r="A974" s="1"/>
      <c r="B974" s="1"/>
      <c r="C974" s="1"/>
      <c r="D974" s="1"/>
      <c r="E974" s="1"/>
      <c r="F974" s="1"/>
      <c r="G974" s="1"/>
      <c r="H974" s="184"/>
      <c r="I974" s="184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5.75" customHeight="1" x14ac:dyDescent="0.25">
      <c r="A975" s="1"/>
      <c r="B975" s="1"/>
      <c r="C975" s="1"/>
      <c r="D975" s="1"/>
      <c r="E975" s="1"/>
      <c r="F975" s="1"/>
      <c r="G975" s="1"/>
      <c r="H975" s="184"/>
      <c r="I975" s="184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5.75" customHeight="1" x14ac:dyDescent="0.25">
      <c r="A976" s="1"/>
      <c r="B976" s="1"/>
      <c r="C976" s="1"/>
      <c r="D976" s="1"/>
      <c r="E976" s="1"/>
      <c r="F976" s="1"/>
      <c r="G976" s="1"/>
      <c r="H976" s="184"/>
      <c r="I976" s="184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5.75" customHeight="1" x14ac:dyDescent="0.25">
      <c r="A977" s="1"/>
      <c r="B977" s="1"/>
      <c r="C977" s="1"/>
      <c r="D977" s="1"/>
      <c r="E977" s="1"/>
      <c r="F977" s="1"/>
      <c r="G977" s="1"/>
      <c r="H977" s="184"/>
      <c r="I977" s="184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5.75" customHeight="1" x14ac:dyDescent="0.25">
      <c r="A978" s="1"/>
      <c r="B978" s="1"/>
      <c r="C978" s="1"/>
      <c r="D978" s="1"/>
      <c r="E978" s="1"/>
      <c r="F978" s="1"/>
      <c r="G978" s="1"/>
      <c r="H978" s="184"/>
      <c r="I978" s="184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5.75" customHeight="1" x14ac:dyDescent="0.25">
      <c r="A979" s="1"/>
      <c r="B979" s="1"/>
      <c r="C979" s="1"/>
      <c r="D979" s="1"/>
      <c r="E979" s="1"/>
      <c r="F979" s="1"/>
      <c r="G979" s="1"/>
      <c r="H979" s="184"/>
      <c r="I979" s="184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5.75" customHeight="1" x14ac:dyDescent="0.25">
      <c r="A980" s="1"/>
      <c r="B980" s="1"/>
      <c r="C980" s="1"/>
      <c r="D980" s="1"/>
      <c r="E980" s="1"/>
      <c r="F980" s="1"/>
      <c r="G980" s="1"/>
      <c r="H980" s="184"/>
      <c r="I980" s="184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5.75" customHeight="1" x14ac:dyDescent="0.25">
      <c r="A981" s="1"/>
      <c r="B981" s="1"/>
      <c r="C981" s="1"/>
      <c r="D981" s="1"/>
      <c r="E981" s="1"/>
      <c r="F981" s="1"/>
      <c r="G981" s="1"/>
      <c r="H981" s="184"/>
      <c r="I981" s="184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5.75" customHeight="1" x14ac:dyDescent="0.25">
      <c r="A982" s="1"/>
      <c r="B982" s="1"/>
      <c r="C982" s="1"/>
      <c r="D982" s="1"/>
      <c r="E982" s="1"/>
      <c r="F982" s="1"/>
      <c r="G982" s="1"/>
      <c r="H982" s="184"/>
      <c r="I982" s="184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5.75" customHeight="1" x14ac:dyDescent="0.25">
      <c r="A983" s="1"/>
      <c r="B983" s="1"/>
      <c r="C983" s="1"/>
      <c r="D983" s="1"/>
      <c r="E983" s="1"/>
      <c r="F983" s="1"/>
      <c r="G983" s="1"/>
      <c r="H983" s="184"/>
      <c r="I983" s="184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5.75" customHeight="1" x14ac:dyDescent="0.25">
      <c r="A984" s="1"/>
      <c r="B984" s="1"/>
      <c r="C984" s="1"/>
      <c r="D984" s="1"/>
      <c r="E984" s="1"/>
      <c r="F984" s="1"/>
      <c r="G984" s="1"/>
      <c r="H984" s="184"/>
      <c r="I984" s="184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5.75" customHeight="1" x14ac:dyDescent="0.25">
      <c r="A985" s="1"/>
      <c r="B985" s="1"/>
      <c r="C985" s="1"/>
      <c r="D985" s="1"/>
      <c r="E985" s="1"/>
      <c r="F985" s="1"/>
      <c r="G985" s="1"/>
      <c r="H985" s="184"/>
      <c r="I985" s="184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5.75" customHeight="1" x14ac:dyDescent="0.25">
      <c r="A986" s="1"/>
      <c r="B986" s="1"/>
      <c r="C986" s="1"/>
      <c r="D986" s="1"/>
      <c r="E986" s="1"/>
      <c r="F986" s="1"/>
      <c r="G986" s="1"/>
      <c r="H986" s="184"/>
      <c r="I986" s="184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5.75" customHeight="1" x14ac:dyDescent="0.25">
      <c r="A987" s="1"/>
      <c r="B987" s="1"/>
      <c r="C987" s="1"/>
      <c r="D987" s="1"/>
      <c r="E987" s="1"/>
      <c r="F987" s="1"/>
      <c r="G987" s="1"/>
      <c r="H987" s="184"/>
      <c r="I987" s="184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5.75" customHeight="1" x14ac:dyDescent="0.25">
      <c r="A988" s="1"/>
      <c r="B988" s="1"/>
      <c r="C988" s="1"/>
      <c r="D988" s="1"/>
      <c r="E988" s="1"/>
      <c r="F988" s="1"/>
      <c r="G988" s="1"/>
      <c r="H988" s="184"/>
      <c r="I988" s="184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5.75" customHeight="1" x14ac:dyDescent="0.25">
      <c r="A989" s="1"/>
      <c r="B989" s="1"/>
      <c r="C989" s="1"/>
      <c r="D989" s="1"/>
      <c r="E989" s="1"/>
      <c r="F989" s="1"/>
      <c r="G989" s="1"/>
      <c r="H989" s="184"/>
      <c r="I989" s="184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5.75" customHeight="1" x14ac:dyDescent="0.25">
      <c r="A990" s="1"/>
      <c r="B990" s="1"/>
      <c r="C990" s="1"/>
      <c r="D990" s="1"/>
      <c r="E990" s="1"/>
      <c r="F990" s="1"/>
      <c r="G990" s="1"/>
      <c r="H990" s="184"/>
      <c r="I990" s="184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5.75" customHeight="1" x14ac:dyDescent="0.25">
      <c r="A991" s="1"/>
      <c r="B991" s="1"/>
      <c r="C991" s="1"/>
      <c r="D991" s="1"/>
      <c r="E991" s="1"/>
      <c r="F991" s="1"/>
      <c r="G991" s="1"/>
      <c r="H991" s="184"/>
      <c r="I991" s="184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5.75" customHeight="1" x14ac:dyDescent="0.25">
      <c r="A992" s="1"/>
      <c r="B992" s="1"/>
      <c r="C992" s="1"/>
      <c r="D992" s="1"/>
      <c r="E992" s="1"/>
      <c r="F992" s="1"/>
      <c r="G992" s="1"/>
      <c r="H992" s="184"/>
      <c r="I992" s="184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5.75" customHeight="1" x14ac:dyDescent="0.25">
      <c r="A993" s="1"/>
      <c r="B993" s="1"/>
      <c r="C993" s="1"/>
      <c r="D993" s="1"/>
      <c r="E993" s="1"/>
      <c r="F993" s="1"/>
      <c r="G993" s="1"/>
      <c r="H993" s="184"/>
      <c r="I993" s="184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5.75" customHeight="1" x14ac:dyDescent="0.25">
      <c r="A994" s="1"/>
      <c r="B994" s="1"/>
      <c r="C994" s="1"/>
      <c r="D994" s="1"/>
      <c r="E994" s="1"/>
      <c r="F994" s="1"/>
      <c r="G994" s="1"/>
      <c r="H994" s="184"/>
      <c r="I994" s="184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5.75" customHeight="1" x14ac:dyDescent="0.25">
      <c r="A995" s="1"/>
      <c r="B995" s="1"/>
      <c r="C995" s="1"/>
      <c r="D995" s="1"/>
      <c r="E995" s="1"/>
      <c r="F995" s="1"/>
      <c r="G995" s="1"/>
      <c r="H995" s="184"/>
      <c r="I995" s="184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5.75" customHeight="1" x14ac:dyDescent="0.25">
      <c r="A996" s="1"/>
      <c r="B996" s="1"/>
      <c r="C996" s="1"/>
      <c r="D996" s="1"/>
      <c r="E996" s="1"/>
      <c r="F996" s="1"/>
      <c r="G996" s="1"/>
      <c r="H996" s="184"/>
      <c r="I996" s="184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5.75" customHeight="1" x14ac:dyDescent="0.25">
      <c r="A997" s="1"/>
      <c r="B997" s="1"/>
      <c r="C997" s="1"/>
      <c r="D997" s="1"/>
      <c r="E997" s="1"/>
      <c r="F997" s="1"/>
      <c r="G997" s="1"/>
      <c r="H997" s="184"/>
      <c r="I997" s="184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5.75" customHeight="1" x14ac:dyDescent="0.25">
      <c r="A998" s="1"/>
      <c r="B998" s="1"/>
      <c r="C998" s="1"/>
      <c r="D998" s="1"/>
      <c r="E998" s="1"/>
      <c r="F998" s="1"/>
      <c r="G998" s="1"/>
      <c r="H998" s="184"/>
      <c r="I998" s="184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5.75" customHeight="1" x14ac:dyDescent="0.25">
      <c r="A999" s="1"/>
      <c r="B999" s="1"/>
      <c r="C999" s="1"/>
      <c r="D999" s="1"/>
      <c r="E999" s="1"/>
      <c r="F999" s="1"/>
      <c r="G999" s="1"/>
      <c r="H999" s="184"/>
      <c r="I999" s="184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5.75" customHeight="1" x14ac:dyDescent="0.25">
      <c r="A1000" s="1"/>
      <c r="B1000" s="1"/>
      <c r="C1000" s="1"/>
      <c r="D1000" s="1"/>
      <c r="E1000" s="1"/>
      <c r="F1000" s="1"/>
      <c r="G1000" s="1"/>
      <c r="H1000" s="184"/>
      <c r="I1000" s="184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5.75" customHeight="1" x14ac:dyDescent="0.25">
      <c r="A1001" s="1"/>
      <c r="B1001" s="1"/>
      <c r="C1001" s="1"/>
      <c r="D1001" s="1"/>
      <c r="E1001" s="1"/>
      <c r="F1001" s="1"/>
      <c r="G1001" s="1"/>
      <c r="H1001" s="184"/>
      <c r="I1001" s="184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5.75" customHeight="1" x14ac:dyDescent="0.25">
      <c r="A1002" s="1"/>
      <c r="B1002" s="1"/>
      <c r="C1002" s="1"/>
      <c r="D1002" s="1"/>
      <c r="E1002" s="1"/>
      <c r="F1002" s="1"/>
      <c r="G1002" s="1"/>
      <c r="H1002" s="184"/>
      <c r="I1002" s="184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5.75" customHeight="1" x14ac:dyDescent="0.25">
      <c r="A1003" s="1"/>
      <c r="B1003" s="1"/>
      <c r="C1003" s="1"/>
      <c r="D1003" s="1"/>
      <c r="E1003" s="1"/>
      <c r="F1003" s="1"/>
      <c r="G1003" s="1"/>
      <c r="H1003" s="184"/>
      <c r="I1003" s="184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5.75" customHeight="1" x14ac:dyDescent="0.25">
      <c r="A1004" s="1"/>
      <c r="B1004" s="1"/>
      <c r="C1004" s="1"/>
      <c r="D1004" s="1"/>
      <c r="E1004" s="1"/>
      <c r="F1004" s="1"/>
      <c r="G1004" s="1"/>
      <c r="H1004" s="184"/>
      <c r="I1004" s="184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5.75" customHeight="1" x14ac:dyDescent="0.25">
      <c r="A1005" s="1"/>
      <c r="B1005" s="1"/>
      <c r="C1005" s="1"/>
      <c r="D1005" s="1"/>
      <c r="E1005" s="1"/>
      <c r="F1005" s="1"/>
      <c r="G1005" s="1"/>
      <c r="H1005" s="184"/>
      <c r="I1005" s="184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5.75" customHeight="1" x14ac:dyDescent="0.25">
      <c r="A1006" s="1"/>
      <c r="B1006" s="1"/>
      <c r="C1006" s="1"/>
      <c r="D1006" s="1"/>
      <c r="E1006" s="1"/>
      <c r="F1006" s="1"/>
      <c r="G1006" s="1"/>
      <c r="H1006" s="184"/>
      <c r="I1006" s="184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1:31" ht="15.75" customHeight="1" x14ac:dyDescent="0.25">
      <c r="A1007" s="1"/>
      <c r="B1007" s="1"/>
      <c r="C1007" s="1"/>
      <c r="D1007" s="1"/>
      <c r="E1007" s="1"/>
      <c r="F1007" s="1"/>
      <c r="G1007" s="1"/>
      <c r="H1007" s="184"/>
      <c r="I1007" s="184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</sheetData>
  <autoFilter ref="B15:K270" xr:uid="{00000000-0001-0000-0700-000000000000}"/>
  <mergeCells count="258">
    <mergeCell ref="E221:J221"/>
    <mergeCell ref="E216:J216"/>
    <mergeCell ref="E217:J217"/>
    <mergeCell ref="E218:J218"/>
    <mergeCell ref="E219:J219"/>
    <mergeCell ref="E220:J220"/>
    <mergeCell ref="E211:J211"/>
    <mergeCell ref="E212:J212"/>
    <mergeCell ref="E213:J213"/>
    <mergeCell ref="E214:J214"/>
    <mergeCell ref="E215:J215"/>
    <mergeCell ref="E206:J206"/>
    <mergeCell ref="E207:J207"/>
    <mergeCell ref="E208:J208"/>
    <mergeCell ref="E209:J209"/>
    <mergeCell ref="E210:J210"/>
    <mergeCell ref="E201:J201"/>
    <mergeCell ref="E202:J202"/>
    <mergeCell ref="E203:J203"/>
    <mergeCell ref="E204:J204"/>
    <mergeCell ref="E205:J205"/>
    <mergeCell ref="E196:J196"/>
    <mergeCell ref="E197:J197"/>
    <mergeCell ref="E198:J198"/>
    <mergeCell ref="E199:J199"/>
    <mergeCell ref="E200:J200"/>
    <mergeCell ref="E191:J191"/>
    <mergeCell ref="E192:J192"/>
    <mergeCell ref="E193:J193"/>
    <mergeCell ref="E194:J194"/>
    <mergeCell ref="E195:J195"/>
    <mergeCell ref="E186:J186"/>
    <mergeCell ref="E187:J187"/>
    <mergeCell ref="E188:J188"/>
    <mergeCell ref="E189:J189"/>
    <mergeCell ref="E190:J190"/>
    <mergeCell ref="E181:J181"/>
    <mergeCell ref="E182:J182"/>
    <mergeCell ref="E183:J183"/>
    <mergeCell ref="E184:J184"/>
    <mergeCell ref="E185:J185"/>
    <mergeCell ref="E176:J176"/>
    <mergeCell ref="E177:J177"/>
    <mergeCell ref="E178:J178"/>
    <mergeCell ref="E179:J179"/>
    <mergeCell ref="E180:J180"/>
    <mergeCell ref="E171:J171"/>
    <mergeCell ref="E172:J172"/>
    <mergeCell ref="E173:J173"/>
    <mergeCell ref="E174:J174"/>
    <mergeCell ref="E175:J175"/>
    <mergeCell ref="E166:J166"/>
    <mergeCell ref="E167:J167"/>
    <mergeCell ref="E168:J168"/>
    <mergeCell ref="E169:J169"/>
    <mergeCell ref="E170:J170"/>
    <mergeCell ref="E161:J161"/>
    <mergeCell ref="E162:J162"/>
    <mergeCell ref="E163:J163"/>
    <mergeCell ref="E164:J164"/>
    <mergeCell ref="E165:J165"/>
    <mergeCell ref="E156:J156"/>
    <mergeCell ref="E157:J157"/>
    <mergeCell ref="E158:J158"/>
    <mergeCell ref="E159:J159"/>
    <mergeCell ref="E160:J160"/>
    <mergeCell ref="E151:J151"/>
    <mergeCell ref="E152:J152"/>
    <mergeCell ref="E153:J153"/>
    <mergeCell ref="E154:J154"/>
    <mergeCell ref="E155:J155"/>
    <mergeCell ref="E146:J146"/>
    <mergeCell ref="E147:J147"/>
    <mergeCell ref="E148:J148"/>
    <mergeCell ref="E149:J149"/>
    <mergeCell ref="E150:J150"/>
    <mergeCell ref="E141:J141"/>
    <mergeCell ref="E142:J142"/>
    <mergeCell ref="E143:J143"/>
    <mergeCell ref="E144:J144"/>
    <mergeCell ref="E145:J145"/>
    <mergeCell ref="E136:J136"/>
    <mergeCell ref="E137:J137"/>
    <mergeCell ref="E138:J138"/>
    <mergeCell ref="E139:J139"/>
    <mergeCell ref="E140:J140"/>
    <mergeCell ref="E131:J131"/>
    <mergeCell ref="E132:J132"/>
    <mergeCell ref="E133:J133"/>
    <mergeCell ref="E134:J134"/>
    <mergeCell ref="E135:J135"/>
    <mergeCell ref="E126:J126"/>
    <mergeCell ref="E127:J127"/>
    <mergeCell ref="E128:J128"/>
    <mergeCell ref="E129:J129"/>
    <mergeCell ref="E130:J130"/>
    <mergeCell ref="E121:J121"/>
    <mergeCell ref="E122:J122"/>
    <mergeCell ref="E123:J123"/>
    <mergeCell ref="E124:J124"/>
    <mergeCell ref="E125:J125"/>
    <mergeCell ref="E116:J116"/>
    <mergeCell ref="E117:J117"/>
    <mergeCell ref="E118:J118"/>
    <mergeCell ref="E119:J119"/>
    <mergeCell ref="E120:J120"/>
    <mergeCell ref="E111:J111"/>
    <mergeCell ref="E112:J112"/>
    <mergeCell ref="E113:J113"/>
    <mergeCell ref="E114:J114"/>
    <mergeCell ref="E115:J115"/>
    <mergeCell ref="E106:J106"/>
    <mergeCell ref="E107:J107"/>
    <mergeCell ref="E108:J108"/>
    <mergeCell ref="E109:J109"/>
    <mergeCell ref="E110:J110"/>
    <mergeCell ref="E101:J101"/>
    <mergeCell ref="E102:J102"/>
    <mergeCell ref="E103:J103"/>
    <mergeCell ref="E104:J104"/>
    <mergeCell ref="E105:J105"/>
    <mergeCell ref="E96:J96"/>
    <mergeCell ref="E97:J97"/>
    <mergeCell ref="E98:J98"/>
    <mergeCell ref="E99:J99"/>
    <mergeCell ref="E100:J100"/>
    <mergeCell ref="E91:J91"/>
    <mergeCell ref="E92:J92"/>
    <mergeCell ref="E93:J93"/>
    <mergeCell ref="E94:J94"/>
    <mergeCell ref="E95:J95"/>
    <mergeCell ref="E86:J86"/>
    <mergeCell ref="E87:J87"/>
    <mergeCell ref="E88:J88"/>
    <mergeCell ref="E89:J89"/>
    <mergeCell ref="E90:J90"/>
    <mergeCell ref="E80:J80"/>
    <mergeCell ref="E81:J81"/>
    <mergeCell ref="E82:J82"/>
    <mergeCell ref="E83:J83"/>
    <mergeCell ref="E85:J85"/>
    <mergeCell ref="E76:J76"/>
    <mergeCell ref="E77:J77"/>
    <mergeCell ref="E78:J78"/>
    <mergeCell ref="E79:J79"/>
    <mergeCell ref="E70:J70"/>
    <mergeCell ref="E71:J71"/>
    <mergeCell ref="E72:J72"/>
    <mergeCell ref="E73:J73"/>
    <mergeCell ref="E74:J74"/>
    <mergeCell ref="E67:J67"/>
    <mergeCell ref="E68:J68"/>
    <mergeCell ref="E69:J69"/>
    <mergeCell ref="E60:J60"/>
    <mergeCell ref="E61:J61"/>
    <mergeCell ref="E62:J62"/>
    <mergeCell ref="E63:J63"/>
    <mergeCell ref="E64:J64"/>
    <mergeCell ref="E75:J75"/>
    <mergeCell ref="E58:J58"/>
    <mergeCell ref="E59:J59"/>
    <mergeCell ref="E50:J50"/>
    <mergeCell ref="E51:J51"/>
    <mergeCell ref="E52:J52"/>
    <mergeCell ref="E53:J53"/>
    <mergeCell ref="E54:J54"/>
    <mergeCell ref="E65:J65"/>
    <mergeCell ref="E66:J66"/>
    <mergeCell ref="E49:J49"/>
    <mergeCell ref="E40:J40"/>
    <mergeCell ref="E41:J41"/>
    <mergeCell ref="E42:J42"/>
    <mergeCell ref="E43:J43"/>
    <mergeCell ref="E44:J44"/>
    <mergeCell ref="E55:J55"/>
    <mergeCell ref="E56:J56"/>
    <mergeCell ref="E57:J57"/>
    <mergeCell ref="E30:J30"/>
    <mergeCell ref="E31:J31"/>
    <mergeCell ref="E32:J32"/>
    <mergeCell ref="E33:J33"/>
    <mergeCell ref="E34:J34"/>
    <mergeCell ref="E45:J45"/>
    <mergeCell ref="E46:J46"/>
    <mergeCell ref="E47:J47"/>
    <mergeCell ref="E48:J48"/>
    <mergeCell ref="B2:J6"/>
    <mergeCell ref="B12:G13"/>
    <mergeCell ref="E15:J15"/>
    <mergeCell ref="E16:J16"/>
    <mergeCell ref="E17:J17"/>
    <mergeCell ref="E18:J18"/>
    <mergeCell ref="E19:J19"/>
    <mergeCell ref="E84:J84"/>
    <mergeCell ref="E226:J226"/>
    <mergeCell ref="E25:J25"/>
    <mergeCell ref="E26:J26"/>
    <mergeCell ref="E27:J27"/>
    <mergeCell ref="E28:J28"/>
    <mergeCell ref="E29:J29"/>
    <mergeCell ref="E20:J20"/>
    <mergeCell ref="E21:J21"/>
    <mergeCell ref="E22:J22"/>
    <mergeCell ref="E23:J23"/>
    <mergeCell ref="E24:J24"/>
    <mergeCell ref="E35:J35"/>
    <mergeCell ref="E36:J36"/>
    <mergeCell ref="E37:J37"/>
    <mergeCell ref="E38:J38"/>
    <mergeCell ref="E39:J39"/>
    <mergeCell ref="E227:J227"/>
    <mergeCell ref="E228:J228"/>
    <mergeCell ref="E229:J229"/>
    <mergeCell ref="E230:J230"/>
    <mergeCell ref="E231:J231"/>
    <mergeCell ref="E232:J232"/>
    <mergeCell ref="E233:J233"/>
    <mergeCell ref="E234:J234"/>
    <mergeCell ref="E235:J235"/>
    <mergeCell ref="E266:J266"/>
    <mergeCell ref="E249:J249"/>
    <mergeCell ref="E250:J250"/>
    <mergeCell ref="E251:J251"/>
    <mergeCell ref="E252:J252"/>
    <mergeCell ref="E253:J253"/>
    <mergeCell ref="E236:J236"/>
    <mergeCell ref="E237:J237"/>
    <mergeCell ref="E238:J238"/>
    <mergeCell ref="E239:J239"/>
    <mergeCell ref="E240:J240"/>
    <mergeCell ref="E241:J241"/>
    <mergeCell ref="E242:J242"/>
    <mergeCell ref="E243:J243"/>
    <mergeCell ref="E244:J244"/>
    <mergeCell ref="E268:J268"/>
    <mergeCell ref="E269:J269"/>
    <mergeCell ref="E270:J270"/>
    <mergeCell ref="E263:J263"/>
    <mergeCell ref="E264:J264"/>
    <mergeCell ref="E265:J265"/>
    <mergeCell ref="E267:J267"/>
    <mergeCell ref="E222:J222"/>
    <mergeCell ref="E223:J223"/>
    <mergeCell ref="E224:J224"/>
    <mergeCell ref="E225:J225"/>
    <mergeCell ref="E254:J254"/>
    <mergeCell ref="E255:J255"/>
    <mergeCell ref="E256:J256"/>
    <mergeCell ref="E257:J257"/>
    <mergeCell ref="E258:J258"/>
    <mergeCell ref="E259:J259"/>
    <mergeCell ref="E260:J260"/>
    <mergeCell ref="E261:J261"/>
    <mergeCell ref="E262:J262"/>
    <mergeCell ref="E245:J245"/>
    <mergeCell ref="E246:J246"/>
    <mergeCell ref="E247:J247"/>
    <mergeCell ref="E248:J248"/>
  </mergeCells>
  <phoneticPr fontId="27" type="noConversion"/>
  <pageMargins left="0.51181102362204722" right="0.51181102362204722" top="0.78740157480314965" bottom="0.78740157480314965" header="0" footer="0"/>
  <pageSetup paperSize="9" scale="52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45</vt:i4>
      </vt:variant>
    </vt:vector>
  </HeadingPairs>
  <TitlesOfParts>
    <vt:vector size="52" baseType="lpstr">
      <vt:lpstr>DADOS GERAIS</vt:lpstr>
      <vt:lpstr>RESUMO</vt:lpstr>
      <vt:lpstr>ORC. SINTÉTICO</vt:lpstr>
      <vt:lpstr>CPUS</vt:lpstr>
      <vt:lpstr>BDI DESONERADO</vt:lpstr>
      <vt:lpstr>ENCARGOS SOCIAIS</vt:lpstr>
      <vt:lpstr>JUSTIFICATIVAS CPUS</vt:lpstr>
      <vt:lpstr>'DADOS GERAIS'!Area_de_impressao</vt:lpstr>
      <vt:lpstr>CPUS!Titulos_de_impressao</vt:lpstr>
      <vt:lpstr>'JUSTIFICATIVAS CPUS'!Titulos_de_impressao</vt:lpstr>
      <vt:lpstr>'ORC. SINTÉTICO'!Titulos_de_impressao</vt:lpstr>
      <vt:lpstr>'BDI DESONERADO'!Z_0306F0C2_70DB_4729_BB6A_5299B1A5AEA0_.wvu.PrintArea</vt:lpstr>
      <vt:lpstr>'ENCARGOS SOCIAIS'!Z_0306F0C2_70DB_4729_BB6A_5299B1A5AEA0_.wvu.PrintArea</vt:lpstr>
      <vt:lpstr>'BDI DESONERADO'!Z_12376024_9872_4870_B42C_DF0FD31EC62E_.wvu.PrintArea</vt:lpstr>
      <vt:lpstr>'ENCARGOS SOCIAIS'!Z_12376024_9872_4870_B42C_DF0FD31EC62E_.wvu.PrintArea</vt:lpstr>
      <vt:lpstr>CPUS!Z_12538664_79C6_4AAD_BD81_5363A5F496D7_.wvu.PrintArea</vt:lpstr>
      <vt:lpstr>'DADOS GERAIS'!Z_12538664_79C6_4AAD_BD81_5363A5F496D7_.wvu.PrintArea</vt:lpstr>
      <vt:lpstr>'ORC. SINTÉTICO'!Z_12538664_79C6_4AAD_BD81_5363A5F496D7_.wvu.PrintArea</vt:lpstr>
      <vt:lpstr>RESUMO!Z_12538664_79C6_4AAD_BD81_5363A5F496D7_.wvu.PrintArea</vt:lpstr>
      <vt:lpstr>CPUS!Z_12538664_79C6_4AAD_BD81_5363A5F496D7_.wvu.Rows</vt:lpstr>
      <vt:lpstr>'ORC. SINTÉTICO'!Z_12538664_79C6_4AAD_BD81_5363A5F496D7_.wvu.Rows</vt:lpstr>
      <vt:lpstr>CPUS!Z_18D9C5C8_6EC0_4507_ACF1_BEE4D54D4AE8_.wvu.PrintArea</vt:lpstr>
      <vt:lpstr>'DADOS GERAIS'!Z_18D9C5C8_6EC0_4507_ACF1_BEE4D54D4AE8_.wvu.PrintArea</vt:lpstr>
      <vt:lpstr>'ORC. SINTÉTICO'!Z_18D9C5C8_6EC0_4507_ACF1_BEE4D54D4AE8_.wvu.PrintArea</vt:lpstr>
      <vt:lpstr>RESUMO!Z_18D9C5C8_6EC0_4507_ACF1_BEE4D54D4AE8_.wvu.PrintArea</vt:lpstr>
      <vt:lpstr>CPUS!Z_18D9C5C8_6EC0_4507_ACF1_BEE4D54D4AE8_.wvu.Rows</vt:lpstr>
      <vt:lpstr>'ORC. SINTÉTICO'!Z_18D9C5C8_6EC0_4507_ACF1_BEE4D54D4AE8_.wvu.Rows</vt:lpstr>
      <vt:lpstr>'JUSTIFICATIVAS CPUS'!Z_2675BA43_8563_4FE8_9385_CEC837618B0A_.wvu.PrintArea</vt:lpstr>
      <vt:lpstr>'JUSTIFICATIVAS CPUS'!Z_28B41BAB_DC76_480E_A1E5_0680F2E379B7_.wvu.PrintArea</vt:lpstr>
      <vt:lpstr>'JUSTIFICATIVAS CPUS'!Z_2C035CC8_3055_44F7_AAA9_AD9C9EF12435_.wvu.PrintArea</vt:lpstr>
      <vt:lpstr>'BDI DESONERADO'!Z_31669B58_6052_4B28_A2A6_B4D646275034_.wvu.PrintArea</vt:lpstr>
      <vt:lpstr>'ENCARGOS SOCIAIS'!Z_31669B58_6052_4B28_A2A6_B4D646275034_.wvu.PrintArea</vt:lpstr>
      <vt:lpstr>'JUSTIFICATIVAS CPUS'!Z_53D497E1_E826_4F8A_992E_431F101CA300_.wvu.PrintArea</vt:lpstr>
      <vt:lpstr>'BDI DESONERADO'!Z_5C936B0E_B1B0_4680_9496_257339E19331_.wvu.PrintArea</vt:lpstr>
      <vt:lpstr>'ENCARGOS SOCIAIS'!Z_5C936B0E_B1B0_4680_9496_257339E19331_.wvu.PrintArea</vt:lpstr>
      <vt:lpstr>'BDI DESONERADO'!Z_5EB5A1F5_D41C_4922_9EB6_0F91F671DD29_.wvu.PrintArea</vt:lpstr>
      <vt:lpstr>'ENCARGOS SOCIAIS'!Z_5EB5A1F5_D41C_4922_9EB6_0F91F671DD29_.wvu.PrintArea</vt:lpstr>
      <vt:lpstr>'JUSTIFICATIVAS CPUS'!Z_6C4A5780_A529_48FA_99BA_79BD868CD359_.wvu.PrintArea</vt:lpstr>
      <vt:lpstr>'BDI DESONERADO'!Z_6CEAEE79_3031_4A07_9C1B_BEA3A33B6E8E_.wvu.PrintArea</vt:lpstr>
      <vt:lpstr>'ENCARGOS SOCIAIS'!Z_6CEAEE79_3031_4A07_9C1B_BEA3A33B6E8E_.wvu.PrintArea</vt:lpstr>
      <vt:lpstr>'JUSTIFICATIVAS CPUS'!Z_7FF15CC8_DB84_4698_8C98_3A52BD743E2D_.wvu.PrintArea</vt:lpstr>
      <vt:lpstr>'JUSTIFICATIVAS CPUS'!Z_8AD65702_4E2C_47D8_8007_38AB6DC80A2F_.wvu.PrintArea</vt:lpstr>
      <vt:lpstr>'JUSTIFICATIVAS CPUS'!Z_8D21F177_5E6A_4C44_9891_68BF06A93C62_.wvu.PrintArea</vt:lpstr>
      <vt:lpstr>'JUSTIFICATIVAS CPUS'!Z_A07C36CD_65E3_4A21_B956_D1766C5EB84D_.wvu.PrintArea</vt:lpstr>
      <vt:lpstr>'JUSTIFICATIVAS CPUS'!Z_A951D8EB_0DF5_4872_832B_26DF5B5ABADD_.wvu.PrintArea</vt:lpstr>
      <vt:lpstr>CPUS!Z_CA485D5E_5C09_4636_B7A6_10EC2B405CCB_.wvu.PrintArea</vt:lpstr>
      <vt:lpstr>'DADOS GERAIS'!Z_CA485D5E_5C09_4636_B7A6_10EC2B405CCB_.wvu.PrintArea</vt:lpstr>
      <vt:lpstr>'ORC. SINTÉTICO'!Z_CA485D5E_5C09_4636_B7A6_10EC2B405CCB_.wvu.PrintArea</vt:lpstr>
      <vt:lpstr>RESUMO!Z_CA485D5E_5C09_4636_B7A6_10EC2B405CCB_.wvu.PrintArea</vt:lpstr>
      <vt:lpstr>CPUS!Z_CA485D5E_5C09_4636_B7A6_10EC2B405CCB_.wvu.Rows</vt:lpstr>
      <vt:lpstr>'ORC. SINTÉTICO'!Z_CA485D5E_5C09_4636_B7A6_10EC2B405CCB_.wvu.Rows</vt:lpstr>
      <vt:lpstr>'JUSTIFICATIVAS CPUS'!Z_E00A2F2B_5FAE_482A_B5C1_08D9DD4D80BE_.wvu.PrintArea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Pellaquim</dc:creator>
  <cp:lastModifiedBy>Thais Pellaquim</cp:lastModifiedBy>
  <cp:lastPrinted>2024-05-09T20:55:14Z</cp:lastPrinted>
  <dcterms:created xsi:type="dcterms:W3CDTF">2024-03-24T14:34:26Z</dcterms:created>
  <dcterms:modified xsi:type="dcterms:W3CDTF">2024-05-09T21:05:57Z</dcterms:modified>
</cp:coreProperties>
</file>